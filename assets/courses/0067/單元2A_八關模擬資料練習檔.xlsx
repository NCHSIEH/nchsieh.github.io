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說明" sheetId="1" state="visible" r:id="rId3"/>
    <sheet name="3_專家評分" sheetId="2" state="visible" r:id="rId4"/>
    <sheet name="5_樣本A" sheetId="3" state="visible" r:id="rId5"/>
    <sheet name="5_項目分析" sheetId="4" state="visible" r:id="rId6"/>
    <sheet name="6_EFA結果" sheetId="5" state="visible" r:id="rId7"/>
    <sheet name="7_樣本B" sheetId="6" state="visible" r:id="rId8"/>
    <sheet name="7_CFA結果" sheetId="7" state="visible" r:id="rId9"/>
    <sheet name="8_信效度" sheetId="8" state="visible" r:id="rId10"/>
    <sheet name="8_再測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<sst xmlns="http://schemas.openxmlformats.org/spreadsheetml/2006/main" count="1034" uniqueCount="753">
  <si>
    <r>
      <rPr>
        <b val="true"/>
        <sz val="14"/>
        <rFont val="Noto Sans CJK SC"/>
        <family val="2"/>
      </rPr>
      <t xml:space="preserve">單元</t>
    </r>
    <r>
      <rPr>
        <b val="true"/>
        <sz val="14"/>
        <rFont val="Microsoft JhengHei"/>
        <family val="0"/>
        <charset val="1"/>
      </rPr>
      <t xml:space="preserve">2A </t>
    </r>
    <r>
      <rPr>
        <b val="true"/>
        <sz val="14"/>
        <rFont val="Noto Sans CJK SC"/>
        <family val="2"/>
      </rPr>
      <t xml:space="preserve">量表發展八關｜模擬資料練習檔</t>
    </r>
  </si>
  <si>
    <r>
      <rPr>
        <sz val="11"/>
        <rFont val="Noto Sans CJK SC"/>
        <family val="2"/>
      </rPr>
      <t xml:space="preserve">情境：發展「臨床護理人員工作意義感量表」（模擬），三個構面：</t>
    </r>
    <r>
      <rPr>
        <sz val="11"/>
        <rFont val="Microsoft JhengHei"/>
        <family val="0"/>
        <charset val="1"/>
      </rPr>
      <t xml:space="preserve">V </t>
    </r>
    <r>
      <rPr>
        <sz val="11"/>
        <rFont val="Noto Sans CJK SC"/>
        <family val="2"/>
      </rPr>
      <t xml:space="preserve">工作價值、</t>
    </r>
    <r>
      <rPr>
        <sz val="11"/>
        <rFont val="Microsoft JhengHei"/>
        <family val="0"/>
        <charset val="1"/>
      </rPr>
      <t xml:space="preserve">G </t>
    </r>
    <r>
      <rPr>
        <sz val="11"/>
        <rFont val="Noto Sans CJK SC"/>
        <family val="2"/>
      </rPr>
      <t xml:space="preserve">專業成長、</t>
    </r>
    <r>
      <rPr>
        <sz val="11"/>
        <rFont val="Microsoft JhengHei"/>
        <family val="0"/>
        <charset val="1"/>
      </rPr>
      <t xml:space="preserve">C </t>
    </r>
    <r>
      <rPr>
        <sz val="11"/>
        <rFont val="Noto Sans CJK SC"/>
        <family val="2"/>
      </rPr>
      <t xml:space="preserve">團隊連結。</t>
    </r>
  </si>
  <si>
    <t xml:space="preserve">全部資料皆為教學用模擬資料，不代表真實調查結果。</t>
  </si>
  <si>
    <t xml:space="preserve">工作表對照</t>
  </si>
  <si>
    <r>
      <rPr>
        <sz val="11"/>
        <rFont val="Microsoft JhengHei"/>
        <family val="0"/>
        <charset val="1"/>
      </rPr>
      <t xml:space="preserve">3_</t>
    </r>
    <r>
      <rPr>
        <sz val="11"/>
        <rFont val="Noto Sans CJK SC"/>
        <family val="2"/>
      </rPr>
      <t xml:space="preserve">專家評分：第③關，</t>
    </r>
    <r>
      <rPr>
        <sz val="11"/>
        <rFont val="Microsoft JhengHei"/>
        <family val="0"/>
        <charset val="1"/>
      </rPr>
      <t xml:space="preserve">6 </t>
    </r>
    <r>
      <rPr>
        <sz val="11"/>
        <rFont val="Noto Sans CJK SC"/>
        <family val="2"/>
      </rPr>
      <t xml:space="preserve">位專家 </t>
    </r>
    <r>
      <rPr>
        <sz val="11"/>
        <rFont val="Microsoft JhengHei"/>
        <family val="0"/>
        <charset val="1"/>
      </rPr>
      <t xml:space="preserve">× 18 </t>
    </r>
    <r>
      <rPr>
        <sz val="11"/>
        <rFont val="Noto Sans CJK SC"/>
        <family val="2"/>
      </rPr>
      <t xml:space="preserve">題的相關性評分，算 </t>
    </r>
    <r>
      <rPr>
        <sz val="11"/>
        <rFont val="Microsoft JhengHei"/>
        <family val="0"/>
        <charset val="1"/>
      </rPr>
      <t xml:space="preserve">I-CVI </t>
    </r>
    <r>
      <rPr>
        <sz val="11"/>
        <rFont val="Noto Sans CJK SC"/>
        <family val="2"/>
      </rPr>
      <t xml:space="preserve">與 </t>
    </r>
    <r>
      <rPr>
        <sz val="11"/>
        <rFont val="Microsoft JhengHei"/>
        <family val="0"/>
        <charset val="1"/>
      </rPr>
      <t xml:space="preserve">S-CVI/Ave</t>
    </r>
    <r>
      <rPr>
        <sz val="11"/>
        <rFont val="Noto Sans CJK SC"/>
        <family val="2"/>
      </rPr>
      <t xml:space="preserve">（全部公式）</t>
    </r>
  </si>
  <si>
    <r>
      <rPr>
        <sz val="11"/>
        <rFont val="Microsoft JhengHei"/>
        <family val="0"/>
        <charset val="1"/>
      </rPr>
      <t xml:space="preserve">5_</t>
    </r>
    <r>
      <rPr>
        <sz val="11"/>
        <rFont val="Noto Sans CJK SC"/>
        <family val="2"/>
      </rPr>
      <t xml:space="preserve">樣本</t>
    </r>
    <r>
      <rPr>
        <sz val="11"/>
        <rFont val="Microsoft JhengHei"/>
        <family val="0"/>
        <charset val="1"/>
      </rPr>
      <t xml:space="preserve">A</t>
    </r>
    <r>
      <rPr>
        <sz val="11"/>
        <rFont val="Noto Sans CJK SC"/>
        <family val="2"/>
      </rPr>
      <t xml:space="preserve">：第⑤⑥關原始資料，有效樣本 </t>
    </r>
    <r>
      <rPr>
        <sz val="11"/>
        <rFont val="Microsoft JhengHei"/>
        <family val="0"/>
        <charset val="1"/>
      </rPr>
      <t xml:space="preserve">240 </t>
    </r>
    <r>
      <rPr>
        <sz val="11"/>
        <rFont val="Noto Sans CJK SC"/>
        <family val="2"/>
      </rPr>
      <t xml:space="preserve">人 </t>
    </r>
    <r>
      <rPr>
        <sz val="11"/>
        <rFont val="Microsoft JhengHei"/>
        <family val="0"/>
        <charset val="1"/>
      </rPr>
      <t xml:space="preserve">× 16 </t>
    </r>
    <r>
      <rPr>
        <sz val="11"/>
        <rFont val="Noto Sans CJK SC"/>
        <family val="2"/>
      </rPr>
      <t xml:space="preserve">題（④修正後題庫），含總分、高低組、刪題後總分輔助欄</t>
    </r>
  </si>
  <si>
    <r>
      <rPr>
        <sz val="11"/>
        <rFont val="Microsoft JhengHei"/>
        <family val="0"/>
        <charset val="1"/>
      </rPr>
      <t xml:space="preserve">5_</t>
    </r>
    <r>
      <rPr>
        <sz val="11"/>
        <rFont val="Noto Sans CJK SC"/>
        <family val="2"/>
      </rPr>
      <t xml:space="preserve">項目分析：第⑤關四把尺，全部公式；改動樣本</t>
    </r>
    <r>
      <rPr>
        <sz val="11"/>
        <rFont val="Microsoft JhengHei"/>
        <family val="0"/>
        <charset val="1"/>
      </rPr>
      <t xml:space="preserve">A</t>
    </r>
    <r>
      <rPr>
        <sz val="11"/>
        <rFont val="Noto Sans CJK SC"/>
        <family val="2"/>
      </rPr>
      <t xml:space="preserve">任何一格，結果會自動重算</t>
    </r>
  </si>
  <si>
    <r>
      <rPr>
        <sz val="11"/>
        <rFont val="Microsoft JhengHei"/>
        <family val="0"/>
        <charset val="1"/>
      </rPr>
      <t xml:space="preserve">6_EFA</t>
    </r>
    <r>
      <rPr>
        <sz val="11"/>
        <rFont val="Noto Sans CJK SC"/>
        <family val="2"/>
      </rPr>
      <t xml:space="preserve">結果：第⑥關以統計軟體跑出的結果（</t>
    </r>
    <r>
      <rPr>
        <sz val="11"/>
        <rFont val="Microsoft JhengHei"/>
        <family val="0"/>
        <charset val="1"/>
      </rPr>
      <t xml:space="preserve">Excel </t>
    </r>
    <r>
      <rPr>
        <sz val="11"/>
        <rFont val="Noto Sans CJK SC"/>
        <family val="2"/>
      </rPr>
      <t xml:space="preserve">無法做 </t>
    </r>
    <r>
      <rPr>
        <sz val="11"/>
        <rFont val="Microsoft JhengHei"/>
        <family val="0"/>
        <charset val="1"/>
      </rPr>
      <t xml:space="preserve">EFA</t>
    </r>
    <r>
      <rPr>
        <sz val="11"/>
        <rFont val="Noto Sans CJK SC"/>
        <family val="2"/>
      </rPr>
      <t xml:space="preserve">），請用 </t>
    </r>
    <r>
      <rPr>
        <sz val="11"/>
        <rFont val="Microsoft JhengHei"/>
        <family val="0"/>
        <charset val="1"/>
      </rPr>
      <t xml:space="preserve">JASP </t>
    </r>
    <r>
      <rPr>
        <sz val="11"/>
        <rFont val="Noto Sans CJK SC"/>
        <family val="2"/>
      </rPr>
      <t xml:space="preserve">開啟「樣本</t>
    </r>
    <r>
      <rPr>
        <sz val="11"/>
        <rFont val="Microsoft JhengHei"/>
        <family val="0"/>
        <charset val="1"/>
      </rPr>
      <t xml:space="preserve">A_EFA</t>
    </r>
    <r>
      <rPr>
        <sz val="11"/>
        <rFont val="Noto Sans CJK SC"/>
        <family val="2"/>
      </rPr>
      <t xml:space="preserve">用</t>
    </r>
    <r>
      <rPr>
        <sz val="11"/>
        <rFont val="Microsoft JhengHei"/>
        <family val="0"/>
        <charset val="1"/>
      </rPr>
      <t xml:space="preserve">_13</t>
    </r>
    <r>
      <rPr>
        <sz val="11"/>
        <rFont val="Noto Sans CJK SC"/>
        <family val="2"/>
      </rPr>
      <t xml:space="preserve">題</t>
    </r>
    <r>
      <rPr>
        <sz val="11"/>
        <rFont val="Microsoft JhengHei"/>
        <family val="0"/>
        <charset val="1"/>
      </rPr>
      <t xml:space="preserve">.csv</t>
    </r>
    <r>
      <rPr>
        <sz val="11"/>
        <rFont val="Noto Sans CJK SC"/>
        <family val="2"/>
      </rPr>
      <t xml:space="preserve">」自行重跑對照</t>
    </r>
  </si>
  <si>
    <r>
      <rPr>
        <sz val="11"/>
        <rFont val="Microsoft JhengHei"/>
        <family val="0"/>
        <charset val="1"/>
      </rPr>
      <t xml:space="preserve">7_</t>
    </r>
    <r>
      <rPr>
        <sz val="11"/>
        <rFont val="Noto Sans CJK SC"/>
        <family val="2"/>
      </rPr>
      <t xml:space="preserve">樣本</t>
    </r>
    <r>
      <rPr>
        <sz val="11"/>
        <rFont val="Microsoft JhengHei"/>
        <family val="0"/>
        <charset val="1"/>
      </rPr>
      <t xml:space="preserve">B</t>
    </r>
    <r>
      <rPr>
        <sz val="11"/>
        <rFont val="Noto Sans CJK SC"/>
        <family val="2"/>
      </rPr>
      <t xml:space="preserve">：第⑦⑧關原始資料，有效樣本 </t>
    </r>
    <r>
      <rPr>
        <sz val="11"/>
        <rFont val="Microsoft JhengHei"/>
        <family val="0"/>
        <charset val="1"/>
      </rPr>
      <t xml:space="preserve">280 </t>
    </r>
    <r>
      <rPr>
        <sz val="11"/>
        <rFont val="Noto Sans CJK SC"/>
        <family val="2"/>
      </rPr>
      <t xml:space="preserve">人 </t>
    </r>
    <r>
      <rPr>
        <sz val="11"/>
        <rFont val="Microsoft JhengHei"/>
        <family val="0"/>
        <charset val="1"/>
      </rPr>
      <t xml:space="preserve">× 12 </t>
    </r>
    <r>
      <rPr>
        <sz val="11"/>
        <rFont val="Noto Sans CJK SC"/>
        <family val="2"/>
      </rPr>
      <t xml:space="preserve">題（與樣本 </t>
    </r>
    <r>
      <rPr>
        <sz val="11"/>
        <rFont val="Microsoft JhengHei"/>
        <family val="0"/>
        <charset val="1"/>
      </rPr>
      <t xml:space="preserve">A </t>
    </r>
    <r>
      <rPr>
        <sz val="11"/>
        <rFont val="Noto Sans CJK SC"/>
        <family val="2"/>
      </rPr>
      <t xml:space="preserve">不重複）</t>
    </r>
  </si>
  <si>
    <r>
      <rPr>
        <sz val="11"/>
        <rFont val="Microsoft JhengHei"/>
        <family val="0"/>
        <charset val="1"/>
      </rPr>
      <t xml:space="preserve">7_CFA</t>
    </r>
    <r>
      <rPr>
        <sz val="11"/>
        <rFont val="Noto Sans CJK SC"/>
        <family val="2"/>
      </rPr>
      <t xml:space="preserve">結果：第⑦關軟體結果；</t>
    </r>
    <r>
      <rPr>
        <sz val="11"/>
        <rFont val="Microsoft JhengHei"/>
        <family val="0"/>
        <charset val="1"/>
      </rPr>
      <t xml:space="preserve">CFI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TLI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RMSEA </t>
    </r>
    <r>
      <rPr>
        <sz val="11"/>
        <rFont val="Noto Sans CJK SC"/>
        <family val="2"/>
      </rPr>
      <t xml:space="preserve">由卡方值以公式自行算出</t>
    </r>
  </si>
  <si>
    <r>
      <rPr>
        <sz val="11"/>
        <rFont val="Microsoft JhengHei"/>
        <family val="0"/>
        <charset val="1"/>
      </rPr>
      <t xml:space="preserve">8_</t>
    </r>
    <r>
      <rPr>
        <sz val="11"/>
        <rFont val="Noto Sans CJK SC"/>
        <family val="2"/>
      </rPr>
      <t xml:space="preserve">信效度：</t>
    </r>
    <r>
      <rPr>
        <sz val="11"/>
        <rFont val="Microsoft JhengHei"/>
        <family val="0"/>
        <charset val="1"/>
      </rPr>
      <t xml:space="preserve">AVE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CR</t>
    </r>
    <r>
      <rPr>
        <sz val="11"/>
        <rFont val="Noto Sans CJK SC"/>
        <family val="2"/>
      </rPr>
      <t xml:space="preserve">、√</t>
    </r>
    <r>
      <rPr>
        <sz val="11"/>
        <rFont val="Microsoft JhengHei"/>
        <family val="0"/>
        <charset val="1"/>
      </rPr>
      <t xml:space="preserve">AVE</t>
    </r>
    <r>
      <rPr>
        <sz val="11"/>
        <rFont val="Noto Sans CJK SC"/>
        <family val="2"/>
      </rPr>
      <t xml:space="preserve">、相關矩陣與 </t>
    </r>
    <r>
      <rPr>
        <sz val="11"/>
        <rFont val="Microsoft JhengHei"/>
        <family val="0"/>
        <charset val="1"/>
      </rPr>
      <t xml:space="preserve">HTMT</t>
    </r>
    <r>
      <rPr>
        <sz val="11"/>
        <rFont val="Noto Sans CJK SC"/>
        <family val="2"/>
      </rPr>
      <t xml:space="preserve">（全部公式）</t>
    </r>
  </si>
  <si>
    <r>
      <rPr>
        <sz val="11"/>
        <rFont val="Microsoft JhengHei"/>
        <family val="0"/>
        <charset val="1"/>
      </rPr>
      <t xml:space="preserve">8_</t>
    </r>
    <r>
      <rPr>
        <sz val="11"/>
        <rFont val="Noto Sans CJK SC"/>
        <family val="2"/>
      </rPr>
      <t xml:space="preserve">再測：樣本 </t>
    </r>
    <r>
      <rPr>
        <sz val="11"/>
        <rFont val="Microsoft JhengHei"/>
        <family val="0"/>
        <charset val="1"/>
      </rPr>
      <t xml:space="preserve">B </t>
    </r>
    <r>
      <rPr>
        <sz val="11"/>
        <rFont val="Noto Sans CJK SC"/>
        <family val="2"/>
      </rPr>
      <t xml:space="preserve">前 </t>
    </r>
    <r>
      <rPr>
        <sz val="11"/>
        <rFont val="Microsoft JhengHei"/>
        <family val="0"/>
        <charset val="1"/>
      </rPr>
      <t xml:space="preserve">60 </t>
    </r>
    <r>
      <rPr>
        <sz val="11"/>
        <rFont val="Noto Sans CJK SC"/>
        <family val="2"/>
      </rPr>
      <t xml:space="preserve">人於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週後再填 </t>
    </r>
    <r>
      <rPr>
        <sz val="11"/>
        <rFont val="Microsoft JhengHei"/>
        <family val="0"/>
        <charset val="1"/>
      </rPr>
      <t xml:space="preserve">12 </t>
    </r>
    <r>
      <rPr>
        <sz val="11"/>
        <rFont val="Noto Sans CJK SC"/>
        <family val="2"/>
      </rPr>
      <t xml:space="preserve">題，以二因子變異數分析算 </t>
    </r>
    <r>
      <rPr>
        <sz val="11"/>
        <rFont val="Microsoft JhengHei"/>
        <family val="0"/>
        <charset val="1"/>
      </rPr>
      <t xml:space="preserve">ICC</t>
    </r>
    <r>
      <rPr>
        <sz val="11"/>
        <rFont val="Noto Sans CJK SC"/>
        <family val="2"/>
      </rPr>
      <t xml:space="preserve">（全部公式）</t>
    </r>
  </si>
  <si>
    <t xml:space="preserve">顏色說明</t>
  </si>
  <si>
    <t xml:space="preserve">淡橘底＝輸入值（原始資料或軟體輸出，可修改）；淡藍綠底＝重點結果；其餘為公式計算欄</t>
  </si>
  <si>
    <t xml:space="preserve">判斷門檻（與投影片一致）</t>
  </si>
  <si>
    <r>
      <rPr>
        <sz val="11"/>
        <rFont val="Microsoft JhengHei"/>
        <family val="0"/>
        <charset val="1"/>
      </rPr>
      <t xml:space="preserve">③ I-CVI ≥ .78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S-CVI/Ave ≥ .90</t>
    </r>
    <r>
      <rPr>
        <sz val="11"/>
        <rFont val="Noto Sans CJK SC"/>
        <family val="2"/>
      </rPr>
      <t xml:space="preserve">｜⑤ 兩把尺以上不合格即刪｜⑥ </t>
    </r>
    <r>
      <rPr>
        <sz val="11"/>
        <rFont val="Microsoft JhengHei"/>
        <family val="0"/>
        <charset val="1"/>
      </rPr>
      <t xml:space="preserve">KMO &gt; .60</t>
    </r>
    <r>
      <rPr>
        <sz val="11"/>
        <rFont val="Noto Sans CJK SC"/>
        <family val="2"/>
      </rPr>
      <t xml:space="preserve">、主負荷 ≥ </t>
    </r>
    <r>
      <rPr>
        <sz val="11"/>
        <rFont val="Microsoft JhengHei"/>
        <family val="0"/>
        <charset val="1"/>
      </rPr>
      <t xml:space="preserve">.40</t>
    </r>
    <r>
      <rPr>
        <sz val="11"/>
        <rFont val="Noto Sans CJK SC"/>
        <family val="2"/>
      </rPr>
      <t xml:space="preserve">、無跨負荷｜⑦ </t>
    </r>
    <r>
      <rPr>
        <sz val="11"/>
        <rFont val="Microsoft JhengHei"/>
        <family val="0"/>
        <charset val="1"/>
      </rPr>
      <t xml:space="preserve">CFI ≥ .95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RMSEA ≤ .06</t>
    </r>
    <r>
      <rPr>
        <sz val="11"/>
        <rFont val="Noto Sans CJK SC"/>
        <family val="2"/>
      </rPr>
      <t xml:space="preserve">｜⑧ </t>
    </r>
    <r>
      <rPr>
        <sz val="11"/>
        <rFont val="Microsoft JhengHei"/>
        <family val="0"/>
        <charset val="1"/>
      </rPr>
      <t xml:space="preserve">AVE ≥ .50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CR ≥ .70</t>
    </r>
  </si>
  <si>
    <r>
      <rPr>
        <sz val="11"/>
        <rFont val="Noto Sans CJK SC"/>
        <family val="2"/>
      </rPr>
      <t xml:space="preserve">⑤ 四把尺：①平均數 ≥ </t>
    </r>
    <r>
      <rPr>
        <sz val="11"/>
        <rFont val="Microsoft JhengHei"/>
        <family val="0"/>
        <charset val="1"/>
      </rPr>
      <t xml:space="preserve">4.5 </t>
    </r>
    <r>
      <rPr>
        <sz val="11"/>
        <rFont val="Noto Sans CJK SC"/>
        <family val="2"/>
      </rPr>
      <t xml:space="preserve">或 ≤ </t>
    </r>
    <r>
      <rPr>
        <sz val="11"/>
        <rFont val="Microsoft JhengHei"/>
        <family val="0"/>
        <charset val="1"/>
      </rPr>
      <t xml:space="preserve">1.5</t>
    </r>
    <r>
      <rPr>
        <sz val="11"/>
        <rFont val="Noto Sans CJK SC"/>
        <family val="2"/>
      </rPr>
      <t xml:space="preserve">，或標準差 </t>
    </r>
    <r>
      <rPr>
        <sz val="11"/>
        <rFont val="Microsoft JhengHei"/>
        <family val="0"/>
        <charset val="1"/>
      </rPr>
      <t xml:space="preserve">&lt; .70</t>
    </r>
    <r>
      <rPr>
        <sz val="11"/>
        <rFont val="Noto Sans CJK SC"/>
        <family val="2"/>
      </rPr>
      <t xml:space="preserve">　②決斷值 </t>
    </r>
    <r>
      <rPr>
        <sz val="11"/>
        <rFont val="Microsoft JhengHei"/>
        <family val="0"/>
        <charset val="1"/>
      </rPr>
      <t xml:space="preserve">t &lt; 3</t>
    </r>
    <r>
      <rPr>
        <sz val="11"/>
        <rFont val="Noto Sans CJK SC"/>
        <family val="2"/>
      </rPr>
      <t xml:space="preserve">　③校正題總相關 </t>
    </r>
    <r>
      <rPr>
        <sz val="11"/>
        <rFont val="Microsoft JhengHei"/>
        <family val="0"/>
        <charset val="1"/>
      </rPr>
      <t xml:space="preserve">&lt; .30</t>
    </r>
    <r>
      <rPr>
        <sz val="11"/>
        <rFont val="Noto Sans CJK SC"/>
        <family val="2"/>
      </rPr>
      <t xml:space="preserve">　④刪題後 </t>
    </r>
    <r>
      <rPr>
        <sz val="11"/>
        <rFont val="Microsoft JhengHei"/>
        <family val="0"/>
        <charset val="1"/>
      </rPr>
      <t xml:space="preserve">α </t>
    </r>
    <r>
      <rPr>
        <sz val="11"/>
        <rFont val="Noto Sans CJK SC"/>
        <family val="2"/>
      </rPr>
      <t xml:space="preserve">高於整體 </t>
    </r>
    <r>
      <rPr>
        <sz val="11"/>
        <rFont val="Microsoft JhengHei"/>
        <family val="0"/>
        <charset val="1"/>
      </rPr>
      <t xml:space="preserve">α</t>
    </r>
  </si>
  <si>
    <r>
      <rPr>
        <sz val="11"/>
        <rFont val="Microsoft JhengHei"/>
        <family val="0"/>
        <charset val="1"/>
      </rPr>
      <t xml:space="preserve">HTMT &lt; .85</t>
    </r>
    <r>
      <rPr>
        <sz val="11"/>
        <rFont val="Noto Sans CJK SC"/>
        <family val="2"/>
      </rPr>
      <t xml:space="preserve">、</t>
    </r>
    <r>
      <rPr>
        <sz val="11"/>
        <rFont val="Microsoft JhengHei"/>
        <family val="0"/>
        <charset val="1"/>
      </rPr>
      <t xml:space="preserve">ICC ≥ .75 </t>
    </r>
    <r>
      <rPr>
        <sz val="11"/>
        <rFont val="Noto Sans CJK SC"/>
        <family val="2"/>
      </rPr>
      <t xml:space="preserve">為一般參考值</t>
    </r>
  </si>
  <si>
    <r>
      <rPr>
        <b val="true"/>
        <sz val="11"/>
        <rFont val="Noto Sans CJK SC"/>
        <family val="2"/>
      </rPr>
      <t xml:space="preserve">第③關 內容效度：</t>
    </r>
    <r>
      <rPr>
        <b val="true"/>
        <sz val="11"/>
        <rFont val="Microsoft JhengHei"/>
        <family val="0"/>
        <charset val="1"/>
      </rPr>
      <t xml:space="preserve">6 </t>
    </r>
    <r>
      <rPr>
        <b val="true"/>
        <sz val="11"/>
        <rFont val="Noto Sans CJK SC"/>
        <family val="2"/>
      </rPr>
      <t xml:space="preserve">位專家評「與構面的相關性」（</t>
    </r>
    <r>
      <rPr>
        <b val="true"/>
        <sz val="11"/>
        <rFont val="Microsoft JhengHei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不相關、</t>
    </r>
    <r>
      <rPr>
        <b val="true"/>
        <sz val="11"/>
        <rFont val="Microsoft JhengHei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有點相關、</t>
    </r>
    <r>
      <rPr>
        <b val="true"/>
        <sz val="11"/>
        <rFont val="Microsoft JhengHei"/>
        <family val="0"/>
        <charset val="1"/>
      </rPr>
      <t xml:space="preserve">3 </t>
    </r>
    <r>
      <rPr>
        <b val="true"/>
        <sz val="11"/>
        <rFont val="Noto Sans CJK SC"/>
        <family val="2"/>
      </rPr>
      <t xml:space="preserve">相關、</t>
    </r>
    <r>
      <rPr>
        <b val="true"/>
        <sz val="11"/>
        <rFont val="Microsoft JhengHei"/>
        <family val="0"/>
        <charset val="1"/>
      </rPr>
      <t xml:space="preserve">4 </t>
    </r>
    <r>
      <rPr>
        <b val="true"/>
        <sz val="11"/>
        <rFont val="Noto Sans CJK SC"/>
        <family val="2"/>
      </rPr>
      <t xml:space="preserve">非常相關）</t>
    </r>
  </si>
  <si>
    <t xml:space="preserve">題號</t>
  </si>
  <si>
    <t xml:space="preserve">題目（②題庫原稿）</t>
  </si>
  <si>
    <r>
      <rPr>
        <b val="true"/>
        <sz val="11"/>
        <color rgb="FFFFFFFF"/>
        <rFont val="Noto Sans CJK SC"/>
        <family val="2"/>
      </rPr>
      <t xml:space="preserve">專家</t>
    </r>
    <r>
      <rPr>
        <b val="true"/>
        <sz val="11"/>
        <color rgb="FFFFFFFF"/>
        <rFont val="Microsoft JhengHei"/>
        <family val="0"/>
        <charset val="1"/>
      </rPr>
      <t xml:space="preserve">1</t>
    </r>
  </si>
  <si>
    <r>
      <rPr>
        <b val="true"/>
        <sz val="11"/>
        <color rgb="FFFFFFFF"/>
        <rFont val="Noto Sans CJK SC"/>
        <family val="2"/>
      </rPr>
      <t xml:space="preserve">專家</t>
    </r>
    <r>
      <rPr>
        <b val="true"/>
        <sz val="11"/>
        <color rgb="FFFFFFFF"/>
        <rFont val="Microsoft JhengHei"/>
        <family val="0"/>
        <charset val="1"/>
      </rPr>
      <t xml:space="preserve">2</t>
    </r>
  </si>
  <si>
    <r>
      <rPr>
        <b val="true"/>
        <sz val="11"/>
        <color rgb="FFFFFFFF"/>
        <rFont val="Noto Sans CJK SC"/>
        <family val="2"/>
      </rPr>
      <t xml:space="preserve">專家</t>
    </r>
    <r>
      <rPr>
        <b val="true"/>
        <sz val="11"/>
        <color rgb="FFFFFFFF"/>
        <rFont val="Microsoft JhengHei"/>
        <family val="0"/>
        <charset val="1"/>
      </rPr>
      <t xml:space="preserve">3</t>
    </r>
  </si>
  <si>
    <r>
      <rPr>
        <b val="true"/>
        <sz val="11"/>
        <color rgb="FFFFFFFF"/>
        <rFont val="Noto Sans CJK SC"/>
        <family val="2"/>
      </rPr>
      <t xml:space="preserve">專家</t>
    </r>
    <r>
      <rPr>
        <b val="true"/>
        <sz val="11"/>
        <color rgb="FFFFFFFF"/>
        <rFont val="Microsoft JhengHei"/>
        <family val="0"/>
        <charset val="1"/>
      </rPr>
      <t xml:space="preserve">4</t>
    </r>
  </si>
  <si>
    <r>
      <rPr>
        <b val="true"/>
        <sz val="11"/>
        <color rgb="FFFFFFFF"/>
        <rFont val="Noto Sans CJK SC"/>
        <family val="2"/>
      </rPr>
      <t xml:space="preserve">專家</t>
    </r>
    <r>
      <rPr>
        <b val="true"/>
        <sz val="11"/>
        <color rgb="FFFFFFFF"/>
        <rFont val="Microsoft JhengHei"/>
        <family val="0"/>
        <charset val="1"/>
      </rPr>
      <t xml:space="preserve">5</t>
    </r>
  </si>
  <si>
    <r>
      <rPr>
        <b val="true"/>
        <sz val="11"/>
        <color rgb="FFFFFFFF"/>
        <rFont val="Noto Sans CJK SC"/>
        <family val="2"/>
      </rPr>
      <t xml:space="preserve">專家</t>
    </r>
    <r>
      <rPr>
        <b val="true"/>
        <sz val="11"/>
        <color rgb="FFFFFFFF"/>
        <rFont val="Microsoft JhengHei"/>
        <family val="0"/>
        <charset val="1"/>
      </rPr>
      <t xml:space="preserve">6</t>
    </r>
  </si>
  <si>
    <r>
      <rPr>
        <b val="true"/>
        <sz val="11"/>
        <color rgb="FFFFFFFF"/>
        <rFont val="Noto Sans CJK SC"/>
        <family val="2"/>
      </rPr>
      <t xml:space="preserve">給</t>
    </r>
    <r>
      <rPr>
        <b val="true"/>
        <sz val="11"/>
        <color rgb="FFFFFFFF"/>
        <rFont val="Microsoft JhengHei"/>
        <family val="0"/>
        <charset val="1"/>
      </rPr>
      <t xml:space="preserve">3</t>
    </r>
    <r>
      <rPr>
        <b val="true"/>
        <sz val="11"/>
        <color rgb="FFFFFFFF"/>
        <rFont val="Noto Sans CJK SC"/>
        <family val="2"/>
      </rPr>
      <t xml:space="preserve">或</t>
    </r>
    <r>
      <rPr>
        <b val="true"/>
        <sz val="11"/>
        <color rgb="FFFFFFFF"/>
        <rFont val="Microsoft JhengHei"/>
        <family val="0"/>
        <charset val="1"/>
      </rPr>
      <t xml:space="preserve">4</t>
    </r>
    <r>
      <rPr>
        <b val="true"/>
        <sz val="11"/>
        <color rgb="FFFFFFFF"/>
        <rFont val="Noto Sans CJK SC"/>
        <family val="2"/>
      </rPr>
      <t xml:space="preserve">分人數</t>
    </r>
  </si>
  <si>
    <t xml:space="preserve">I-CVI</t>
  </si>
  <si>
    <t xml:space="preserve">決策</t>
  </si>
  <si>
    <t xml:space="preserve">V1</t>
  </si>
  <si>
    <t xml:space="preserve">我覺得我的護理工作對病人很重要</t>
  </si>
  <si>
    <t xml:space="preserve">V2</t>
  </si>
  <si>
    <t xml:space="preserve">我的工作讓病人和家屬都受益</t>
  </si>
  <si>
    <t xml:space="preserve">V3</t>
  </si>
  <si>
    <t xml:space="preserve">我能從工作中看到自己的價值</t>
  </si>
  <si>
    <t xml:space="preserve">V4</t>
  </si>
  <si>
    <t xml:space="preserve">照顧病人讓我覺得這份工作值得</t>
  </si>
  <si>
    <t xml:space="preserve">V5</t>
  </si>
  <si>
    <t xml:space="preserve">護理是一份受社會尊敬的職業</t>
  </si>
  <si>
    <t xml:space="preserve">V6</t>
  </si>
  <si>
    <t xml:space="preserve">和同事一起幫助病人，讓我覺得工作有價值</t>
  </si>
  <si>
    <t xml:space="preserve">G1</t>
  </si>
  <si>
    <t xml:space="preserve">我在工作中持續學到新的專業知識</t>
  </si>
  <si>
    <t xml:space="preserve">G2</t>
  </si>
  <si>
    <t xml:space="preserve">我的臨床判斷能力越來越好</t>
  </si>
  <si>
    <t xml:space="preserve">G3</t>
  </si>
  <si>
    <t xml:space="preserve">工作中的挑戰讓我成長</t>
  </si>
  <si>
    <t xml:space="preserve">G4</t>
  </si>
  <si>
    <t xml:space="preserve">我會主動參加院內外的進修課程</t>
  </si>
  <si>
    <t xml:space="preserve">G5</t>
  </si>
  <si>
    <t xml:space="preserve">我覺得自己比剛入職時更有能力</t>
  </si>
  <si>
    <t xml:space="preserve">G6</t>
  </si>
  <si>
    <t xml:space="preserve">醫院提供足夠的教育訓練資源</t>
  </si>
  <si>
    <t xml:space="preserve">C1</t>
  </si>
  <si>
    <t xml:space="preserve">我和同事之間互相支持</t>
  </si>
  <si>
    <t xml:space="preserve">C2</t>
  </si>
  <si>
    <t xml:space="preserve">遇到困難時，我知道可以找誰幫忙</t>
  </si>
  <si>
    <t xml:space="preserve">C3</t>
  </si>
  <si>
    <t xml:space="preserve">我覺得單位同仁對我友善且很專業</t>
  </si>
  <si>
    <t xml:space="preserve">C4</t>
  </si>
  <si>
    <t xml:space="preserve">我是這個護理團隊的一份子</t>
  </si>
  <si>
    <t xml:space="preserve">C5</t>
  </si>
  <si>
    <t xml:space="preserve">我和其他職類（醫師、藥師）合作順利</t>
  </si>
  <si>
    <t xml:space="preserve">C6</t>
  </si>
  <si>
    <t xml:space="preserve">我認識單位裡的每一位同事</t>
  </si>
  <si>
    <r>
      <rPr>
        <b val="true"/>
        <sz val="11"/>
        <rFont val="Microsoft JhengHei"/>
        <family val="0"/>
        <charset val="1"/>
      </rPr>
      <t xml:space="preserve">S-CVI/Ave</t>
    </r>
    <r>
      <rPr>
        <b val="true"/>
        <sz val="11"/>
        <rFont val="Noto Sans CJK SC"/>
        <family val="2"/>
      </rPr>
      <t xml:space="preserve">（全部 </t>
    </r>
    <r>
      <rPr>
        <b val="true"/>
        <sz val="11"/>
        <rFont val="Microsoft JhengHei"/>
        <family val="0"/>
        <charset val="1"/>
      </rPr>
      <t xml:space="preserve">18 </t>
    </r>
    <r>
      <rPr>
        <b val="true"/>
        <sz val="11"/>
        <rFont val="Noto Sans CJK SC"/>
        <family val="2"/>
      </rPr>
      <t xml:space="preserve">題）</t>
    </r>
  </si>
  <si>
    <r>
      <rPr>
        <b val="true"/>
        <sz val="11"/>
        <rFont val="Microsoft JhengHei"/>
        <family val="0"/>
        <charset val="1"/>
      </rPr>
      <t xml:space="preserve">S-CVI/Ave</t>
    </r>
    <r>
      <rPr>
        <b val="true"/>
        <sz val="11"/>
        <rFont val="Noto Sans CJK SC"/>
        <family val="2"/>
      </rPr>
      <t xml:space="preserve">（刪除 </t>
    </r>
    <r>
      <rPr>
        <b val="true"/>
        <sz val="11"/>
        <rFont val="Microsoft JhengHei"/>
        <family val="0"/>
        <charset val="1"/>
      </rPr>
      <t xml:space="preserve">I-CVI &lt; .78 </t>
    </r>
    <r>
      <rPr>
        <b val="true"/>
        <sz val="11"/>
        <rFont val="Noto Sans CJK SC"/>
        <family val="2"/>
      </rPr>
      <t xml:space="preserve">後）</t>
    </r>
  </si>
  <si>
    <t xml:space="preserve">保留題數</t>
  </si>
  <si>
    <t xml:space="preserve">ID</t>
  </si>
  <si>
    <t xml:space="preserve">總分</t>
  </si>
  <si>
    <t xml:space="preserve">組別</t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</si>
  <si>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V1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</si>
  <si>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V2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</si>
  <si>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V3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</si>
  <si>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V4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</si>
  <si>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V6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</si>
  <si>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G1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</si>
  <si>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G2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</si>
  <si>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G3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</si>
  <si>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G4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</si>
  <si>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G5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</si>
  <si>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C1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</si>
  <si>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C2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</si>
  <si>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C3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</si>
  <si>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C4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</si>
  <si>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C5</t>
    </r>
  </si>
  <si>
    <r>
      <rPr>
        <b val="true"/>
        <sz val="11"/>
        <color rgb="FFFFFFFF"/>
        <rFont val="Noto Sans CJK SC"/>
        <family val="2"/>
      </rPr>
      <t xml:space="preserve">總分−</t>
    </r>
    <r>
      <rPr>
        <b val="true"/>
        <sz val="11"/>
        <color rgb="FFFFFFFF"/>
        <rFont val="Microsoft JhengHei"/>
        <family val="0"/>
        <charset val="1"/>
      </rPr>
      <t xml:space="preserve">C6</t>
    </r>
  </si>
  <si>
    <t xml:space="preserve">A001</t>
  </si>
  <si>
    <t xml:space="preserve">A002</t>
  </si>
  <si>
    <t xml:space="preserve">A003</t>
  </si>
  <si>
    <t xml:space="preserve">A004</t>
  </si>
  <si>
    <t xml:space="preserve">A005</t>
  </si>
  <si>
    <t xml:space="preserve">A006</t>
  </si>
  <si>
    <t xml:space="preserve">A007</t>
  </si>
  <si>
    <t xml:space="preserve">A008</t>
  </si>
  <si>
    <t xml:space="preserve">A009</t>
  </si>
  <si>
    <t xml:space="preserve">A010</t>
  </si>
  <si>
    <t xml:space="preserve">A011</t>
  </si>
  <si>
    <t xml:space="preserve">A012</t>
  </si>
  <si>
    <t xml:space="preserve">A013</t>
  </si>
  <si>
    <t xml:space="preserve">A014</t>
  </si>
  <si>
    <t xml:space="preserve">A015</t>
  </si>
  <si>
    <t xml:space="preserve">A016</t>
  </si>
  <si>
    <t xml:space="preserve">A017</t>
  </si>
  <si>
    <t xml:space="preserve">A018</t>
  </si>
  <si>
    <t xml:space="preserve">A019</t>
  </si>
  <si>
    <t xml:space="preserve">A020</t>
  </si>
  <si>
    <t xml:space="preserve">A021</t>
  </si>
  <si>
    <t xml:space="preserve">A022</t>
  </si>
  <si>
    <t xml:space="preserve">A023</t>
  </si>
  <si>
    <t xml:space="preserve">A024</t>
  </si>
  <si>
    <t xml:space="preserve">A025</t>
  </si>
  <si>
    <t xml:space="preserve">A026</t>
  </si>
  <si>
    <t xml:space="preserve">A027</t>
  </si>
  <si>
    <t xml:space="preserve">A028</t>
  </si>
  <si>
    <t xml:space="preserve">A029</t>
  </si>
  <si>
    <t xml:space="preserve">A030</t>
  </si>
  <si>
    <t xml:space="preserve">A031</t>
  </si>
  <si>
    <t xml:space="preserve">A032</t>
  </si>
  <si>
    <t xml:space="preserve">A033</t>
  </si>
  <si>
    <t xml:space="preserve">A034</t>
  </si>
  <si>
    <t xml:space="preserve">A035</t>
  </si>
  <si>
    <t xml:space="preserve">A036</t>
  </si>
  <si>
    <t xml:space="preserve">A037</t>
  </si>
  <si>
    <t xml:space="preserve">A038</t>
  </si>
  <si>
    <t xml:space="preserve">A039</t>
  </si>
  <si>
    <t xml:space="preserve">A040</t>
  </si>
  <si>
    <t xml:space="preserve">A041</t>
  </si>
  <si>
    <t xml:space="preserve">A042</t>
  </si>
  <si>
    <t xml:space="preserve">A043</t>
  </si>
  <si>
    <t xml:space="preserve">A044</t>
  </si>
  <si>
    <t xml:space="preserve">A045</t>
  </si>
  <si>
    <t xml:space="preserve">A046</t>
  </si>
  <si>
    <t xml:space="preserve">A047</t>
  </si>
  <si>
    <t xml:space="preserve">A048</t>
  </si>
  <si>
    <t xml:space="preserve">A049</t>
  </si>
  <si>
    <t xml:space="preserve">A050</t>
  </si>
  <si>
    <t xml:space="preserve">A051</t>
  </si>
  <si>
    <t xml:space="preserve">A052</t>
  </si>
  <si>
    <t xml:space="preserve">A053</t>
  </si>
  <si>
    <t xml:space="preserve">A054</t>
  </si>
  <si>
    <t xml:space="preserve">A055</t>
  </si>
  <si>
    <t xml:space="preserve">A056</t>
  </si>
  <si>
    <t xml:space="preserve">A057</t>
  </si>
  <si>
    <t xml:space="preserve">A058</t>
  </si>
  <si>
    <t xml:space="preserve">A059</t>
  </si>
  <si>
    <t xml:space="preserve">A060</t>
  </si>
  <si>
    <t xml:space="preserve">A061</t>
  </si>
  <si>
    <t xml:space="preserve">A062</t>
  </si>
  <si>
    <t xml:space="preserve">A063</t>
  </si>
  <si>
    <t xml:space="preserve">A064</t>
  </si>
  <si>
    <t xml:space="preserve">A065</t>
  </si>
  <si>
    <t xml:space="preserve">A066</t>
  </si>
  <si>
    <t xml:space="preserve">A067</t>
  </si>
  <si>
    <t xml:space="preserve">A068</t>
  </si>
  <si>
    <t xml:space="preserve">A069</t>
  </si>
  <si>
    <t xml:space="preserve">A070</t>
  </si>
  <si>
    <t xml:space="preserve">A071</t>
  </si>
  <si>
    <t xml:space="preserve">A072</t>
  </si>
  <si>
    <t xml:space="preserve">A073</t>
  </si>
  <si>
    <t xml:space="preserve">A074</t>
  </si>
  <si>
    <t xml:space="preserve">A075</t>
  </si>
  <si>
    <t xml:space="preserve">A076</t>
  </si>
  <si>
    <t xml:space="preserve">A077</t>
  </si>
  <si>
    <t xml:space="preserve">A078</t>
  </si>
  <si>
    <t xml:space="preserve">A079</t>
  </si>
  <si>
    <t xml:space="preserve">A080</t>
  </si>
  <si>
    <t xml:space="preserve">A081</t>
  </si>
  <si>
    <t xml:space="preserve">A082</t>
  </si>
  <si>
    <t xml:space="preserve">A083</t>
  </si>
  <si>
    <t xml:space="preserve">A084</t>
  </si>
  <si>
    <t xml:space="preserve">A085</t>
  </si>
  <si>
    <t xml:space="preserve">A086</t>
  </si>
  <si>
    <t xml:space="preserve">A087</t>
  </si>
  <si>
    <t xml:space="preserve">A088</t>
  </si>
  <si>
    <t xml:space="preserve">A089</t>
  </si>
  <si>
    <t xml:space="preserve">A090</t>
  </si>
  <si>
    <t xml:space="preserve">A091</t>
  </si>
  <si>
    <t xml:space="preserve">A092</t>
  </si>
  <si>
    <t xml:space="preserve">A093</t>
  </si>
  <si>
    <t xml:space="preserve">A094</t>
  </si>
  <si>
    <t xml:space="preserve">A095</t>
  </si>
  <si>
    <t xml:space="preserve">A096</t>
  </si>
  <si>
    <t xml:space="preserve">A097</t>
  </si>
  <si>
    <t xml:space="preserve">A098</t>
  </si>
  <si>
    <t xml:space="preserve">A099</t>
  </si>
  <si>
    <t xml:space="preserve">A100</t>
  </si>
  <si>
    <t xml:space="preserve">A101</t>
  </si>
  <si>
    <t xml:space="preserve">A102</t>
  </si>
  <si>
    <t xml:space="preserve">A103</t>
  </si>
  <si>
    <t xml:space="preserve">A104</t>
  </si>
  <si>
    <t xml:space="preserve">A105</t>
  </si>
  <si>
    <t xml:space="preserve">A106</t>
  </si>
  <si>
    <t xml:space="preserve">A107</t>
  </si>
  <si>
    <t xml:space="preserve">A108</t>
  </si>
  <si>
    <t xml:space="preserve">A109</t>
  </si>
  <si>
    <t xml:space="preserve">A110</t>
  </si>
  <si>
    <t xml:space="preserve">A111</t>
  </si>
  <si>
    <t xml:space="preserve">A112</t>
  </si>
  <si>
    <t xml:space="preserve">A113</t>
  </si>
  <si>
    <t xml:space="preserve">A114</t>
  </si>
  <si>
    <t xml:space="preserve">A115</t>
  </si>
  <si>
    <t xml:space="preserve">A116</t>
  </si>
  <si>
    <t xml:space="preserve">A117</t>
  </si>
  <si>
    <t xml:space="preserve">A118</t>
  </si>
  <si>
    <t xml:space="preserve">A119</t>
  </si>
  <si>
    <t xml:space="preserve">A120</t>
  </si>
  <si>
    <t xml:space="preserve">A121</t>
  </si>
  <si>
    <t xml:space="preserve">A122</t>
  </si>
  <si>
    <t xml:space="preserve">A123</t>
  </si>
  <si>
    <t xml:space="preserve">A124</t>
  </si>
  <si>
    <t xml:space="preserve">A125</t>
  </si>
  <si>
    <t xml:space="preserve">A126</t>
  </si>
  <si>
    <t xml:space="preserve">A127</t>
  </si>
  <si>
    <t xml:space="preserve">A128</t>
  </si>
  <si>
    <t xml:space="preserve">A129</t>
  </si>
  <si>
    <t xml:space="preserve">A130</t>
  </si>
  <si>
    <t xml:space="preserve">A131</t>
  </si>
  <si>
    <t xml:space="preserve">A132</t>
  </si>
  <si>
    <t xml:space="preserve">A133</t>
  </si>
  <si>
    <t xml:space="preserve">A134</t>
  </si>
  <si>
    <t xml:space="preserve">A135</t>
  </si>
  <si>
    <t xml:space="preserve">A136</t>
  </si>
  <si>
    <t xml:space="preserve">A137</t>
  </si>
  <si>
    <t xml:space="preserve">A138</t>
  </si>
  <si>
    <t xml:space="preserve">A139</t>
  </si>
  <si>
    <t xml:space="preserve">A140</t>
  </si>
  <si>
    <t xml:space="preserve">A141</t>
  </si>
  <si>
    <t xml:space="preserve">A142</t>
  </si>
  <si>
    <t xml:space="preserve">A143</t>
  </si>
  <si>
    <t xml:space="preserve">A144</t>
  </si>
  <si>
    <t xml:space="preserve">A145</t>
  </si>
  <si>
    <t xml:space="preserve">A146</t>
  </si>
  <si>
    <t xml:space="preserve">A147</t>
  </si>
  <si>
    <t xml:space="preserve">A148</t>
  </si>
  <si>
    <t xml:space="preserve">A149</t>
  </si>
  <si>
    <t xml:space="preserve">A150</t>
  </si>
  <si>
    <t xml:space="preserve">A151</t>
  </si>
  <si>
    <t xml:space="preserve">A152</t>
  </si>
  <si>
    <t xml:space="preserve">A153</t>
  </si>
  <si>
    <t xml:space="preserve">A154</t>
  </si>
  <si>
    <t xml:space="preserve">A155</t>
  </si>
  <si>
    <t xml:space="preserve">A156</t>
  </si>
  <si>
    <t xml:space="preserve">A157</t>
  </si>
  <si>
    <t xml:space="preserve">A158</t>
  </si>
  <si>
    <t xml:space="preserve">A159</t>
  </si>
  <si>
    <t xml:space="preserve">A160</t>
  </si>
  <si>
    <t xml:space="preserve">A161</t>
  </si>
  <si>
    <t xml:space="preserve">A162</t>
  </si>
  <si>
    <t xml:space="preserve">A163</t>
  </si>
  <si>
    <t xml:space="preserve">A164</t>
  </si>
  <si>
    <t xml:space="preserve">A165</t>
  </si>
  <si>
    <t xml:space="preserve">A166</t>
  </si>
  <si>
    <t xml:space="preserve">A167</t>
  </si>
  <si>
    <t xml:space="preserve">A168</t>
  </si>
  <si>
    <t xml:space="preserve">A169</t>
  </si>
  <si>
    <t xml:space="preserve">A170</t>
  </si>
  <si>
    <t xml:space="preserve">A171</t>
  </si>
  <si>
    <t xml:space="preserve">A172</t>
  </si>
  <si>
    <t xml:space="preserve">A173</t>
  </si>
  <si>
    <t xml:space="preserve">A174</t>
  </si>
  <si>
    <t xml:space="preserve">A175</t>
  </si>
  <si>
    <t xml:space="preserve">A176</t>
  </si>
  <si>
    <t xml:space="preserve">A177</t>
  </si>
  <si>
    <t xml:space="preserve">A178</t>
  </si>
  <si>
    <t xml:space="preserve">A179</t>
  </si>
  <si>
    <t xml:space="preserve">A180</t>
  </si>
  <si>
    <t xml:space="preserve">A181</t>
  </si>
  <si>
    <t xml:space="preserve">A182</t>
  </si>
  <si>
    <t xml:space="preserve">A183</t>
  </si>
  <si>
    <t xml:space="preserve">A184</t>
  </si>
  <si>
    <t xml:space="preserve">A185</t>
  </si>
  <si>
    <t xml:space="preserve">A186</t>
  </si>
  <si>
    <t xml:space="preserve">A187</t>
  </si>
  <si>
    <t xml:space="preserve">A188</t>
  </si>
  <si>
    <t xml:space="preserve">A189</t>
  </si>
  <si>
    <t xml:space="preserve">A190</t>
  </si>
  <si>
    <t xml:space="preserve">A191</t>
  </si>
  <si>
    <t xml:space="preserve">A192</t>
  </si>
  <si>
    <t xml:space="preserve">A193</t>
  </si>
  <si>
    <t xml:space="preserve">A194</t>
  </si>
  <si>
    <t xml:space="preserve">A195</t>
  </si>
  <si>
    <t xml:space="preserve">A196</t>
  </si>
  <si>
    <t xml:space="preserve">A197</t>
  </si>
  <si>
    <t xml:space="preserve">A198</t>
  </si>
  <si>
    <t xml:space="preserve">A199</t>
  </si>
  <si>
    <t xml:space="preserve">A200</t>
  </si>
  <si>
    <t xml:space="preserve">A201</t>
  </si>
  <si>
    <t xml:space="preserve">A202</t>
  </si>
  <si>
    <t xml:space="preserve">A203</t>
  </si>
  <si>
    <t xml:space="preserve">A204</t>
  </si>
  <si>
    <t xml:space="preserve">A205</t>
  </si>
  <si>
    <t xml:space="preserve">A206</t>
  </si>
  <si>
    <t xml:space="preserve">A207</t>
  </si>
  <si>
    <t xml:space="preserve">A208</t>
  </si>
  <si>
    <t xml:space="preserve">A209</t>
  </si>
  <si>
    <t xml:space="preserve">A210</t>
  </si>
  <si>
    <t xml:space="preserve">A211</t>
  </si>
  <si>
    <t xml:space="preserve">A212</t>
  </si>
  <si>
    <t xml:space="preserve">A213</t>
  </si>
  <si>
    <t xml:space="preserve">A214</t>
  </si>
  <si>
    <t xml:space="preserve">A215</t>
  </si>
  <si>
    <t xml:space="preserve">A216</t>
  </si>
  <si>
    <t xml:space="preserve">A217</t>
  </si>
  <si>
    <t xml:space="preserve">A218</t>
  </si>
  <si>
    <t xml:space="preserve">A219</t>
  </si>
  <si>
    <t xml:space="preserve">A220</t>
  </si>
  <si>
    <t xml:space="preserve">A221</t>
  </si>
  <si>
    <t xml:space="preserve">A222</t>
  </si>
  <si>
    <t xml:space="preserve">A223</t>
  </si>
  <si>
    <t xml:space="preserve">A224</t>
  </si>
  <si>
    <t xml:space="preserve">A225</t>
  </si>
  <si>
    <t xml:space="preserve">A226</t>
  </si>
  <si>
    <t xml:space="preserve">A227</t>
  </si>
  <si>
    <t xml:space="preserve">A228</t>
  </si>
  <si>
    <t xml:space="preserve">A229</t>
  </si>
  <si>
    <t xml:space="preserve">A230</t>
  </si>
  <si>
    <t xml:space="preserve">A231</t>
  </si>
  <si>
    <t xml:space="preserve">A232</t>
  </si>
  <si>
    <t xml:space="preserve">A233</t>
  </si>
  <si>
    <t xml:space="preserve">A234</t>
  </si>
  <si>
    <t xml:space="preserve">A235</t>
  </si>
  <si>
    <t xml:space="preserve">A236</t>
  </si>
  <si>
    <t xml:space="preserve">A237</t>
  </si>
  <si>
    <t xml:space="preserve">A238</t>
  </si>
  <si>
    <t xml:space="preserve">A239</t>
  </si>
  <si>
    <t xml:space="preserve">A240</t>
  </si>
  <si>
    <r>
      <rPr>
        <b val="true"/>
        <sz val="11"/>
        <rFont val="Noto Sans CJK SC"/>
        <family val="2"/>
      </rPr>
      <t xml:space="preserve">第⑤關 項目分析：四把尺（全部公式，資料來自「</t>
    </r>
    <r>
      <rPr>
        <b val="true"/>
        <sz val="11"/>
        <rFont val="Microsoft JhengHei"/>
        <family val="0"/>
        <charset val="1"/>
      </rPr>
      <t xml:space="preserve">5_</t>
    </r>
    <r>
      <rPr>
        <b val="true"/>
        <sz val="11"/>
        <rFont val="Noto Sans CJK SC"/>
        <family val="2"/>
      </rPr>
      <t xml:space="preserve">樣本</t>
    </r>
    <r>
      <rPr>
        <b val="true"/>
        <sz val="11"/>
        <rFont val="Microsoft JhengHei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」）</t>
    </r>
  </si>
  <si>
    <r>
      <rPr>
        <b val="true"/>
        <sz val="11"/>
        <rFont val="Noto Sans CJK SC"/>
        <family val="2"/>
      </rPr>
      <t xml:space="preserve">有效樣本數 </t>
    </r>
    <r>
      <rPr>
        <b val="true"/>
        <sz val="11"/>
        <rFont val="Microsoft JhengHei"/>
        <family val="0"/>
        <charset val="1"/>
      </rPr>
      <t xml:space="preserve">n</t>
    </r>
  </si>
  <si>
    <r>
      <rPr>
        <b val="true"/>
        <sz val="11"/>
        <rFont val="Noto Sans CJK SC"/>
        <family val="2"/>
      </rPr>
      <t xml:space="preserve">每組人數 </t>
    </r>
    <r>
      <rPr>
        <b val="true"/>
        <sz val="11"/>
        <rFont val="Microsoft JhengHei"/>
        <family val="0"/>
        <charset val="1"/>
      </rPr>
      <t xml:space="preserve">= n × 27%</t>
    </r>
    <r>
      <rPr>
        <b val="true"/>
        <sz val="11"/>
        <rFont val="Noto Sans CJK SC"/>
        <family val="2"/>
      </rPr>
      <t xml:space="preserve">（四捨五入）</t>
    </r>
  </si>
  <si>
    <r>
      <rPr>
        <b val="true"/>
        <sz val="11"/>
        <rFont val="Noto Sans CJK SC"/>
        <family val="2"/>
      </rPr>
      <t xml:space="preserve">低分組切點（第 </t>
    </r>
    <r>
      <rPr>
        <b val="true"/>
        <sz val="11"/>
        <rFont val="Microsoft JhengHei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低的總分，含同分者）</t>
    </r>
  </si>
  <si>
    <r>
      <rPr>
        <b val="true"/>
        <sz val="11"/>
        <rFont val="Noto Sans CJK SC"/>
        <family val="2"/>
      </rPr>
      <t xml:space="preserve">高分組切點（第 </t>
    </r>
    <r>
      <rPr>
        <b val="true"/>
        <sz val="11"/>
        <rFont val="Microsoft JhengHei"/>
        <family val="0"/>
        <charset val="1"/>
      </rPr>
      <t xml:space="preserve">g </t>
    </r>
    <r>
      <rPr>
        <b val="true"/>
        <sz val="11"/>
        <rFont val="Noto Sans CJK SC"/>
        <family val="2"/>
      </rPr>
      <t xml:space="preserve">高的總分，含同分者）</t>
    </r>
  </si>
  <si>
    <r>
      <rPr>
        <b val="true"/>
        <sz val="11"/>
        <rFont val="Noto Sans CJK SC"/>
        <family val="2"/>
      </rPr>
      <t xml:space="preserve">題數 </t>
    </r>
    <r>
      <rPr>
        <b val="true"/>
        <sz val="11"/>
        <rFont val="Microsoft JhengHei"/>
        <family val="0"/>
        <charset val="1"/>
      </rPr>
      <t xml:space="preserve">k</t>
    </r>
  </si>
  <si>
    <r>
      <rPr>
        <b val="true"/>
        <sz val="11"/>
        <rFont val="Noto Sans CJK SC"/>
        <family val="2"/>
      </rPr>
      <t xml:space="preserve">整體 </t>
    </r>
    <r>
      <rPr>
        <b val="true"/>
        <sz val="11"/>
        <rFont val="Microsoft JhengHei"/>
        <family val="0"/>
        <charset val="1"/>
      </rPr>
      <t xml:space="preserve">Cronbach’s α</t>
    </r>
  </si>
  <si>
    <t xml:space="preserve">題目</t>
  </si>
  <si>
    <t xml:space="preserve">平均數</t>
  </si>
  <si>
    <t xml:space="preserve">標準差</t>
  </si>
  <si>
    <t xml:space="preserve">變異數</t>
  </si>
  <si>
    <t xml:space="preserve">高組人數</t>
  </si>
  <si>
    <t xml:space="preserve">低組人數</t>
  </si>
  <si>
    <t xml:space="preserve">高組平均</t>
  </si>
  <si>
    <t xml:space="preserve">低組平均</t>
  </si>
  <si>
    <t xml:space="preserve">高組變異數</t>
  </si>
  <si>
    <t xml:space="preserve">低組變異數</t>
  </si>
  <si>
    <r>
      <rPr>
        <b val="true"/>
        <sz val="11"/>
        <color rgb="FFFFFFFF"/>
        <rFont val="Noto Sans CJK SC"/>
        <family val="2"/>
      </rPr>
      <t xml:space="preserve">決斷值 </t>
    </r>
    <r>
      <rPr>
        <b val="true"/>
        <sz val="11"/>
        <color rgb="FFFFFFFF"/>
        <rFont val="Microsoft JhengHei"/>
        <family val="0"/>
        <charset val="1"/>
      </rPr>
      <t xml:space="preserve">t</t>
    </r>
  </si>
  <si>
    <t xml:space="preserve">校正題總相關</t>
  </si>
  <si>
    <r>
      <rPr>
        <b val="true"/>
        <sz val="11"/>
        <color rgb="FFFFFFFF"/>
        <rFont val="Noto Sans CJK SC"/>
        <family val="2"/>
      </rPr>
      <t xml:space="preserve">刪題後 </t>
    </r>
    <r>
      <rPr>
        <b val="true"/>
        <sz val="11"/>
        <color rgb="FFFFFFFF"/>
        <rFont val="Microsoft JhengHei"/>
        <family val="0"/>
        <charset val="1"/>
      </rPr>
      <t xml:space="preserve">α</t>
    </r>
  </si>
  <si>
    <r>
      <rPr>
        <b val="true"/>
        <sz val="11"/>
        <color rgb="FFFFFFFF"/>
        <rFont val="Noto Sans CJK SC"/>
        <family val="2"/>
      </rPr>
      <t xml:space="preserve">尺</t>
    </r>
    <r>
      <rPr>
        <b val="true"/>
        <sz val="11"/>
        <color rgb="FFFFFFFF"/>
        <rFont val="Microsoft JhengHei"/>
        <family val="0"/>
        <charset val="1"/>
      </rPr>
      <t xml:space="preserve">1 </t>
    </r>
    <r>
      <rPr>
        <b val="true"/>
        <sz val="11"/>
        <color rgb="FFFFFFFF"/>
        <rFont val="Noto Sans CJK SC"/>
        <family val="2"/>
      </rPr>
      <t xml:space="preserve">描述</t>
    </r>
  </si>
  <si>
    <r>
      <rPr>
        <b val="true"/>
        <sz val="11"/>
        <color rgb="FFFFFFFF"/>
        <rFont val="Noto Sans CJK SC"/>
        <family val="2"/>
      </rPr>
      <t xml:space="preserve">尺</t>
    </r>
    <r>
      <rPr>
        <b val="true"/>
        <sz val="11"/>
        <color rgb="FFFFFFFF"/>
        <rFont val="Microsoft JhengHei"/>
        <family val="0"/>
        <charset val="1"/>
      </rPr>
      <t xml:space="preserve">2 </t>
    </r>
    <r>
      <rPr>
        <b val="true"/>
        <sz val="11"/>
        <color rgb="FFFFFFFF"/>
        <rFont val="Noto Sans CJK SC"/>
        <family val="2"/>
      </rPr>
      <t xml:space="preserve">決斷值</t>
    </r>
  </si>
  <si>
    <r>
      <rPr>
        <b val="true"/>
        <sz val="11"/>
        <color rgb="FFFFFFFF"/>
        <rFont val="Noto Sans CJK SC"/>
        <family val="2"/>
      </rPr>
      <t xml:space="preserve">尺</t>
    </r>
    <r>
      <rPr>
        <b val="true"/>
        <sz val="11"/>
        <color rgb="FFFFFFFF"/>
        <rFont val="Microsoft JhengHei"/>
        <family val="0"/>
        <charset val="1"/>
      </rPr>
      <t xml:space="preserve">3 </t>
    </r>
    <r>
      <rPr>
        <b val="true"/>
        <sz val="11"/>
        <color rgb="FFFFFFFF"/>
        <rFont val="Noto Sans CJK SC"/>
        <family val="2"/>
      </rPr>
      <t xml:space="preserve">題總相關</t>
    </r>
  </si>
  <si>
    <r>
      <rPr>
        <b val="true"/>
        <sz val="11"/>
        <color rgb="FFFFFFFF"/>
        <rFont val="Noto Sans CJK SC"/>
        <family val="2"/>
      </rPr>
      <t xml:space="preserve">尺</t>
    </r>
    <r>
      <rPr>
        <b val="true"/>
        <sz val="11"/>
        <color rgb="FFFFFFFF"/>
        <rFont val="Microsoft JhengHei"/>
        <family val="0"/>
        <charset val="1"/>
      </rPr>
      <t xml:space="preserve">4 </t>
    </r>
    <r>
      <rPr>
        <b val="true"/>
        <sz val="11"/>
        <color rgb="FFFFFFFF"/>
        <rFont val="Noto Sans CJK SC"/>
        <family val="2"/>
      </rPr>
      <t xml:space="preserve">刪題後</t>
    </r>
    <r>
      <rPr>
        <b val="true"/>
        <sz val="11"/>
        <color rgb="FFFFFFFF"/>
        <rFont val="Microsoft JhengHei"/>
        <family val="0"/>
        <charset val="1"/>
      </rPr>
      <t xml:space="preserve">α</t>
    </r>
  </si>
  <si>
    <t xml:space="preserve">不合格數</t>
  </si>
  <si>
    <t xml:space="preserve">我的照護能讓病人的狀況變好</t>
  </si>
  <si>
    <t xml:space="preserve">單位同仁會主動關心我</t>
  </si>
  <si>
    <r>
      <rPr>
        <sz val="11"/>
        <rFont val="Noto Sans CJK SC"/>
        <family val="2"/>
      </rPr>
      <t xml:space="preserve">尺</t>
    </r>
    <r>
      <rPr>
        <sz val="11"/>
        <rFont val="Microsoft JhengHei"/>
        <family val="0"/>
        <charset val="1"/>
      </rPr>
      <t xml:space="preserve">1</t>
    </r>
    <r>
      <rPr>
        <sz val="11"/>
        <rFont val="Noto Sans CJK SC"/>
        <family val="2"/>
      </rPr>
      <t xml:space="preserve">：平均數 ≥ </t>
    </r>
    <r>
      <rPr>
        <sz val="11"/>
        <rFont val="Microsoft JhengHei"/>
        <family val="0"/>
        <charset val="1"/>
      </rPr>
      <t xml:space="preserve">4.5 </t>
    </r>
    <r>
      <rPr>
        <sz val="11"/>
        <rFont val="Noto Sans CJK SC"/>
        <family val="2"/>
      </rPr>
      <t xml:space="preserve">或 ≤ </t>
    </r>
    <r>
      <rPr>
        <sz val="11"/>
        <rFont val="Microsoft JhengHei"/>
        <family val="0"/>
        <charset val="1"/>
      </rPr>
      <t xml:space="preserve">1.5</t>
    </r>
    <r>
      <rPr>
        <sz val="11"/>
        <rFont val="Noto Sans CJK SC"/>
        <family val="2"/>
      </rPr>
      <t xml:space="preserve">（天花板／地板），或標準差 </t>
    </r>
    <r>
      <rPr>
        <sz val="11"/>
        <rFont val="Microsoft JhengHei"/>
        <family val="0"/>
        <charset val="1"/>
      </rPr>
      <t xml:space="preserve">&lt; .70</t>
    </r>
    <r>
      <rPr>
        <sz val="11"/>
        <rFont val="Noto Sans CJK SC"/>
        <family val="2"/>
      </rPr>
      <t xml:space="preserve">，記 </t>
    </r>
    <r>
      <rPr>
        <sz val="11"/>
        <rFont val="Microsoft JhengHei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</si>
  <si>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尺</t>
    </r>
    <r>
      <rPr>
        <sz val="11"/>
        <rFont val="Microsoft JhengHei"/>
        <family val="0"/>
        <charset val="1"/>
      </rPr>
      <t xml:space="preserve">2</t>
    </r>
    <r>
      <rPr>
        <sz val="11"/>
        <rFont val="Noto Sans CJK SC"/>
        <family val="2"/>
      </rPr>
      <t xml:space="preserve">：決斷值 </t>
    </r>
    <r>
      <rPr>
        <sz val="11"/>
        <rFont val="Microsoft JhengHei"/>
        <family val="0"/>
        <charset val="1"/>
      </rPr>
      <t xml:space="preserve">t =</t>
    </r>
    <r>
      <rPr>
        <sz val="11"/>
        <rFont val="Noto Sans CJK SC"/>
        <family val="2"/>
      </rPr>
      <t xml:space="preserve">（高組平均 − 低組平均）</t>
    </r>
    <r>
      <rPr>
        <sz val="11"/>
        <rFont val="Microsoft JhengHei"/>
        <family val="0"/>
        <charset val="1"/>
      </rPr>
      <t xml:space="preserve">÷ √(</t>
    </r>
    <r>
      <rPr>
        <sz val="11"/>
        <rFont val="Noto Sans CJK SC"/>
        <family val="2"/>
      </rPr>
      <t xml:space="preserve">高組變異數</t>
    </r>
    <r>
      <rPr>
        <sz val="11"/>
        <rFont val="Microsoft JhengHei"/>
        <family val="0"/>
        <charset val="1"/>
      </rPr>
      <t xml:space="preserve">/</t>
    </r>
    <r>
      <rPr>
        <sz val="11"/>
        <rFont val="Noto Sans CJK SC"/>
        <family val="2"/>
      </rPr>
      <t xml:space="preserve">高組人數 </t>
    </r>
    <r>
      <rPr>
        <sz val="11"/>
        <rFont val="Microsoft JhengHei"/>
        <family val="0"/>
        <charset val="1"/>
      </rPr>
      <t xml:space="preserve">+ </t>
    </r>
    <r>
      <rPr>
        <sz val="11"/>
        <rFont val="Noto Sans CJK SC"/>
        <family val="2"/>
      </rPr>
      <t xml:space="preserve">低組變異數</t>
    </r>
    <r>
      <rPr>
        <sz val="11"/>
        <rFont val="Microsoft JhengHei"/>
        <family val="0"/>
        <charset val="1"/>
      </rPr>
      <t xml:space="preserve">/</t>
    </r>
    <r>
      <rPr>
        <sz val="11"/>
        <rFont val="Noto Sans CJK SC"/>
        <family val="2"/>
      </rPr>
      <t xml:space="preserve">低組人數</t>
    </r>
    <r>
      <rPr>
        <sz val="11"/>
        <rFont val="Microsoft JhengHei"/>
        <family val="0"/>
        <charset val="1"/>
      </rPr>
      <t xml:space="preserve">)</t>
    </r>
    <r>
      <rPr>
        <sz val="11"/>
        <rFont val="Noto Sans CJK SC"/>
        <family val="2"/>
      </rPr>
      <t xml:space="preserve">；</t>
    </r>
    <r>
      <rPr>
        <sz val="11"/>
        <rFont val="Microsoft JhengHei"/>
        <family val="0"/>
        <charset val="1"/>
      </rPr>
      <t xml:space="preserve">t &lt; 3 </t>
    </r>
    <r>
      <rPr>
        <sz val="11"/>
        <rFont val="Noto Sans CJK SC"/>
        <family val="2"/>
      </rPr>
      <t xml:space="preserve">記 </t>
    </r>
    <r>
      <rPr>
        <sz val="11"/>
        <rFont val="Microsoft JhengHei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</si>
  <si>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尺</t>
    </r>
    <r>
      <rPr>
        <sz val="11"/>
        <rFont val="Microsoft JhengHei"/>
        <family val="0"/>
        <charset val="1"/>
      </rPr>
      <t xml:space="preserve">3</t>
    </r>
    <r>
      <rPr>
        <sz val="11"/>
        <rFont val="Noto Sans CJK SC"/>
        <family val="2"/>
      </rPr>
      <t xml:space="preserve">：校正題總相關＝該題與「總分扣掉該題」的相關；</t>
    </r>
    <r>
      <rPr>
        <sz val="11"/>
        <rFont val="Microsoft JhengHei"/>
        <family val="0"/>
        <charset val="1"/>
      </rPr>
      <t xml:space="preserve">&lt; .30 </t>
    </r>
    <r>
      <rPr>
        <sz val="11"/>
        <rFont val="Noto Sans CJK SC"/>
        <family val="2"/>
      </rPr>
      <t xml:space="preserve">記 </t>
    </r>
    <r>
      <rPr>
        <sz val="11"/>
        <rFont val="Microsoft JhengHei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</si>
  <si>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尺</t>
    </r>
    <r>
      <rPr>
        <sz val="11"/>
        <rFont val="Microsoft JhengHei"/>
        <family val="0"/>
        <charset val="1"/>
      </rPr>
      <t xml:space="preserve">4</t>
    </r>
    <r>
      <rPr>
        <sz val="11"/>
        <rFont val="Noto Sans CJK SC"/>
        <family val="2"/>
      </rPr>
      <t xml:space="preserve">：刪題後 </t>
    </r>
    <r>
      <rPr>
        <sz val="11"/>
        <rFont val="Microsoft JhengHei"/>
        <family val="0"/>
        <charset val="1"/>
      </rPr>
      <t xml:space="preserve">α = (k−1)/(k−2) × [1 − (</t>
    </r>
    <r>
      <rPr>
        <sz val="11"/>
        <rFont val="Noto Sans CJK SC"/>
        <family val="2"/>
      </rPr>
      <t xml:space="preserve">各題變異數總和 − 該題變異數</t>
    </r>
    <r>
      <rPr>
        <sz val="11"/>
        <rFont val="Microsoft JhengHei"/>
        <family val="0"/>
        <charset val="1"/>
      </rPr>
      <t xml:space="preserve">) ÷ </t>
    </r>
    <r>
      <rPr>
        <sz val="11"/>
        <rFont val="Noto Sans CJK SC"/>
        <family val="2"/>
      </rPr>
      <t xml:space="preserve">刪題後總分變異數</t>
    </r>
    <r>
      <rPr>
        <sz val="11"/>
        <rFont val="Microsoft JhengHei"/>
        <family val="0"/>
        <charset val="1"/>
      </rPr>
      <t xml:space="preserve">]</t>
    </r>
    <r>
      <rPr>
        <sz val="11"/>
        <rFont val="Noto Sans CJK SC"/>
        <family val="2"/>
      </rPr>
      <t xml:space="preserve">；高於整體 </t>
    </r>
    <r>
      <rPr>
        <sz val="11"/>
        <rFont val="Microsoft JhengHei"/>
        <family val="0"/>
        <charset val="1"/>
      </rPr>
      <t xml:space="preserve">α </t>
    </r>
    <r>
      <rPr>
        <sz val="11"/>
        <rFont val="Noto Sans CJK SC"/>
        <family val="2"/>
      </rPr>
      <t xml:space="preserve">記 </t>
    </r>
    <r>
      <rPr>
        <sz val="11"/>
        <rFont val="Microsoft JhengHei"/>
        <family val="0"/>
        <charset val="1"/>
      </rPr>
      <t xml:space="preserve">1</t>
    </r>
  </si>
  <si>
    <r>
      <rPr>
        <sz val="11"/>
        <rFont val="Noto Sans CJK SC"/>
        <family val="2"/>
      </rPr>
      <t xml:space="preserve">高低組含同分者，因此兩組人數可能略多於 </t>
    </r>
    <r>
      <rPr>
        <sz val="11"/>
        <rFont val="Microsoft JhengHei"/>
        <family val="0"/>
        <charset val="1"/>
      </rPr>
      <t xml:space="preserve">n × 27%</t>
    </r>
  </si>
  <si>
    <r>
      <rPr>
        <b val="true"/>
        <sz val="11"/>
        <rFont val="Noto Sans CJK SC"/>
        <family val="2"/>
      </rPr>
      <t xml:space="preserve">第⑥關 </t>
    </r>
    <r>
      <rPr>
        <b val="true"/>
        <sz val="11"/>
        <rFont val="Microsoft JhengHei"/>
        <family val="0"/>
        <charset val="1"/>
      </rPr>
      <t xml:space="preserve">EFA </t>
    </r>
    <r>
      <rPr>
        <b val="true"/>
        <sz val="11"/>
        <rFont val="Noto Sans CJK SC"/>
        <family val="2"/>
      </rPr>
      <t xml:space="preserve">結果（主軸因子法＋</t>
    </r>
    <r>
      <rPr>
        <b val="true"/>
        <sz val="11"/>
        <rFont val="Microsoft JhengHei"/>
        <family val="0"/>
        <charset val="1"/>
      </rPr>
      <t xml:space="preserve">Promax </t>
    </r>
    <r>
      <rPr>
        <b val="true"/>
        <sz val="11"/>
        <rFont val="Noto Sans CJK SC"/>
        <family val="2"/>
      </rPr>
      <t xml:space="preserve">斜交轉軸；以樣本 </t>
    </r>
    <r>
      <rPr>
        <b val="true"/>
        <sz val="11"/>
        <rFont val="Microsoft JhengHei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刪除 </t>
    </r>
    <r>
      <rPr>
        <b val="true"/>
        <sz val="11"/>
        <rFont val="Microsoft JhengHei"/>
        <family val="0"/>
        <charset val="1"/>
      </rPr>
      <t xml:space="preserve">G4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Microsoft JhengHei"/>
        <family val="0"/>
        <charset val="1"/>
      </rPr>
      <t xml:space="preserve">C5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Microsoft JhengHei"/>
        <family val="0"/>
        <charset val="1"/>
      </rPr>
      <t xml:space="preserve">C6 </t>
    </r>
    <r>
      <rPr>
        <b val="true"/>
        <sz val="11"/>
        <rFont val="Noto Sans CJK SC"/>
        <family val="2"/>
      </rPr>
      <t xml:space="preserve">後之 </t>
    </r>
    <r>
      <rPr>
        <b val="true"/>
        <sz val="11"/>
        <rFont val="Microsoft JhengHei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題）</t>
    </r>
  </si>
  <si>
    <r>
      <rPr>
        <sz val="11"/>
        <rFont val="Noto Sans CJK SC"/>
        <family val="2"/>
      </rPr>
      <t xml:space="preserve">本表為統計軟體輸出值。用 </t>
    </r>
    <r>
      <rPr>
        <sz val="11"/>
        <rFont val="Microsoft JhengHei"/>
        <family val="0"/>
        <charset val="1"/>
      </rPr>
      <t xml:space="preserve">JASP </t>
    </r>
    <r>
      <rPr>
        <sz val="11"/>
        <rFont val="Noto Sans CJK SC"/>
        <family val="2"/>
      </rPr>
      <t xml:space="preserve">重跑時小數點第三位可能略有差異，判斷結果相同即可。</t>
    </r>
  </si>
  <si>
    <t xml:space="preserve">KMO</t>
  </si>
  <si>
    <r>
      <rPr>
        <b val="true"/>
        <sz val="11"/>
        <rFont val="Microsoft JhengHei"/>
        <family val="0"/>
        <charset val="1"/>
      </rPr>
      <t xml:space="preserve">Bartlett </t>
    </r>
    <r>
      <rPr>
        <b val="true"/>
        <sz val="11"/>
        <rFont val="Noto Sans CJK SC"/>
        <family val="2"/>
      </rPr>
      <t xml:space="preserve">卡方</t>
    </r>
  </si>
  <si>
    <r>
      <rPr>
        <b val="true"/>
        <sz val="11"/>
        <rFont val="Microsoft JhengHei"/>
        <family val="0"/>
        <charset val="1"/>
      </rPr>
      <t xml:space="preserve">Bartlett </t>
    </r>
    <r>
      <rPr>
        <b val="true"/>
        <sz val="11"/>
        <rFont val="Noto Sans CJK SC"/>
        <family val="2"/>
      </rPr>
      <t xml:space="preserve">自由度 </t>
    </r>
    <r>
      <rPr>
        <b val="true"/>
        <sz val="11"/>
        <rFont val="Microsoft JhengHei"/>
        <family val="0"/>
        <charset val="1"/>
      </rPr>
      <t xml:space="preserve">= p(p−1)/2</t>
    </r>
  </si>
  <si>
    <r>
      <rPr>
        <b val="true"/>
        <sz val="11"/>
        <rFont val="Microsoft JhengHei"/>
        <family val="0"/>
        <charset val="1"/>
      </rPr>
      <t xml:space="preserve">Bartlett p </t>
    </r>
    <r>
      <rPr>
        <b val="true"/>
        <sz val="11"/>
        <rFont val="Noto Sans CJK SC"/>
        <family val="2"/>
      </rPr>
      <t xml:space="preserve">值</t>
    </r>
  </si>
  <si>
    <t xml:space="preserve">&lt; .001</t>
  </si>
  <si>
    <t xml:space="preserve">平行分析</t>
  </si>
  <si>
    <t xml:space="preserve">實際資料特徵值</t>
  </si>
  <si>
    <t xml:space="preserve">隨機資料平均</t>
  </si>
  <si>
    <r>
      <rPr>
        <b val="true"/>
        <sz val="11"/>
        <color rgb="FFFFFFFF"/>
        <rFont val="Noto Sans CJK SC"/>
        <family val="2"/>
      </rPr>
      <t xml:space="preserve">隨機資料第</t>
    </r>
    <r>
      <rPr>
        <b val="true"/>
        <sz val="11"/>
        <color rgb="FFFFFFFF"/>
        <rFont val="Microsoft JhengHei"/>
        <family val="0"/>
        <charset val="1"/>
      </rPr>
      <t xml:space="preserve">95</t>
    </r>
    <r>
      <rPr>
        <b val="true"/>
        <sz val="11"/>
        <color rgb="FFFFFFFF"/>
        <rFont val="Noto Sans CJK SC"/>
        <family val="2"/>
      </rPr>
      <t xml:space="preserve">百分位</t>
    </r>
  </si>
  <si>
    <r>
      <rPr>
        <b val="true"/>
        <sz val="11"/>
        <color rgb="FFFFFFFF"/>
        <rFont val="Noto Sans CJK SC"/>
        <family val="2"/>
      </rPr>
      <t xml:space="preserve">實際 </t>
    </r>
    <r>
      <rPr>
        <b val="true"/>
        <sz val="11"/>
        <color rgb="FFFFFFFF"/>
        <rFont val="Microsoft JhengHei"/>
        <family val="0"/>
        <charset val="1"/>
      </rPr>
      <t xml:space="preserve">&gt; </t>
    </r>
    <r>
      <rPr>
        <b val="true"/>
        <sz val="11"/>
        <color rgb="FFFFFFFF"/>
        <rFont val="Noto Sans CJK SC"/>
        <family val="2"/>
      </rPr>
      <t xml:space="preserve">隨機</t>
    </r>
    <r>
      <rPr>
        <b val="true"/>
        <sz val="11"/>
        <color rgb="FFFFFFFF"/>
        <rFont val="Microsoft JhengHei"/>
        <family val="0"/>
        <charset val="1"/>
      </rPr>
      <t xml:space="preserve">95%</t>
    </r>
    <r>
      <rPr>
        <b val="true"/>
        <sz val="11"/>
        <color rgb="FFFFFFFF"/>
        <rFont val="Noto Sans CJK SC"/>
        <family val="2"/>
      </rPr>
      <t xml:space="preserve">？</t>
    </r>
  </si>
  <si>
    <r>
      <rPr>
        <sz val="11"/>
        <rFont val="Noto Sans CJK SC"/>
        <family val="2"/>
      </rPr>
      <t xml:space="preserve">第 </t>
    </r>
    <r>
      <rPr>
        <sz val="11"/>
        <rFont val="Microsoft JhengHei"/>
        <family val="0"/>
        <charset val="1"/>
      </rPr>
      <t xml:space="preserve">1 </t>
    </r>
    <r>
      <rPr>
        <sz val="11"/>
        <rFont val="Noto Sans CJK SC"/>
        <family val="2"/>
      </rPr>
      <t xml:space="preserve">個</t>
    </r>
  </si>
  <si>
    <r>
      <rPr>
        <sz val="11"/>
        <rFont val="Noto Sans CJK SC"/>
        <family val="2"/>
      </rPr>
      <t xml:space="preserve">第 </t>
    </r>
    <r>
      <rPr>
        <sz val="11"/>
        <rFont val="Microsoft JhengHei"/>
        <family val="0"/>
        <charset val="1"/>
      </rPr>
      <t xml:space="preserve">2 </t>
    </r>
    <r>
      <rPr>
        <sz val="11"/>
        <rFont val="Noto Sans CJK SC"/>
        <family val="2"/>
      </rPr>
      <t xml:space="preserve">個</t>
    </r>
  </si>
  <si>
    <r>
      <rPr>
        <sz val="11"/>
        <rFont val="Noto Sans CJK SC"/>
        <family val="2"/>
      </rPr>
      <t xml:space="preserve">第 </t>
    </r>
    <r>
      <rPr>
        <sz val="11"/>
        <rFont val="Microsoft JhengHei"/>
        <family val="0"/>
        <charset val="1"/>
      </rPr>
      <t xml:space="preserve">3 </t>
    </r>
    <r>
      <rPr>
        <sz val="11"/>
        <rFont val="Noto Sans CJK SC"/>
        <family val="2"/>
      </rPr>
      <t xml:space="preserve">個</t>
    </r>
  </si>
  <si>
    <r>
      <rPr>
        <sz val="11"/>
        <rFont val="Noto Sans CJK SC"/>
        <family val="2"/>
      </rPr>
      <t xml:space="preserve">第 </t>
    </r>
    <r>
      <rPr>
        <sz val="11"/>
        <rFont val="Microsoft JhengHei"/>
        <family val="0"/>
        <charset val="1"/>
      </rPr>
      <t xml:space="preserve">4 </t>
    </r>
    <r>
      <rPr>
        <sz val="11"/>
        <rFont val="Noto Sans CJK SC"/>
        <family val="2"/>
      </rPr>
      <t xml:space="preserve">個</t>
    </r>
  </si>
  <si>
    <r>
      <rPr>
        <sz val="11"/>
        <rFont val="Noto Sans CJK SC"/>
        <family val="2"/>
      </rPr>
      <t xml:space="preserve">第 </t>
    </r>
    <r>
      <rPr>
        <sz val="11"/>
        <rFont val="Microsoft JhengHei"/>
        <family val="0"/>
        <charset val="1"/>
      </rPr>
      <t xml:space="preserve">5 </t>
    </r>
    <r>
      <rPr>
        <sz val="11"/>
        <rFont val="Noto Sans CJK SC"/>
        <family val="2"/>
      </rPr>
      <t xml:space="preserve">個</t>
    </r>
  </si>
  <si>
    <r>
      <rPr>
        <sz val="11"/>
        <rFont val="Noto Sans CJK SC"/>
        <family val="2"/>
      </rPr>
      <t xml:space="preserve">第 </t>
    </r>
    <r>
      <rPr>
        <sz val="11"/>
        <rFont val="Microsoft JhengHei"/>
        <family val="0"/>
        <charset val="1"/>
      </rPr>
      <t xml:space="preserve">6 </t>
    </r>
    <r>
      <rPr>
        <sz val="11"/>
        <rFont val="Noto Sans CJK SC"/>
        <family val="2"/>
      </rPr>
      <t xml:space="preserve">個</t>
    </r>
  </si>
  <si>
    <t xml:space="preserve">建議因素數</t>
  </si>
  <si>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Microsoft JhengHei"/>
        <family val="0"/>
        <charset val="1"/>
      </rPr>
      <t xml:space="preserve">1 </t>
    </r>
    <r>
      <rPr>
        <b val="true"/>
        <sz val="11"/>
        <rFont val="Noto Sans CJK SC"/>
        <family val="2"/>
      </rPr>
      <t xml:space="preserve">輪（</t>
    </r>
    <r>
      <rPr>
        <b val="true"/>
        <sz val="11"/>
        <rFont val="Microsoft JhengHei"/>
        <family val="0"/>
        <charset val="1"/>
      </rPr>
      <t xml:space="preserve">13 </t>
    </r>
    <r>
      <rPr>
        <b val="true"/>
        <sz val="11"/>
        <rFont val="Noto Sans CJK SC"/>
        <family val="2"/>
      </rPr>
      <t xml:space="preserve">題）樣式矩陣</t>
    </r>
  </si>
  <si>
    <r>
      <rPr>
        <b val="true"/>
        <sz val="11"/>
        <color rgb="FFFFFFFF"/>
        <rFont val="Microsoft JhengHei"/>
        <family val="0"/>
        <charset val="1"/>
      </rPr>
      <t xml:space="preserve">F1 </t>
    </r>
    <r>
      <rPr>
        <b val="true"/>
        <sz val="11"/>
        <color rgb="FFFFFFFF"/>
        <rFont val="Noto Sans CJK SC"/>
        <family val="2"/>
      </rPr>
      <t xml:space="preserve">工作價值</t>
    </r>
  </si>
  <si>
    <r>
      <rPr>
        <b val="true"/>
        <sz val="11"/>
        <color rgb="FFFFFFFF"/>
        <rFont val="Microsoft JhengHei"/>
        <family val="0"/>
        <charset val="1"/>
      </rPr>
      <t xml:space="preserve">F2 </t>
    </r>
    <r>
      <rPr>
        <b val="true"/>
        <sz val="11"/>
        <color rgb="FFFFFFFF"/>
        <rFont val="Noto Sans CJK SC"/>
        <family val="2"/>
      </rPr>
      <t xml:space="preserve">專業成長</t>
    </r>
  </si>
  <si>
    <r>
      <rPr>
        <b val="true"/>
        <sz val="11"/>
        <color rgb="FFFFFFFF"/>
        <rFont val="Microsoft JhengHei"/>
        <family val="0"/>
        <charset val="1"/>
      </rPr>
      <t xml:space="preserve">F3 </t>
    </r>
    <r>
      <rPr>
        <b val="true"/>
        <sz val="11"/>
        <color rgb="FFFFFFFF"/>
        <rFont val="Noto Sans CJK SC"/>
        <family val="2"/>
      </rPr>
      <t xml:space="preserve">團隊連結</t>
    </r>
  </si>
  <si>
    <t xml:space="preserve">最高</t>
  </si>
  <si>
    <t xml:space="preserve">次高</t>
  </si>
  <si>
    <t xml:space="preserve">差距</t>
  </si>
  <si>
    <t xml:space="preserve">判斷</t>
  </si>
  <si>
    <t xml:space="preserve">因素間相關</t>
  </si>
  <si>
    <t xml:space="preserve">F1</t>
  </si>
  <si>
    <t xml:space="preserve">F2</t>
  </si>
  <si>
    <t xml:space="preserve">F3</t>
  </si>
  <si>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Microsoft JhengHei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輪（</t>
    </r>
    <r>
      <rPr>
        <b val="true"/>
        <sz val="11"/>
        <rFont val="Microsoft JhengHei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題）樣式矩陣</t>
    </r>
  </si>
  <si>
    <t xml:space="preserve">平均分</t>
  </si>
  <si>
    <t xml:space="preserve">B001</t>
  </si>
  <si>
    <t xml:space="preserve">B002</t>
  </si>
  <si>
    <t xml:space="preserve">B003</t>
  </si>
  <si>
    <t xml:space="preserve">B004</t>
  </si>
  <si>
    <t xml:space="preserve">B005</t>
  </si>
  <si>
    <t xml:space="preserve">B006</t>
  </si>
  <si>
    <t xml:space="preserve">B007</t>
  </si>
  <si>
    <t xml:space="preserve">B008</t>
  </si>
  <si>
    <t xml:space="preserve">B009</t>
  </si>
  <si>
    <t xml:space="preserve">B010</t>
  </si>
  <si>
    <t xml:space="preserve">B011</t>
  </si>
  <si>
    <t xml:space="preserve">B012</t>
  </si>
  <si>
    <t xml:space="preserve">B013</t>
  </si>
  <si>
    <t xml:space="preserve">B014</t>
  </si>
  <si>
    <t xml:space="preserve">B015</t>
  </si>
  <si>
    <t xml:space="preserve">B016</t>
  </si>
  <si>
    <t xml:space="preserve">B017</t>
  </si>
  <si>
    <t xml:space="preserve">B018</t>
  </si>
  <si>
    <t xml:space="preserve">B019</t>
  </si>
  <si>
    <t xml:space="preserve">B020</t>
  </si>
  <si>
    <t xml:space="preserve">B021</t>
  </si>
  <si>
    <t xml:space="preserve">B022</t>
  </si>
  <si>
    <t xml:space="preserve">B023</t>
  </si>
  <si>
    <t xml:space="preserve">B024</t>
  </si>
  <si>
    <t xml:space="preserve">B025</t>
  </si>
  <si>
    <t xml:space="preserve">B026</t>
  </si>
  <si>
    <t xml:space="preserve">B027</t>
  </si>
  <si>
    <t xml:space="preserve">B028</t>
  </si>
  <si>
    <t xml:space="preserve">B029</t>
  </si>
  <si>
    <t xml:space="preserve">B030</t>
  </si>
  <si>
    <t xml:space="preserve">B031</t>
  </si>
  <si>
    <t xml:space="preserve">B032</t>
  </si>
  <si>
    <t xml:space="preserve">B033</t>
  </si>
  <si>
    <t xml:space="preserve">B034</t>
  </si>
  <si>
    <t xml:space="preserve">B035</t>
  </si>
  <si>
    <t xml:space="preserve">B036</t>
  </si>
  <si>
    <t xml:space="preserve">B037</t>
  </si>
  <si>
    <t xml:space="preserve">B038</t>
  </si>
  <si>
    <t xml:space="preserve">B039</t>
  </si>
  <si>
    <t xml:space="preserve">B040</t>
  </si>
  <si>
    <t xml:space="preserve">B041</t>
  </si>
  <si>
    <t xml:space="preserve">B042</t>
  </si>
  <si>
    <t xml:space="preserve">B043</t>
  </si>
  <si>
    <t xml:space="preserve">B044</t>
  </si>
  <si>
    <t xml:space="preserve">B045</t>
  </si>
  <si>
    <t xml:space="preserve">B046</t>
  </si>
  <si>
    <t xml:space="preserve">B047</t>
  </si>
  <si>
    <t xml:space="preserve">B048</t>
  </si>
  <si>
    <t xml:space="preserve">B049</t>
  </si>
  <si>
    <t xml:space="preserve">B050</t>
  </si>
  <si>
    <t xml:space="preserve">B051</t>
  </si>
  <si>
    <t xml:space="preserve">B052</t>
  </si>
  <si>
    <t xml:space="preserve">B053</t>
  </si>
  <si>
    <t xml:space="preserve">B054</t>
  </si>
  <si>
    <t xml:space="preserve">B055</t>
  </si>
  <si>
    <t xml:space="preserve">B056</t>
  </si>
  <si>
    <t xml:space="preserve">B057</t>
  </si>
  <si>
    <t xml:space="preserve">B058</t>
  </si>
  <si>
    <t xml:space="preserve">B059</t>
  </si>
  <si>
    <t xml:space="preserve">B060</t>
  </si>
  <si>
    <t xml:space="preserve">B061</t>
  </si>
  <si>
    <t xml:space="preserve">B062</t>
  </si>
  <si>
    <t xml:space="preserve">B063</t>
  </si>
  <si>
    <t xml:space="preserve">B064</t>
  </si>
  <si>
    <t xml:space="preserve">B065</t>
  </si>
  <si>
    <t xml:space="preserve">B066</t>
  </si>
  <si>
    <t xml:space="preserve">B067</t>
  </si>
  <si>
    <t xml:space="preserve">B068</t>
  </si>
  <si>
    <t xml:space="preserve">B069</t>
  </si>
  <si>
    <t xml:space="preserve">B070</t>
  </si>
  <si>
    <t xml:space="preserve">B071</t>
  </si>
  <si>
    <t xml:space="preserve">B072</t>
  </si>
  <si>
    <t xml:space="preserve">B073</t>
  </si>
  <si>
    <t xml:space="preserve">B074</t>
  </si>
  <si>
    <t xml:space="preserve">B075</t>
  </si>
  <si>
    <t xml:space="preserve">B076</t>
  </si>
  <si>
    <t xml:space="preserve">B077</t>
  </si>
  <si>
    <t xml:space="preserve">B078</t>
  </si>
  <si>
    <t xml:space="preserve">B079</t>
  </si>
  <si>
    <t xml:space="preserve">B080</t>
  </si>
  <si>
    <t xml:space="preserve">B081</t>
  </si>
  <si>
    <t xml:space="preserve">B082</t>
  </si>
  <si>
    <t xml:space="preserve">B083</t>
  </si>
  <si>
    <t xml:space="preserve">B084</t>
  </si>
  <si>
    <t xml:space="preserve">B085</t>
  </si>
  <si>
    <t xml:space="preserve">B086</t>
  </si>
  <si>
    <t xml:space="preserve">B087</t>
  </si>
  <si>
    <t xml:space="preserve">B088</t>
  </si>
  <si>
    <t xml:space="preserve">B089</t>
  </si>
  <si>
    <t xml:space="preserve">B090</t>
  </si>
  <si>
    <t xml:space="preserve">B091</t>
  </si>
  <si>
    <t xml:space="preserve">B092</t>
  </si>
  <si>
    <t xml:space="preserve">B093</t>
  </si>
  <si>
    <t xml:space="preserve">B094</t>
  </si>
  <si>
    <t xml:space="preserve">B095</t>
  </si>
  <si>
    <t xml:space="preserve">B096</t>
  </si>
  <si>
    <t xml:space="preserve">B097</t>
  </si>
  <si>
    <t xml:space="preserve">B098</t>
  </si>
  <si>
    <t xml:space="preserve">B099</t>
  </si>
  <si>
    <t xml:space="preserve">B100</t>
  </si>
  <si>
    <t xml:space="preserve">B101</t>
  </si>
  <si>
    <t xml:space="preserve">B102</t>
  </si>
  <si>
    <t xml:space="preserve">B103</t>
  </si>
  <si>
    <t xml:space="preserve">B104</t>
  </si>
  <si>
    <t xml:space="preserve">B105</t>
  </si>
  <si>
    <t xml:space="preserve">B106</t>
  </si>
  <si>
    <t xml:space="preserve">B107</t>
  </si>
  <si>
    <t xml:space="preserve">B108</t>
  </si>
  <si>
    <t xml:space="preserve">B109</t>
  </si>
  <si>
    <t xml:space="preserve">B110</t>
  </si>
  <si>
    <t xml:space="preserve">B111</t>
  </si>
  <si>
    <t xml:space="preserve">B112</t>
  </si>
  <si>
    <t xml:space="preserve">B113</t>
  </si>
  <si>
    <t xml:space="preserve">B114</t>
  </si>
  <si>
    <t xml:space="preserve">B115</t>
  </si>
  <si>
    <t xml:space="preserve">B116</t>
  </si>
  <si>
    <t xml:space="preserve">B117</t>
  </si>
  <si>
    <t xml:space="preserve">B118</t>
  </si>
  <si>
    <t xml:space="preserve">B119</t>
  </si>
  <si>
    <t xml:space="preserve">B120</t>
  </si>
  <si>
    <t xml:space="preserve">B121</t>
  </si>
  <si>
    <t xml:space="preserve">B122</t>
  </si>
  <si>
    <t xml:space="preserve">B123</t>
  </si>
  <si>
    <t xml:space="preserve">B124</t>
  </si>
  <si>
    <t xml:space="preserve">B125</t>
  </si>
  <si>
    <t xml:space="preserve">B126</t>
  </si>
  <si>
    <t xml:space="preserve">B127</t>
  </si>
  <si>
    <t xml:space="preserve">B128</t>
  </si>
  <si>
    <t xml:space="preserve">B129</t>
  </si>
  <si>
    <t xml:space="preserve">B130</t>
  </si>
  <si>
    <t xml:space="preserve">B131</t>
  </si>
  <si>
    <t xml:space="preserve">B132</t>
  </si>
  <si>
    <t xml:space="preserve">B133</t>
  </si>
  <si>
    <t xml:space="preserve">B134</t>
  </si>
  <si>
    <t xml:space="preserve">B135</t>
  </si>
  <si>
    <t xml:space="preserve">B136</t>
  </si>
  <si>
    <t xml:space="preserve">B137</t>
  </si>
  <si>
    <t xml:space="preserve">B138</t>
  </si>
  <si>
    <t xml:space="preserve">B139</t>
  </si>
  <si>
    <t xml:space="preserve">B140</t>
  </si>
  <si>
    <t xml:space="preserve">B141</t>
  </si>
  <si>
    <t xml:space="preserve">B142</t>
  </si>
  <si>
    <t xml:space="preserve">B143</t>
  </si>
  <si>
    <t xml:space="preserve">B144</t>
  </si>
  <si>
    <t xml:space="preserve">B145</t>
  </si>
  <si>
    <t xml:space="preserve">B146</t>
  </si>
  <si>
    <t xml:space="preserve">B147</t>
  </si>
  <si>
    <t xml:space="preserve">B148</t>
  </si>
  <si>
    <t xml:space="preserve">B149</t>
  </si>
  <si>
    <t xml:space="preserve">B150</t>
  </si>
  <si>
    <t xml:space="preserve">B151</t>
  </si>
  <si>
    <t xml:space="preserve">B152</t>
  </si>
  <si>
    <t xml:space="preserve">B153</t>
  </si>
  <si>
    <t xml:space="preserve">B154</t>
  </si>
  <si>
    <t xml:space="preserve">B155</t>
  </si>
  <si>
    <t xml:space="preserve">B156</t>
  </si>
  <si>
    <t xml:space="preserve">B157</t>
  </si>
  <si>
    <t xml:space="preserve">B158</t>
  </si>
  <si>
    <t xml:space="preserve">B159</t>
  </si>
  <si>
    <t xml:space="preserve">B160</t>
  </si>
  <si>
    <t xml:space="preserve">B161</t>
  </si>
  <si>
    <t xml:space="preserve">B162</t>
  </si>
  <si>
    <t xml:space="preserve">B163</t>
  </si>
  <si>
    <t xml:space="preserve">B164</t>
  </si>
  <si>
    <t xml:space="preserve">B165</t>
  </si>
  <si>
    <t xml:space="preserve">B166</t>
  </si>
  <si>
    <t xml:space="preserve">B167</t>
  </si>
  <si>
    <t xml:space="preserve">B168</t>
  </si>
  <si>
    <t xml:space="preserve">B169</t>
  </si>
  <si>
    <t xml:space="preserve">B170</t>
  </si>
  <si>
    <t xml:space="preserve">B171</t>
  </si>
  <si>
    <t xml:space="preserve">B172</t>
  </si>
  <si>
    <t xml:space="preserve">B173</t>
  </si>
  <si>
    <t xml:space="preserve">B174</t>
  </si>
  <si>
    <t xml:space="preserve">B175</t>
  </si>
  <si>
    <t xml:space="preserve">B176</t>
  </si>
  <si>
    <t xml:space="preserve">B177</t>
  </si>
  <si>
    <t xml:space="preserve">B178</t>
  </si>
  <si>
    <t xml:space="preserve">B179</t>
  </si>
  <si>
    <t xml:space="preserve">B180</t>
  </si>
  <si>
    <t xml:space="preserve">B181</t>
  </si>
  <si>
    <t xml:space="preserve">B182</t>
  </si>
  <si>
    <t xml:space="preserve">B183</t>
  </si>
  <si>
    <t xml:space="preserve">B184</t>
  </si>
  <si>
    <t xml:space="preserve">B185</t>
  </si>
  <si>
    <t xml:space="preserve">B186</t>
  </si>
  <si>
    <t xml:space="preserve">B187</t>
  </si>
  <si>
    <t xml:space="preserve">B188</t>
  </si>
  <si>
    <t xml:space="preserve">B189</t>
  </si>
  <si>
    <t xml:space="preserve">B190</t>
  </si>
  <si>
    <t xml:space="preserve">B191</t>
  </si>
  <si>
    <t xml:space="preserve">B192</t>
  </si>
  <si>
    <t xml:space="preserve">B193</t>
  </si>
  <si>
    <t xml:space="preserve">B194</t>
  </si>
  <si>
    <t xml:space="preserve">B195</t>
  </si>
  <si>
    <t xml:space="preserve">B196</t>
  </si>
  <si>
    <t xml:space="preserve">B197</t>
  </si>
  <si>
    <t xml:space="preserve">B198</t>
  </si>
  <si>
    <t xml:space="preserve">B199</t>
  </si>
  <si>
    <t xml:space="preserve">B200</t>
  </si>
  <si>
    <t xml:space="preserve">B201</t>
  </si>
  <si>
    <t xml:space="preserve">B202</t>
  </si>
  <si>
    <t xml:space="preserve">B203</t>
  </si>
  <si>
    <t xml:space="preserve">B204</t>
  </si>
  <si>
    <t xml:space="preserve">B205</t>
  </si>
  <si>
    <t xml:space="preserve">B206</t>
  </si>
  <si>
    <t xml:space="preserve">B207</t>
  </si>
  <si>
    <t xml:space="preserve">B208</t>
  </si>
  <si>
    <t xml:space="preserve">B209</t>
  </si>
  <si>
    <t xml:space="preserve">B210</t>
  </si>
  <si>
    <t xml:space="preserve">B211</t>
  </si>
  <si>
    <t xml:space="preserve">B212</t>
  </si>
  <si>
    <t xml:space="preserve">B213</t>
  </si>
  <si>
    <t xml:space="preserve">B214</t>
  </si>
  <si>
    <t xml:space="preserve">B215</t>
  </si>
  <si>
    <t xml:space="preserve">B216</t>
  </si>
  <si>
    <t xml:space="preserve">B217</t>
  </si>
  <si>
    <t xml:space="preserve">B218</t>
  </si>
  <si>
    <t xml:space="preserve">B219</t>
  </si>
  <si>
    <t xml:space="preserve">B220</t>
  </si>
  <si>
    <t xml:space="preserve">B221</t>
  </si>
  <si>
    <t xml:space="preserve">B222</t>
  </si>
  <si>
    <t xml:space="preserve">B223</t>
  </si>
  <si>
    <t xml:space="preserve">B224</t>
  </si>
  <si>
    <t xml:space="preserve">B225</t>
  </si>
  <si>
    <t xml:space="preserve">B226</t>
  </si>
  <si>
    <t xml:space="preserve">B227</t>
  </si>
  <si>
    <t xml:space="preserve">B228</t>
  </si>
  <si>
    <t xml:space="preserve">B229</t>
  </si>
  <si>
    <t xml:space="preserve">B230</t>
  </si>
  <si>
    <t xml:space="preserve">B231</t>
  </si>
  <si>
    <t xml:space="preserve">B232</t>
  </si>
  <si>
    <t xml:space="preserve">B233</t>
  </si>
  <si>
    <t xml:space="preserve">B234</t>
  </si>
  <si>
    <t xml:space="preserve">B235</t>
  </si>
  <si>
    <t xml:space="preserve">B236</t>
  </si>
  <si>
    <t xml:space="preserve">B237</t>
  </si>
  <si>
    <t xml:space="preserve">B238</t>
  </si>
  <si>
    <t xml:space="preserve">B239</t>
  </si>
  <si>
    <t xml:space="preserve">B240</t>
  </si>
  <si>
    <t xml:space="preserve">B241</t>
  </si>
  <si>
    <t xml:space="preserve">B242</t>
  </si>
  <si>
    <t xml:space="preserve">B243</t>
  </si>
  <si>
    <t xml:space="preserve">B244</t>
  </si>
  <si>
    <t xml:space="preserve">B245</t>
  </si>
  <si>
    <t xml:space="preserve">B246</t>
  </si>
  <si>
    <t xml:space="preserve">B247</t>
  </si>
  <si>
    <t xml:space="preserve">B248</t>
  </si>
  <si>
    <t xml:space="preserve">B249</t>
  </si>
  <si>
    <t xml:space="preserve">B250</t>
  </si>
  <si>
    <t xml:space="preserve">B251</t>
  </si>
  <si>
    <t xml:space="preserve">B252</t>
  </si>
  <si>
    <t xml:space="preserve">B253</t>
  </si>
  <si>
    <t xml:space="preserve">B254</t>
  </si>
  <si>
    <t xml:space="preserve">B255</t>
  </si>
  <si>
    <t xml:space="preserve">B256</t>
  </si>
  <si>
    <t xml:space="preserve">B257</t>
  </si>
  <si>
    <t xml:space="preserve">B258</t>
  </si>
  <si>
    <t xml:space="preserve">B259</t>
  </si>
  <si>
    <t xml:space="preserve">B260</t>
  </si>
  <si>
    <t xml:space="preserve">B261</t>
  </si>
  <si>
    <t xml:space="preserve">B262</t>
  </si>
  <si>
    <t xml:space="preserve">B263</t>
  </si>
  <si>
    <t xml:space="preserve">B264</t>
  </si>
  <si>
    <t xml:space="preserve">B265</t>
  </si>
  <si>
    <t xml:space="preserve">B266</t>
  </si>
  <si>
    <t xml:space="preserve">B267</t>
  </si>
  <si>
    <t xml:space="preserve">B268</t>
  </si>
  <si>
    <t xml:space="preserve">B269</t>
  </si>
  <si>
    <t xml:space="preserve">B270</t>
  </si>
  <si>
    <t xml:space="preserve">B271</t>
  </si>
  <si>
    <t xml:space="preserve">B272</t>
  </si>
  <si>
    <t xml:space="preserve">B273</t>
  </si>
  <si>
    <t xml:space="preserve">B274</t>
  </si>
  <si>
    <t xml:space="preserve">B275</t>
  </si>
  <si>
    <t xml:space="preserve">B276</t>
  </si>
  <si>
    <t xml:space="preserve">B277</t>
  </si>
  <si>
    <t xml:space="preserve">B278</t>
  </si>
  <si>
    <t xml:space="preserve">B279</t>
  </si>
  <si>
    <t xml:space="preserve">B280</t>
  </si>
  <si>
    <r>
      <rPr>
        <b val="true"/>
        <sz val="11"/>
        <rFont val="Noto Sans CJK SC"/>
        <family val="2"/>
      </rPr>
      <t xml:space="preserve">第⑦關 </t>
    </r>
    <r>
      <rPr>
        <b val="true"/>
        <sz val="11"/>
        <rFont val="Microsoft JhengHei"/>
        <family val="0"/>
        <charset val="1"/>
      </rPr>
      <t xml:space="preserve">CFA</t>
    </r>
    <r>
      <rPr>
        <b val="true"/>
        <sz val="11"/>
        <rFont val="Noto Sans CJK SC"/>
        <family val="2"/>
      </rPr>
      <t xml:space="preserve">（最大概似法；三因素、每題只負荷一個因素、因素變異數固定為 </t>
    </r>
    <r>
      <rPr>
        <b val="true"/>
        <sz val="11"/>
        <rFont val="Microsoft JhengHei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</si>
  <si>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觀察變項數 </t>
    </r>
    <r>
      <rPr>
        <b val="true"/>
        <sz val="11"/>
        <rFont val="Microsoft JhengHei"/>
        <family val="0"/>
        <charset val="1"/>
      </rPr>
      <t xml:space="preserve">p</t>
    </r>
  </si>
  <si>
    <r>
      <rPr>
        <b val="true"/>
        <sz val="11"/>
        <rFont val="Noto Sans CJK SC"/>
        <family val="2"/>
      </rPr>
      <t xml:space="preserve">資料提供的資訊量 </t>
    </r>
    <r>
      <rPr>
        <b val="true"/>
        <sz val="11"/>
        <rFont val="Microsoft JhengHei"/>
        <family val="0"/>
        <charset val="1"/>
      </rPr>
      <t xml:space="preserve">= p(p+1)/2</t>
    </r>
  </si>
  <si>
    <r>
      <rPr>
        <b val="true"/>
        <sz val="11"/>
        <rFont val="Noto Sans CJK SC"/>
        <family val="2"/>
      </rPr>
      <t xml:space="preserve">估計參數 </t>
    </r>
    <r>
      <rPr>
        <b val="true"/>
        <sz val="11"/>
        <rFont val="Microsoft JhengHei"/>
        <family val="0"/>
        <charset val="1"/>
      </rPr>
      <t xml:space="preserve">q = </t>
    </r>
    <r>
      <rPr>
        <b val="true"/>
        <sz val="11"/>
        <rFont val="Noto Sans CJK SC"/>
        <family val="2"/>
      </rPr>
      <t xml:space="preserve">負荷量 </t>
    </r>
    <r>
      <rPr>
        <b val="true"/>
        <sz val="11"/>
        <rFont val="Microsoft JhengHei"/>
        <family val="0"/>
        <charset val="1"/>
      </rPr>
      <t xml:space="preserve">12 + </t>
    </r>
    <r>
      <rPr>
        <b val="true"/>
        <sz val="11"/>
        <rFont val="Noto Sans CJK SC"/>
        <family val="2"/>
      </rPr>
      <t xml:space="preserve">誤差變異 </t>
    </r>
    <r>
      <rPr>
        <b val="true"/>
        <sz val="11"/>
        <rFont val="Microsoft JhengHei"/>
        <family val="0"/>
        <charset val="1"/>
      </rPr>
      <t xml:space="preserve">12 + </t>
    </r>
    <r>
      <rPr>
        <b val="true"/>
        <sz val="11"/>
        <rFont val="Noto Sans CJK SC"/>
        <family val="2"/>
      </rPr>
      <t xml:space="preserve">因素相關 </t>
    </r>
    <r>
      <rPr>
        <b val="true"/>
        <sz val="11"/>
        <rFont val="Microsoft JhengHei"/>
        <family val="0"/>
        <charset val="1"/>
      </rPr>
      <t xml:space="preserve">3</t>
    </r>
  </si>
  <si>
    <r>
      <rPr>
        <b val="true"/>
        <sz val="11"/>
        <rFont val="Noto Sans CJK SC"/>
        <family val="2"/>
      </rPr>
      <t xml:space="preserve">自由度 </t>
    </r>
    <r>
      <rPr>
        <b val="true"/>
        <sz val="11"/>
        <rFont val="Microsoft JhengHei"/>
        <family val="0"/>
        <charset val="1"/>
      </rPr>
      <t xml:space="preserve">df = </t>
    </r>
    <r>
      <rPr>
        <b val="true"/>
        <sz val="11"/>
        <rFont val="Noto Sans CJK SC"/>
        <family val="2"/>
      </rPr>
      <t xml:space="preserve">資訊量 − </t>
    </r>
    <r>
      <rPr>
        <b val="true"/>
        <sz val="11"/>
        <rFont val="Microsoft JhengHei"/>
        <family val="0"/>
        <charset val="1"/>
      </rPr>
      <t xml:space="preserve">q</t>
    </r>
  </si>
  <si>
    <r>
      <rPr>
        <b val="true"/>
        <sz val="11"/>
        <rFont val="Noto Sans CJK SC"/>
        <family val="2"/>
      </rPr>
      <t xml:space="preserve">樣本數 </t>
    </r>
    <r>
      <rPr>
        <b val="true"/>
        <sz val="11"/>
        <rFont val="Microsoft JhengHei"/>
        <family val="0"/>
        <charset val="1"/>
      </rPr>
      <t xml:space="preserve">N</t>
    </r>
  </si>
  <si>
    <r>
      <rPr>
        <b val="true"/>
        <sz val="11"/>
        <rFont val="Noto Sans CJK SC"/>
        <family val="2"/>
      </rPr>
      <t xml:space="preserve">模型卡方 </t>
    </r>
    <r>
      <rPr>
        <b val="true"/>
        <sz val="11"/>
        <rFont val="Microsoft JhengHei"/>
        <family val="0"/>
        <charset val="1"/>
      </rPr>
      <t xml:space="preserve">χ²</t>
    </r>
    <r>
      <rPr>
        <b val="true"/>
        <sz val="11"/>
        <rFont val="Noto Sans CJK SC"/>
        <family val="2"/>
      </rPr>
      <t xml:space="preserve">（軟體輸出）</t>
    </r>
  </si>
  <si>
    <r>
      <rPr>
        <b val="true"/>
        <sz val="11"/>
        <rFont val="Noto Sans CJK SC"/>
        <family val="2"/>
      </rPr>
      <t xml:space="preserve">虛無模型卡方 </t>
    </r>
    <r>
      <rPr>
        <b val="true"/>
        <sz val="11"/>
        <rFont val="Microsoft JhengHei"/>
        <family val="0"/>
        <charset val="1"/>
      </rPr>
      <t xml:space="preserve">χ²₀</t>
    </r>
    <r>
      <rPr>
        <b val="true"/>
        <sz val="11"/>
        <rFont val="Noto Sans CJK SC"/>
        <family val="2"/>
      </rPr>
      <t xml:space="preserve">（軟體輸出）</t>
    </r>
  </si>
  <si>
    <r>
      <rPr>
        <b val="true"/>
        <sz val="11"/>
        <rFont val="Noto Sans CJK SC"/>
        <family val="2"/>
      </rPr>
      <t xml:space="preserve">虛無模型 </t>
    </r>
    <r>
      <rPr>
        <b val="true"/>
        <sz val="11"/>
        <rFont val="Microsoft JhengHei"/>
        <family val="0"/>
        <charset val="1"/>
      </rPr>
      <t xml:space="preserve">df₀ = p(p−1)/2</t>
    </r>
  </si>
  <si>
    <t xml:space="preserve">CFI = 1 − max(χ²−df,0) ÷ max(χ²₀−df₀, χ²−df, 0)</t>
  </si>
  <si>
    <t xml:space="preserve">TLI = [(χ²₀/df₀) − (χ²/df)] ÷ [(χ²₀/df₀) − 1]</t>
  </si>
  <si>
    <t xml:space="preserve">RMSEA = √[max(χ²−df,0) ÷ (df × (N−1))]</t>
  </si>
  <si>
    <r>
      <rPr>
        <b val="true"/>
        <sz val="11"/>
        <rFont val="Microsoft JhengHei"/>
        <family val="0"/>
        <charset val="1"/>
      </rPr>
      <t xml:space="preserve">SRMR</t>
    </r>
    <r>
      <rPr>
        <b val="true"/>
        <sz val="11"/>
        <rFont val="Noto Sans CJK SC"/>
        <family val="2"/>
      </rPr>
      <t xml:space="preserve">（軟體輸出）</t>
    </r>
  </si>
  <si>
    <t xml:space="preserve">χ²/df</t>
  </si>
  <si>
    <t xml:space="preserve">構面</t>
  </si>
  <si>
    <t xml:space="preserve">標準化負荷量</t>
  </si>
  <si>
    <t xml:space="preserve">工作價值</t>
  </si>
  <si>
    <t xml:space="preserve">專業成長</t>
  </si>
  <si>
    <t xml:space="preserve">團隊連結</t>
  </si>
  <si>
    <t xml:space="preserve">因素間相關（軟體輸出）</t>
  </si>
  <si>
    <t xml:space="preserve">工作價值–專業成長</t>
  </si>
  <si>
    <t xml:space="preserve">工作價值–團隊連結</t>
  </si>
  <si>
    <t xml:space="preserve">專業成長–團隊連結</t>
  </si>
  <si>
    <r>
      <rPr>
        <b val="true"/>
        <sz val="11"/>
        <rFont val="Noto Sans CJK SC"/>
        <family val="2"/>
      </rPr>
      <t xml:space="preserve">第⑧關 收斂效度 </t>
    </r>
    <r>
      <rPr>
        <b val="true"/>
        <sz val="11"/>
        <rFont val="Microsoft JhengHei"/>
        <family val="0"/>
        <charset val="1"/>
      </rPr>
      <t xml:space="preserve">AVE</t>
    </r>
    <r>
      <rPr>
        <b val="true"/>
        <sz val="11"/>
        <rFont val="Noto Sans CJK SC"/>
        <family val="2"/>
      </rPr>
      <t xml:space="preserve">、組合信度 </t>
    </r>
    <r>
      <rPr>
        <b val="true"/>
        <sz val="11"/>
        <rFont val="Microsoft JhengHei"/>
        <family val="0"/>
        <charset val="1"/>
      </rPr>
      <t xml:space="preserve">CR</t>
    </r>
    <r>
      <rPr>
        <b val="true"/>
        <sz val="11"/>
        <rFont val="Noto Sans CJK SC"/>
        <family val="2"/>
      </rPr>
      <t xml:space="preserve">、區辨效度（</t>
    </r>
    <r>
      <rPr>
        <b val="true"/>
        <sz val="11"/>
        <rFont val="Microsoft JhengHei"/>
        <family val="0"/>
        <charset val="1"/>
      </rPr>
      <t xml:space="preserve">Fornell–Larcker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Microsoft JhengHei"/>
        <family val="0"/>
        <charset val="1"/>
      </rPr>
      <t xml:space="preserve">HTMT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</si>
  <si>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標準化負荷 </t>
    </r>
    <r>
      <rPr>
        <b val="true"/>
        <sz val="11"/>
        <color rgb="FFFFFFFF"/>
        <rFont val="Microsoft JhengHei"/>
        <family val="0"/>
        <charset val="1"/>
      </rPr>
      <t xml:space="preserve">λ</t>
    </r>
  </si>
  <si>
    <t xml:space="preserve">λ²</t>
  </si>
  <si>
    <r>
      <rPr>
        <b val="true"/>
        <sz val="11"/>
        <color rgb="FFFFFFFF"/>
        <rFont val="Noto Sans CJK SC"/>
        <family val="2"/>
      </rPr>
      <t xml:space="preserve">誤差 </t>
    </r>
    <r>
      <rPr>
        <b val="true"/>
        <sz val="11"/>
        <color rgb="FFFFFFFF"/>
        <rFont val="Microsoft JhengHei"/>
        <family val="0"/>
        <charset val="1"/>
      </rPr>
      <t xml:space="preserve">1−λ²</t>
    </r>
  </si>
  <si>
    <t xml:space="preserve">V</t>
  </si>
  <si>
    <t xml:space="preserve">G</t>
  </si>
  <si>
    <t xml:space="preserve">C</t>
  </si>
  <si>
    <t xml:space="preserve">Σλ</t>
  </si>
  <si>
    <t xml:space="preserve">Σλ²</t>
  </si>
  <si>
    <t xml:space="preserve">Σ(1−λ²)</t>
  </si>
  <si>
    <t xml:space="preserve">題數</t>
  </si>
  <si>
    <r>
      <rPr>
        <b val="true"/>
        <sz val="11"/>
        <color rgb="FFFFFFFF"/>
        <rFont val="Microsoft JhengHei"/>
        <family val="0"/>
        <charset val="1"/>
      </rPr>
      <t xml:space="preserve">AVE = Σλ²/</t>
    </r>
    <r>
      <rPr>
        <b val="true"/>
        <sz val="11"/>
        <color rgb="FFFFFFFF"/>
        <rFont val="Noto Sans CJK SC"/>
        <family val="2"/>
      </rPr>
      <t xml:space="preserve">題數</t>
    </r>
  </si>
  <si>
    <t xml:space="preserve">CR = (Σλ)²/[(Σλ)²+Σ(1−λ²)]</t>
  </si>
  <si>
    <t xml:space="preserve">√AVE</t>
  </si>
  <si>
    <r>
      <rPr>
        <b val="true"/>
        <sz val="11"/>
        <rFont val="Microsoft JhengHei"/>
        <family val="0"/>
        <charset val="1"/>
      </rPr>
      <t xml:space="preserve">Fornell–Larcker</t>
    </r>
    <r>
      <rPr>
        <b val="true"/>
        <sz val="11"/>
        <rFont val="Noto Sans CJK SC"/>
        <family val="2"/>
      </rPr>
      <t xml:space="preserve">：√</t>
    </r>
    <r>
      <rPr>
        <b val="true"/>
        <sz val="11"/>
        <rFont val="Microsoft JhengHei"/>
        <family val="0"/>
        <charset val="1"/>
      </rPr>
      <t xml:space="preserve">AVE </t>
    </r>
    <r>
      <rPr>
        <b val="true"/>
        <sz val="11"/>
        <rFont val="Noto Sans CJK SC"/>
        <family val="2"/>
      </rPr>
      <t xml:space="preserve">要大於該構面與其他構面的相關</t>
    </r>
  </si>
  <si>
    <t xml:space="preserve">構面對</t>
  </si>
  <si>
    <r>
      <rPr>
        <b val="true"/>
        <sz val="11"/>
        <color rgb="FFFFFFFF"/>
        <rFont val="Noto Sans CJK SC"/>
        <family val="2"/>
      </rPr>
      <t xml:space="preserve">因素相關（</t>
    </r>
    <r>
      <rPr>
        <b val="true"/>
        <sz val="11"/>
        <color rgb="FFFFFFFF"/>
        <rFont val="Microsoft JhengHei"/>
        <family val="0"/>
        <charset val="1"/>
      </rPr>
      <t xml:space="preserve">CFA</t>
    </r>
    <r>
      <rPr>
        <b val="true"/>
        <sz val="11"/>
        <color rgb="FFFFFFFF"/>
        <rFont val="Noto Sans CJK SC"/>
        <family val="2"/>
      </rPr>
      <t xml:space="preserve">）</t>
    </r>
  </si>
  <si>
    <r>
      <rPr>
        <b val="true"/>
        <sz val="11"/>
        <color rgb="FFFFFFFF"/>
        <rFont val="Noto Sans CJK SC"/>
        <family val="2"/>
      </rPr>
      <t xml:space="preserve">較小的 √</t>
    </r>
    <r>
      <rPr>
        <b val="true"/>
        <sz val="11"/>
        <color rgb="FFFFFFFF"/>
        <rFont val="Microsoft JhengHei"/>
        <family val="0"/>
        <charset val="1"/>
      </rPr>
      <t xml:space="preserve">AVE</t>
    </r>
  </si>
  <si>
    <t xml:space="preserve">通過？</t>
  </si>
  <si>
    <t xml:space="preserve">V–G</t>
  </si>
  <si>
    <t xml:space="preserve">V–C</t>
  </si>
  <si>
    <t xml:space="preserve">G–C</t>
  </si>
  <si>
    <r>
      <rPr>
        <b val="true"/>
        <sz val="11"/>
        <rFont val="Noto Sans CJK SC"/>
        <family val="2"/>
      </rPr>
      <t xml:space="preserve">題目間相關矩陣（樣本 </t>
    </r>
    <r>
      <rPr>
        <b val="true"/>
        <sz val="11"/>
        <rFont val="Microsoft JhengHei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Microsoft JhengHei"/>
        <family val="0"/>
        <charset val="1"/>
      </rPr>
      <t xml:space="preserve">CORREL </t>
    </r>
    <r>
      <rPr>
        <b val="true"/>
        <sz val="11"/>
        <rFont val="Noto Sans CJK SC"/>
        <family val="2"/>
      </rPr>
      <t xml:space="preserve">公式）</t>
    </r>
  </si>
  <si>
    <r>
      <rPr>
        <b val="true"/>
        <sz val="11"/>
        <rFont val="Microsoft JhengHei"/>
        <family val="0"/>
        <charset val="1"/>
      </rPr>
      <t xml:space="preserve">HTMT </t>
    </r>
    <r>
      <rPr>
        <b val="true"/>
        <sz val="11"/>
        <rFont val="Noto Sans CJK SC"/>
        <family val="2"/>
      </rPr>
      <t xml:space="preserve">＝ 異質相關平均 </t>
    </r>
    <r>
      <rPr>
        <b val="true"/>
        <sz val="11"/>
        <rFont val="Microsoft JhengHei"/>
        <family val="0"/>
        <charset val="1"/>
      </rPr>
      <t xml:space="preserve">÷ √(</t>
    </r>
    <r>
      <rPr>
        <b val="true"/>
        <sz val="11"/>
        <rFont val="Noto Sans CJK SC"/>
        <family val="2"/>
      </rPr>
      <t xml:space="preserve">構面</t>
    </r>
    <r>
      <rPr>
        <b val="true"/>
        <sz val="11"/>
        <rFont val="Microsoft JhengHei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內部相關平均 </t>
    </r>
    <r>
      <rPr>
        <b val="true"/>
        <sz val="11"/>
        <rFont val="Microsoft JhengHei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構面</t>
    </r>
    <r>
      <rPr>
        <b val="true"/>
        <sz val="11"/>
        <rFont val="Microsoft JhengHei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內部相關平均</t>
    </r>
    <r>
      <rPr>
        <b val="true"/>
        <sz val="11"/>
        <rFont val="Microsoft JhengHei"/>
        <family val="0"/>
        <charset val="1"/>
      </rPr>
      <t xml:space="preserve">)</t>
    </r>
  </si>
  <si>
    <r>
      <rPr>
        <b val="true"/>
        <sz val="11"/>
        <color rgb="FFFFFFFF"/>
        <rFont val="Noto Sans CJK SC"/>
        <family val="2"/>
      </rPr>
      <t xml:space="preserve">內部相關平均 </t>
    </r>
    <r>
      <rPr>
        <b val="true"/>
        <sz val="11"/>
        <color rgb="FFFFFFFF"/>
        <rFont val="Microsoft JhengHei"/>
        <family val="0"/>
        <charset val="1"/>
      </rPr>
      <t xml:space="preserve">= (</t>
    </r>
    <r>
      <rPr>
        <b val="true"/>
        <sz val="11"/>
        <color rgb="FFFFFFFF"/>
        <rFont val="Noto Sans CJK SC"/>
        <family val="2"/>
      </rPr>
      <t xml:space="preserve">區塊總和 − </t>
    </r>
    <r>
      <rPr>
        <b val="true"/>
        <sz val="11"/>
        <color rgb="FFFFFFFF"/>
        <rFont val="Microsoft JhengHei"/>
        <family val="0"/>
        <charset val="1"/>
      </rPr>
      <t xml:space="preserve">4) ÷ 12</t>
    </r>
  </si>
  <si>
    <r>
      <rPr>
        <b val="true"/>
        <sz val="11"/>
        <color rgb="FFFFFFFF"/>
        <rFont val="Noto Sans CJK SC"/>
        <family val="2"/>
      </rPr>
      <t xml:space="preserve">異質相關平均（</t>
    </r>
    <r>
      <rPr>
        <b val="true"/>
        <sz val="11"/>
        <color rgb="FFFFFFFF"/>
        <rFont val="Microsoft JhengHei"/>
        <family val="0"/>
        <charset val="1"/>
      </rPr>
      <t xml:space="preserve">4×4 </t>
    </r>
    <r>
      <rPr>
        <b val="true"/>
        <sz val="11"/>
        <color rgb="FFFFFFFF"/>
        <rFont val="Noto Sans CJK SC"/>
        <family val="2"/>
      </rPr>
      <t xml:space="preserve">區塊）</t>
    </r>
  </si>
  <si>
    <t xml:space="preserve">HTMT</t>
  </si>
  <si>
    <r>
      <rPr>
        <b val="true"/>
        <sz val="11"/>
        <color rgb="FFFFFFFF"/>
        <rFont val="Microsoft JhengHei"/>
        <family val="0"/>
        <charset val="1"/>
      </rPr>
      <t xml:space="preserve">&lt; .85</t>
    </r>
    <r>
      <rPr>
        <b val="true"/>
        <sz val="11"/>
        <color rgb="FFFFFFFF"/>
        <rFont val="Noto Sans CJK SC"/>
        <family val="2"/>
      </rPr>
      <t xml:space="preserve">？</t>
    </r>
  </si>
  <si>
    <r>
      <rPr>
        <b val="true"/>
        <sz val="11"/>
        <rFont val="Noto Sans CJK SC"/>
        <family val="2"/>
      </rPr>
      <t xml:space="preserve">第⑧關 再測信度：樣本 </t>
    </r>
    <r>
      <rPr>
        <b val="true"/>
        <sz val="11"/>
        <rFont val="Microsoft JhengHei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前 </t>
    </r>
    <r>
      <rPr>
        <b val="true"/>
        <sz val="11"/>
        <rFont val="Microsoft JhengHei"/>
        <family val="0"/>
        <charset val="1"/>
      </rPr>
      <t xml:space="preserve">60 </t>
    </r>
    <r>
      <rPr>
        <b val="true"/>
        <sz val="11"/>
        <rFont val="Noto Sans CJK SC"/>
        <family val="2"/>
      </rPr>
      <t xml:space="preserve">人，間隔 </t>
    </r>
    <r>
      <rPr>
        <b val="true"/>
        <sz val="11"/>
        <rFont val="Microsoft JhengHei"/>
        <family val="0"/>
        <charset val="1"/>
      </rPr>
      <t xml:space="preserve">2 </t>
    </r>
    <r>
      <rPr>
        <b val="true"/>
        <sz val="11"/>
        <rFont val="Noto Sans CJK SC"/>
        <family val="2"/>
      </rPr>
      <t xml:space="preserve">週再填一次；以 </t>
    </r>
    <r>
      <rPr>
        <b val="true"/>
        <sz val="11"/>
        <rFont val="Microsoft JhengHei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題平均分計算 </t>
    </r>
    <r>
      <rPr>
        <b val="true"/>
        <sz val="11"/>
        <rFont val="Microsoft JhengHei"/>
        <family val="0"/>
        <charset val="1"/>
      </rPr>
      <t xml:space="preserve">ICC</t>
    </r>
    <r>
      <rPr>
        <b val="true"/>
        <sz val="11"/>
        <rFont val="Noto Sans CJK SC"/>
        <family val="2"/>
      </rPr>
      <t xml:space="preserve">（二因子、絕對一致、單一測量）</t>
    </r>
  </si>
  <si>
    <t xml:space="preserve">V1_T2</t>
  </si>
  <si>
    <t xml:space="preserve">V2_T2</t>
  </si>
  <si>
    <t xml:space="preserve">V3_T2</t>
  </si>
  <si>
    <t xml:space="preserve">V4_T2</t>
  </si>
  <si>
    <t xml:space="preserve">G1_T2</t>
  </si>
  <si>
    <t xml:space="preserve">G2_T2</t>
  </si>
  <si>
    <t xml:space="preserve">G3_T2</t>
  </si>
  <si>
    <t xml:space="preserve">G5_T2</t>
  </si>
  <si>
    <t xml:space="preserve">C1_T2</t>
  </si>
  <si>
    <t xml:space="preserve">C2_T2</t>
  </si>
  <si>
    <t xml:space="preserve">C3_T2</t>
  </si>
  <si>
    <t xml:space="preserve">C4_T2</t>
  </si>
  <si>
    <r>
      <rPr>
        <b val="true"/>
        <sz val="11"/>
        <color rgb="FFFFFFFF"/>
        <rFont val="Microsoft JhengHei"/>
        <family val="0"/>
        <charset val="1"/>
      </rPr>
      <t xml:space="preserve">T1 </t>
    </r>
    <r>
      <rPr>
        <b val="true"/>
        <sz val="11"/>
        <color rgb="FFFFFFFF"/>
        <rFont val="Noto Sans CJK SC"/>
        <family val="2"/>
      </rPr>
      <t xml:space="preserve">平均</t>
    </r>
  </si>
  <si>
    <r>
      <rPr>
        <b val="true"/>
        <sz val="11"/>
        <color rgb="FFFFFFFF"/>
        <rFont val="Microsoft JhengHei"/>
        <family val="0"/>
        <charset val="1"/>
      </rPr>
      <t xml:space="preserve">T2 </t>
    </r>
    <r>
      <rPr>
        <b val="true"/>
        <sz val="11"/>
        <color rgb="FFFFFFFF"/>
        <rFont val="Noto Sans CJK SC"/>
        <family val="2"/>
      </rPr>
      <t xml:space="preserve">平均</t>
    </r>
  </si>
  <si>
    <t xml:space="preserve">個人平均</t>
  </si>
  <si>
    <r>
      <rPr>
        <b val="true"/>
        <sz val="11"/>
        <rFont val="Noto Sans CJK SC"/>
        <family val="2"/>
      </rPr>
      <t xml:space="preserve">受試者數 </t>
    </r>
    <r>
      <rPr>
        <b val="true"/>
        <sz val="11"/>
        <rFont val="Microsoft JhengHei"/>
        <family val="0"/>
        <charset val="1"/>
      </rPr>
      <t xml:space="preserve">n</t>
    </r>
  </si>
  <si>
    <r>
      <rPr>
        <b val="true"/>
        <sz val="11"/>
        <rFont val="Noto Sans CJK SC"/>
        <family val="2"/>
      </rPr>
      <t xml:space="preserve">施測次數 </t>
    </r>
    <r>
      <rPr>
        <b val="true"/>
        <sz val="11"/>
        <rFont val="Microsoft JhengHei"/>
        <family val="0"/>
        <charset val="1"/>
      </rPr>
      <t xml:space="preserve">k</t>
    </r>
  </si>
  <si>
    <r>
      <rPr>
        <b val="true"/>
        <sz val="11"/>
        <rFont val="Noto Sans CJK SC"/>
        <family val="2"/>
      </rPr>
      <t xml:space="preserve">總平均 </t>
    </r>
    <r>
      <rPr>
        <b val="true"/>
        <sz val="11"/>
        <rFont val="Microsoft JhengHei"/>
        <family val="0"/>
        <charset val="1"/>
      </rPr>
      <t xml:space="preserve">GM</t>
    </r>
  </si>
  <si>
    <r>
      <rPr>
        <b val="true"/>
        <sz val="11"/>
        <rFont val="Microsoft JhengHei"/>
        <family val="0"/>
        <charset val="1"/>
      </rPr>
      <t xml:space="preserve">T1 </t>
    </r>
    <r>
      <rPr>
        <b val="true"/>
        <sz val="11"/>
        <rFont val="Noto Sans CJK SC"/>
        <family val="2"/>
      </rPr>
      <t xml:space="preserve">平均</t>
    </r>
  </si>
  <si>
    <r>
      <rPr>
        <b val="true"/>
        <sz val="11"/>
        <rFont val="Microsoft JhengHei"/>
        <family val="0"/>
        <charset val="1"/>
      </rPr>
      <t xml:space="preserve">T2 </t>
    </r>
    <r>
      <rPr>
        <b val="true"/>
        <sz val="11"/>
        <rFont val="Noto Sans CJK SC"/>
        <family val="2"/>
      </rPr>
      <t xml:space="preserve">平均</t>
    </r>
  </si>
  <si>
    <r>
      <rPr>
        <b val="true"/>
        <sz val="11"/>
        <rFont val="Microsoft JhengHei"/>
        <family val="0"/>
        <charset val="1"/>
      </rPr>
      <t xml:space="preserve">SS</t>
    </r>
    <r>
      <rPr>
        <b val="true"/>
        <sz val="11"/>
        <rFont val="Noto Sans CJK SC"/>
        <family val="2"/>
      </rPr>
      <t xml:space="preserve">受試者 </t>
    </r>
    <r>
      <rPr>
        <b val="true"/>
        <sz val="11"/>
        <rFont val="Microsoft JhengHei"/>
        <family val="0"/>
        <charset val="1"/>
      </rPr>
      <t xml:space="preserve">= k × Σ(</t>
    </r>
    <r>
      <rPr>
        <b val="true"/>
        <sz val="11"/>
        <rFont val="Noto Sans CJK SC"/>
        <family val="2"/>
      </rPr>
      <t xml:space="preserve">個人平均 − </t>
    </r>
    <r>
      <rPr>
        <b val="true"/>
        <sz val="11"/>
        <rFont val="Microsoft JhengHei"/>
        <family val="0"/>
        <charset val="1"/>
      </rPr>
      <t xml:space="preserve">GM)²</t>
    </r>
  </si>
  <si>
    <r>
      <rPr>
        <b val="true"/>
        <sz val="11"/>
        <rFont val="Microsoft JhengHei"/>
        <family val="0"/>
        <charset val="1"/>
      </rPr>
      <t xml:space="preserve">SS</t>
    </r>
    <r>
      <rPr>
        <b val="true"/>
        <sz val="11"/>
        <rFont val="Noto Sans CJK SC"/>
        <family val="2"/>
      </rPr>
      <t xml:space="preserve">時間 </t>
    </r>
    <r>
      <rPr>
        <b val="true"/>
        <sz val="11"/>
        <rFont val="Microsoft JhengHei"/>
        <family val="0"/>
        <charset val="1"/>
      </rPr>
      <t xml:space="preserve">= n × Σ(</t>
    </r>
    <r>
      <rPr>
        <b val="true"/>
        <sz val="11"/>
        <rFont val="Noto Sans CJK SC"/>
        <family val="2"/>
      </rPr>
      <t xml:space="preserve">各次平均 − </t>
    </r>
    <r>
      <rPr>
        <b val="true"/>
        <sz val="11"/>
        <rFont val="Microsoft JhengHei"/>
        <family val="0"/>
        <charset val="1"/>
      </rPr>
      <t xml:space="preserve">GM)²</t>
    </r>
  </si>
  <si>
    <r>
      <rPr>
        <b val="true"/>
        <sz val="11"/>
        <rFont val="Microsoft JhengHei"/>
        <family val="0"/>
        <charset val="1"/>
      </rPr>
      <t xml:space="preserve">SS</t>
    </r>
    <r>
      <rPr>
        <b val="true"/>
        <sz val="11"/>
        <rFont val="Noto Sans CJK SC"/>
        <family val="2"/>
      </rPr>
      <t xml:space="preserve">總 </t>
    </r>
    <r>
      <rPr>
        <b val="true"/>
        <sz val="11"/>
        <rFont val="Microsoft JhengHei"/>
        <family val="0"/>
        <charset val="1"/>
      </rPr>
      <t xml:space="preserve">= Σ(</t>
    </r>
    <r>
      <rPr>
        <b val="true"/>
        <sz val="11"/>
        <rFont val="Noto Sans CJK SC"/>
        <family val="2"/>
      </rPr>
      <t xml:space="preserve">每個分數 − </t>
    </r>
    <r>
      <rPr>
        <b val="true"/>
        <sz val="11"/>
        <rFont val="Microsoft JhengHei"/>
        <family val="0"/>
        <charset val="1"/>
      </rPr>
      <t xml:space="preserve">GM)²</t>
    </r>
  </si>
  <si>
    <r>
      <rPr>
        <b val="true"/>
        <sz val="11"/>
        <rFont val="Microsoft JhengHei"/>
        <family val="0"/>
        <charset val="1"/>
      </rPr>
      <t xml:space="preserve">SS</t>
    </r>
    <r>
      <rPr>
        <b val="true"/>
        <sz val="11"/>
        <rFont val="Noto Sans CJK SC"/>
        <family val="2"/>
      </rPr>
      <t xml:space="preserve">誤差 </t>
    </r>
    <r>
      <rPr>
        <b val="true"/>
        <sz val="11"/>
        <rFont val="Microsoft JhengHei"/>
        <family val="0"/>
        <charset val="1"/>
      </rPr>
      <t xml:space="preserve">= SS</t>
    </r>
    <r>
      <rPr>
        <b val="true"/>
        <sz val="11"/>
        <rFont val="Noto Sans CJK SC"/>
        <family val="2"/>
      </rPr>
      <t xml:space="preserve">總 − </t>
    </r>
    <r>
      <rPr>
        <b val="true"/>
        <sz val="11"/>
        <rFont val="Microsoft JhengHei"/>
        <family val="0"/>
        <charset val="1"/>
      </rPr>
      <t xml:space="preserve">SS</t>
    </r>
    <r>
      <rPr>
        <b val="true"/>
        <sz val="11"/>
        <rFont val="Noto Sans CJK SC"/>
        <family val="2"/>
      </rPr>
      <t xml:space="preserve">受試者 − </t>
    </r>
    <r>
      <rPr>
        <b val="true"/>
        <sz val="11"/>
        <rFont val="Microsoft JhengHei"/>
        <family val="0"/>
        <charset val="1"/>
      </rPr>
      <t xml:space="preserve">SS</t>
    </r>
    <r>
      <rPr>
        <b val="true"/>
        <sz val="11"/>
        <rFont val="Noto Sans CJK SC"/>
        <family val="2"/>
      </rPr>
      <t xml:space="preserve">時間</t>
    </r>
  </si>
  <si>
    <r>
      <rPr>
        <b val="true"/>
        <sz val="11"/>
        <rFont val="Microsoft JhengHei"/>
        <family val="0"/>
        <charset val="1"/>
      </rPr>
      <t xml:space="preserve">MSR = SS</t>
    </r>
    <r>
      <rPr>
        <b val="true"/>
        <sz val="11"/>
        <rFont val="Noto Sans CJK SC"/>
        <family val="2"/>
      </rPr>
      <t xml:space="preserve">受試者 </t>
    </r>
    <r>
      <rPr>
        <b val="true"/>
        <sz val="11"/>
        <rFont val="Microsoft JhengHei"/>
        <family val="0"/>
        <charset val="1"/>
      </rPr>
      <t xml:space="preserve">÷ (n−1)</t>
    </r>
  </si>
  <si>
    <r>
      <rPr>
        <b val="true"/>
        <sz val="11"/>
        <rFont val="Microsoft JhengHei"/>
        <family val="0"/>
        <charset val="1"/>
      </rPr>
      <t xml:space="preserve">MSC = SS</t>
    </r>
    <r>
      <rPr>
        <b val="true"/>
        <sz val="11"/>
        <rFont val="Noto Sans CJK SC"/>
        <family val="2"/>
      </rPr>
      <t xml:space="preserve">時間 </t>
    </r>
    <r>
      <rPr>
        <b val="true"/>
        <sz val="11"/>
        <rFont val="Microsoft JhengHei"/>
        <family val="0"/>
        <charset val="1"/>
      </rPr>
      <t xml:space="preserve">÷ (k−1)</t>
    </r>
  </si>
  <si>
    <r>
      <rPr>
        <b val="true"/>
        <sz val="11"/>
        <rFont val="Microsoft JhengHei"/>
        <family val="0"/>
        <charset val="1"/>
      </rPr>
      <t xml:space="preserve">MSE = SS</t>
    </r>
    <r>
      <rPr>
        <b val="true"/>
        <sz val="11"/>
        <rFont val="Noto Sans CJK SC"/>
        <family val="2"/>
      </rPr>
      <t xml:space="preserve">誤差 </t>
    </r>
    <r>
      <rPr>
        <b val="true"/>
        <sz val="11"/>
        <rFont val="Microsoft JhengHei"/>
        <family val="0"/>
        <charset val="1"/>
      </rPr>
      <t xml:space="preserve">÷ [(n−1)(k−1)]</t>
    </r>
  </si>
  <si>
    <t xml:space="preserve">ICC = (MSR−MSE) ÷ [MSR + (k−1)MSE + k(MSC−MSE)/n]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</si>
</sst>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.00"/>
    <numFmt numFmtId="166" formatCode="0.000"/>
    <numFmt numFmtId="167" formatCode="General"/>
    <numFmt numFmtId="168" formatCode="0"/>
    <numFmt numFmtId="169" formatCode="0.00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Noto Sans CJK SC"/>
      <family val="2"/>
    </font>
    <font>
      <b val="true"/>
      <sz val="14"/>
      <name val="Microsoft JhengHei"/>
      <family val="0"/>
      <charset val="1"/>
    </font>
    <font>
      <sz val="11"/>
      <name val="Noto Sans CJK SC"/>
      <family val="2"/>
    </font>
    <font>
      <sz val="11"/>
      <name val="Microsoft JhengHei"/>
      <family val="0"/>
      <charset val="1"/>
    </font>
    <font>
      <b val="true"/>
      <sz val="11"/>
      <name val="Noto Sans CJK SC"/>
      <family val="2"/>
    </font>
    <font>
      <b val="true"/>
      <sz val="11"/>
      <name val="Microsoft JhengHei"/>
      <family val="0"/>
      <charset val="1"/>
    </font>
    <font>
      <b val="true"/>
      <sz val="11"/>
      <color rgb="FFFFFFFF"/>
      <name val="Noto Sans CJK SC"/>
      <family val="2"/>
    </font>
    <font>
      <b val="true"/>
      <sz val="11"/>
      <color rgb="FFFFFFFF"/>
      <name val="Microsoft JhengHe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E7C86"/>
        <bgColor rgb="FF008080"/>
      </patternFill>
    </fill>
    <fill>
      <patternFill patternType="solid">
        <fgColor rgb="FFFDF1E4"/>
        <bgColor rgb="FFFFFFFF"/>
      </patternFill>
    </fill>
    <fill>
      <patternFill patternType="solid">
        <fgColor rgb="FFE3ECEE"/>
        <bgColor rgb="FFFDF1E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D3D7"/>
      </left>
      <right style="thin">
        <color rgb="FFC9D3D7"/>
      </right>
      <top style="thin">
        <color rgb="FFC9D3D7"/>
      </top>
      <bottom style="thin">
        <color rgb="FFC9D3D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86"/>
      <rgbColor rgb="FFC0C0C0"/>
      <rgbColor rgb="FF808080"/>
      <rgbColor rgb="FF9999FF"/>
      <rgbColor rgb="FF993366"/>
      <rgbColor rgb="FFFDF1E4"/>
      <rgbColor rgb="FFE3ECEE"/>
      <rgbColor rgb="FF660066"/>
      <rgbColor rgb="FFFF8080"/>
      <rgbColor rgb="FF0066CC"/>
      <rgbColor rgb="FFC9D3D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21.6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 t="s">
        <v>2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3</v>
      </c>
    </row>
    <row r="6" customFormat="false" ht="17.15" hidden="false" customHeight="false" outlineLevel="0" collapsed="false">
      <c r="A6" s="4" t="s">
        <v>4</v>
      </c>
    </row>
    <row r="7" customFormat="false" ht="17.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4" t="s">
        <v>6</v>
      </c>
    </row>
    <row r="9" customFormat="false" ht="17.15" hidden="false" customHeight="false" outlineLevel="0" collapsed="false">
      <c r="A9" s="4" t="s">
        <v>7</v>
      </c>
    </row>
    <row r="10" customFormat="false" ht="17.15" hidden="false" customHeight="false" outlineLevel="0" collapsed="false">
      <c r="A10" s="4" t="s">
        <v>8</v>
      </c>
    </row>
    <row r="11" customFormat="false" ht="17.15" hidden="false" customHeight="false" outlineLevel="0" collapsed="false">
      <c r="A11" s="4" t="s">
        <v>9</v>
      </c>
    </row>
    <row r="12" customFormat="false" ht="17.15" hidden="false" customHeight="false" outlineLevel="0" collapsed="false">
      <c r="A12" s="4" t="s">
        <v>10</v>
      </c>
    </row>
    <row r="13" customFormat="false" ht="17.15" hidden="false" customHeight="false" outlineLevel="0" collapsed="false">
      <c r="A13" s="4" t="s">
        <v>11</v>
      </c>
    </row>
    <row r="14" customFormat="false" ht="15" hidden="false" customHeight="false" outlineLevel="0" collapsed="false">
      <c r="A14" s="2"/>
    </row>
    <row r="15" customFormat="false" ht="15" hidden="false" customHeight="false" outlineLevel="0" collapsed="false">
      <c r="A15" s="3" t="s">
        <v>12</v>
      </c>
    </row>
    <row r="16" customFormat="false" ht="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4" t="s">
        <v>15</v>
      </c>
    </row>
    <row r="20" customFormat="false" ht="17.15" hidden="false" customHeight="false" outlineLevel="0" collapsed="false">
      <c r="A20" s="2" t="s">
        <v>16</v>
      </c>
    </row>
    <row r="21" customFormat="false" ht="17.15" hidden="false" customHeight="false" outlineLevel="0" collapsed="false">
      <c r="A21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2" style="0" width="40"/>
    <col collapsed="false" customWidth="true" hidden="false" outlineLevel="0" max="11" min="9" style="0" width="13"/>
  </cols>
  <sheetData>
    <row r="1" customFormat="false" ht="17.15" hidden="false" customHeight="false" outlineLevel="0" collapsed="false">
      <c r="A1" s="3" t="s">
        <v>18</v>
      </c>
    </row>
    <row r="3" customFormat="false" ht="32.8" hidden="false" customHeight="false" outlineLevel="0" collapsed="false">
      <c r="A3" s="5" t="s">
        <v>19</v>
      </c>
      <c r="B3" s="5" t="s">
        <v>20</v>
      </c>
      <c r="C3" s="5" t="s">
        <v>21</v>
      </c>
      <c r="D3" s="5" t="s">
        <v>22</v>
      </c>
      <c r="E3" s="5" t="s">
        <v>23</v>
      </c>
      <c r="F3" s="5" t="s">
        <v>24</v>
      </c>
      <c r="G3" s="5" t="s">
        <v>25</v>
      </c>
      <c r="H3" s="5" t="s">
        <v>26</v>
      </c>
      <c r="I3" s="5" t="s">
        <v>27</v>
      </c>
      <c r="J3" s="6" t="s">
        <v>28</v>
      </c>
      <c r="K3" s="5" t="s">
        <v>29</v>
      </c>
    </row>
    <row r="4" customFormat="false" ht="15" hidden="false" customHeight="false" outlineLevel="0" collapsed="false">
      <c r="A4" s="7" t="s">
        <v>30</v>
      </c>
      <c r="B4" s="8" t="s">
        <v>31</v>
      </c>
      <c r="C4" s="9" t="n">
        <v>4</v>
      </c>
      <c r="D4" s="9" t="n">
        <v>4</v>
      </c>
      <c r="E4" s="9" t="n">
        <v>4</v>
      </c>
      <c r="F4" s="9" t="n">
        <v>4</v>
      </c>
      <c r="G4" s="9" t="n">
        <v>4</v>
      </c>
      <c r="H4" s="9" t="n">
        <v>4</v>
      </c>
      <c r="I4" s="8" t="n">
        <f aca="false">COUNTIF(C4:H4,"&gt;=3")</f>
        <v>6</v>
      </c>
      <c r="J4" s="10" t="n">
        <f aca="false">I4/COUNT(C4:H4)</f>
        <v>1</v>
      </c>
      <c r="K4" s="8" t="str">
        <f aca="false">IF(J4&gt;=0.78,"保留","刪除或改寫")</f>
        <v>保留</v>
      </c>
    </row>
    <row r="5" customFormat="false" ht="15" hidden="false" customHeight="false" outlineLevel="0" collapsed="false">
      <c r="A5" s="7" t="s">
        <v>32</v>
      </c>
      <c r="B5" s="8" t="s">
        <v>33</v>
      </c>
      <c r="C5" s="9" t="n">
        <v>4</v>
      </c>
      <c r="D5" s="9" t="n">
        <v>3</v>
      </c>
      <c r="E5" s="9" t="n">
        <v>4</v>
      </c>
      <c r="F5" s="9" t="n">
        <v>4</v>
      </c>
      <c r="G5" s="9" t="n">
        <v>3</v>
      </c>
      <c r="H5" s="9" t="n">
        <v>4</v>
      </c>
      <c r="I5" s="8" t="n">
        <f aca="false">COUNTIF(C5:H5,"&gt;=3")</f>
        <v>6</v>
      </c>
      <c r="J5" s="10" t="n">
        <f aca="false">I5/COUNT(C5:H5)</f>
        <v>1</v>
      </c>
      <c r="K5" s="8" t="str">
        <f aca="false">IF(J5&gt;=0.78,"保留","刪除或改寫")</f>
        <v>保留</v>
      </c>
    </row>
    <row r="6" customFormat="false" ht="15" hidden="false" customHeight="false" outlineLevel="0" collapsed="false">
      <c r="A6" s="7" t="s">
        <v>34</v>
      </c>
      <c r="B6" s="8" t="s">
        <v>35</v>
      </c>
      <c r="C6" s="9" t="n">
        <v>4</v>
      </c>
      <c r="D6" s="9" t="n">
        <v>3</v>
      </c>
      <c r="E6" s="9" t="n">
        <v>4</v>
      </c>
      <c r="F6" s="9" t="n">
        <v>2</v>
      </c>
      <c r="G6" s="9" t="n">
        <v>4</v>
      </c>
      <c r="H6" s="9" t="n">
        <v>3</v>
      </c>
      <c r="I6" s="8" t="n">
        <f aca="false">COUNTIF(C6:H6,"&gt;=3")</f>
        <v>5</v>
      </c>
      <c r="J6" s="10" t="n">
        <f aca="false">I6/COUNT(C6:H6)</f>
        <v>0.833333333333333</v>
      </c>
      <c r="K6" s="8" t="str">
        <f aca="false">IF(J6&gt;=0.78,"保留","刪除或改寫")</f>
        <v>保留</v>
      </c>
    </row>
    <row r="7" customFormat="false" ht="15" hidden="false" customHeight="false" outlineLevel="0" collapsed="false">
      <c r="A7" s="7" t="s">
        <v>36</v>
      </c>
      <c r="B7" s="8" t="s">
        <v>37</v>
      </c>
      <c r="C7" s="9" t="n">
        <v>4</v>
      </c>
      <c r="D7" s="9" t="n">
        <v>4</v>
      </c>
      <c r="E7" s="9" t="n">
        <v>3</v>
      </c>
      <c r="F7" s="9" t="n">
        <v>4</v>
      </c>
      <c r="G7" s="9" t="n">
        <v>4</v>
      </c>
      <c r="H7" s="9" t="n">
        <v>4</v>
      </c>
      <c r="I7" s="8" t="n">
        <f aca="false">COUNTIF(C7:H7,"&gt;=3")</f>
        <v>6</v>
      </c>
      <c r="J7" s="10" t="n">
        <f aca="false">I7/COUNT(C7:H7)</f>
        <v>1</v>
      </c>
      <c r="K7" s="8" t="str">
        <f aca="false">IF(J7&gt;=0.78,"保留","刪除或改寫")</f>
        <v>保留</v>
      </c>
    </row>
    <row r="8" customFormat="false" ht="15" hidden="false" customHeight="false" outlineLevel="0" collapsed="false">
      <c r="A8" s="7" t="s">
        <v>38</v>
      </c>
      <c r="B8" s="8" t="s">
        <v>39</v>
      </c>
      <c r="C8" s="9" t="n">
        <v>2</v>
      </c>
      <c r="D8" s="9" t="n">
        <v>3</v>
      </c>
      <c r="E8" s="9" t="n">
        <v>1</v>
      </c>
      <c r="F8" s="9" t="n">
        <v>2</v>
      </c>
      <c r="G8" s="9" t="n">
        <v>3</v>
      </c>
      <c r="H8" s="9" t="n">
        <v>4</v>
      </c>
      <c r="I8" s="8" t="n">
        <f aca="false">COUNTIF(C8:H8,"&gt;=3")</f>
        <v>3</v>
      </c>
      <c r="J8" s="10" t="n">
        <f aca="false">I8/COUNT(C8:H8)</f>
        <v>0.5</v>
      </c>
      <c r="K8" s="8" t="str">
        <f aca="false">IF(J8&gt;=0.78,"保留","刪除或改寫")</f>
        <v>刪除或改寫</v>
      </c>
    </row>
    <row r="9" customFormat="false" ht="15" hidden="false" customHeight="false" outlineLevel="0" collapsed="false">
      <c r="A9" s="7" t="s">
        <v>40</v>
      </c>
      <c r="B9" s="8" t="s">
        <v>41</v>
      </c>
      <c r="C9" s="9" t="n">
        <v>3</v>
      </c>
      <c r="D9" s="9" t="n">
        <v>4</v>
      </c>
      <c r="E9" s="9" t="n">
        <v>4</v>
      </c>
      <c r="F9" s="9" t="n">
        <v>3</v>
      </c>
      <c r="G9" s="9" t="n">
        <v>4</v>
      </c>
      <c r="H9" s="9" t="n">
        <v>3</v>
      </c>
      <c r="I9" s="8" t="n">
        <f aca="false">COUNTIF(C9:H9,"&gt;=3")</f>
        <v>6</v>
      </c>
      <c r="J9" s="10" t="n">
        <f aca="false">I9/COUNT(C9:H9)</f>
        <v>1</v>
      </c>
      <c r="K9" s="8" t="str">
        <f aca="false">IF(J9&gt;=0.78,"保留","刪除或改寫")</f>
        <v>保留</v>
      </c>
    </row>
    <row r="10" customFormat="false" ht="15" hidden="false" customHeight="false" outlineLevel="0" collapsed="false">
      <c r="A10" s="7" t="s">
        <v>42</v>
      </c>
      <c r="B10" s="8" t="s">
        <v>43</v>
      </c>
      <c r="C10" s="9" t="n">
        <v>4</v>
      </c>
      <c r="D10" s="9" t="n">
        <v>4</v>
      </c>
      <c r="E10" s="9" t="n">
        <v>3</v>
      </c>
      <c r="F10" s="9" t="n">
        <v>4</v>
      </c>
      <c r="G10" s="9" t="n">
        <v>4</v>
      </c>
      <c r="H10" s="9" t="n">
        <v>4</v>
      </c>
      <c r="I10" s="8" t="n">
        <f aca="false">COUNTIF(C10:H10,"&gt;=3")</f>
        <v>6</v>
      </c>
      <c r="J10" s="10" t="n">
        <f aca="false">I10/COUNT(C10:H10)</f>
        <v>1</v>
      </c>
      <c r="K10" s="8" t="str">
        <f aca="false">IF(J10&gt;=0.78,"保留","刪除或改寫")</f>
        <v>保留</v>
      </c>
    </row>
    <row r="11" customFormat="false" ht="15" hidden="false" customHeight="false" outlineLevel="0" collapsed="false">
      <c r="A11" s="7" t="s">
        <v>44</v>
      </c>
      <c r="B11" s="8" t="s">
        <v>45</v>
      </c>
      <c r="C11" s="9" t="n">
        <v>3</v>
      </c>
      <c r="D11" s="9" t="n">
        <v>4</v>
      </c>
      <c r="E11" s="9" t="n">
        <v>4</v>
      </c>
      <c r="F11" s="9" t="n">
        <v>4</v>
      </c>
      <c r="G11" s="9" t="n">
        <v>2</v>
      </c>
      <c r="H11" s="9" t="n">
        <v>4</v>
      </c>
      <c r="I11" s="8" t="n">
        <f aca="false">COUNTIF(C11:H11,"&gt;=3")</f>
        <v>5</v>
      </c>
      <c r="J11" s="10" t="n">
        <f aca="false">I11/COUNT(C11:H11)</f>
        <v>0.833333333333333</v>
      </c>
      <c r="K11" s="8" t="str">
        <f aca="false">IF(J11&gt;=0.78,"保留","刪除或改寫")</f>
        <v>保留</v>
      </c>
    </row>
    <row r="12" customFormat="false" ht="15" hidden="false" customHeight="false" outlineLevel="0" collapsed="false">
      <c r="A12" s="7" t="s">
        <v>46</v>
      </c>
      <c r="B12" s="8" t="s">
        <v>47</v>
      </c>
      <c r="C12" s="9" t="n">
        <v>3</v>
      </c>
      <c r="D12" s="9" t="n">
        <v>4</v>
      </c>
      <c r="E12" s="9" t="n">
        <v>4</v>
      </c>
      <c r="F12" s="9" t="n">
        <v>3</v>
      </c>
      <c r="G12" s="9" t="n">
        <v>4</v>
      </c>
      <c r="H12" s="9" t="n">
        <v>4</v>
      </c>
      <c r="I12" s="8" t="n">
        <f aca="false">COUNTIF(C12:H12,"&gt;=3")</f>
        <v>6</v>
      </c>
      <c r="J12" s="10" t="n">
        <f aca="false">I12/COUNT(C12:H12)</f>
        <v>1</v>
      </c>
      <c r="K12" s="8" t="str">
        <f aca="false">IF(J12&gt;=0.78,"保留","刪除或改寫")</f>
        <v>保留</v>
      </c>
    </row>
    <row r="13" customFormat="false" ht="15" hidden="false" customHeight="false" outlineLevel="0" collapsed="false">
      <c r="A13" s="7" t="s">
        <v>48</v>
      </c>
      <c r="B13" s="8" t="s">
        <v>49</v>
      </c>
      <c r="C13" s="9" t="n">
        <v>3</v>
      </c>
      <c r="D13" s="9" t="n">
        <v>3</v>
      </c>
      <c r="E13" s="9" t="n">
        <v>4</v>
      </c>
      <c r="F13" s="9" t="n">
        <v>3</v>
      </c>
      <c r="G13" s="9" t="n">
        <v>3</v>
      </c>
      <c r="H13" s="9" t="n">
        <v>4</v>
      </c>
      <c r="I13" s="8" t="n">
        <f aca="false">COUNTIF(C13:H13,"&gt;=3")</f>
        <v>6</v>
      </c>
      <c r="J13" s="10" t="n">
        <f aca="false">I13/COUNT(C13:H13)</f>
        <v>1</v>
      </c>
      <c r="K13" s="8" t="str">
        <f aca="false">IF(J13&gt;=0.78,"保留","刪除或改寫")</f>
        <v>保留</v>
      </c>
    </row>
    <row r="14" customFormat="false" ht="15" hidden="false" customHeight="false" outlineLevel="0" collapsed="false">
      <c r="A14" s="7" t="s">
        <v>50</v>
      </c>
      <c r="B14" s="8" t="s">
        <v>51</v>
      </c>
      <c r="C14" s="9" t="n">
        <v>4</v>
      </c>
      <c r="D14" s="9" t="n">
        <v>3</v>
      </c>
      <c r="E14" s="9" t="n">
        <v>4</v>
      </c>
      <c r="F14" s="9" t="n">
        <v>4</v>
      </c>
      <c r="G14" s="9" t="n">
        <v>4</v>
      </c>
      <c r="H14" s="9" t="n">
        <v>3</v>
      </c>
      <c r="I14" s="8" t="n">
        <f aca="false">COUNTIF(C14:H14,"&gt;=3")</f>
        <v>6</v>
      </c>
      <c r="J14" s="10" t="n">
        <f aca="false">I14/COUNT(C14:H14)</f>
        <v>1</v>
      </c>
      <c r="K14" s="8" t="str">
        <f aca="false">IF(J14&gt;=0.78,"保留","刪除或改寫")</f>
        <v>保留</v>
      </c>
    </row>
    <row r="15" customFormat="false" ht="15" hidden="false" customHeight="false" outlineLevel="0" collapsed="false">
      <c r="A15" s="7" t="s">
        <v>52</v>
      </c>
      <c r="B15" s="8" t="s">
        <v>53</v>
      </c>
      <c r="C15" s="9" t="n">
        <v>3</v>
      </c>
      <c r="D15" s="9" t="n">
        <v>2</v>
      </c>
      <c r="E15" s="9" t="n">
        <v>4</v>
      </c>
      <c r="F15" s="9" t="n">
        <v>1</v>
      </c>
      <c r="G15" s="9" t="n">
        <v>3</v>
      </c>
      <c r="H15" s="9" t="n">
        <v>4</v>
      </c>
      <c r="I15" s="8" t="n">
        <f aca="false">COUNTIF(C15:H15,"&gt;=3")</f>
        <v>4</v>
      </c>
      <c r="J15" s="10" t="n">
        <f aca="false">I15/COUNT(C15:H15)</f>
        <v>0.666666666666667</v>
      </c>
      <c r="K15" s="8" t="str">
        <f aca="false">IF(J15&gt;=0.78,"保留","刪除或改寫")</f>
        <v>刪除或改寫</v>
      </c>
    </row>
    <row r="16" customFormat="false" ht="15" hidden="false" customHeight="false" outlineLevel="0" collapsed="false">
      <c r="A16" s="7" t="s">
        <v>54</v>
      </c>
      <c r="B16" s="8" t="s">
        <v>55</v>
      </c>
      <c r="C16" s="9" t="n">
        <v>4</v>
      </c>
      <c r="D16" s="9" t="n">
        <v>3</v>
      </c>
      <c r="E16" s="9" t="n">
        <v>4</v>
      </c>
      <c r="F16" s="9" t="n">
        <v>4</v>
      </c>
      <c r="G16" s="9" t="n">
        <v>4</v>
      </c>
      <c r="H16" s="9" t="n">
        <v>4</v>
      </c>
      <c r="I16" s="8" t="n">
        <f aca="false">COUNTIF(C16:H16,"&gt;=3")</f>
        <v>6</v>
      </c>
      <c r="J16" s="10" t="n">
        <f aca="false">I16/COUNT(C16:H16)</f>
        <v>1</v>
      </c>
      <c r="K16" s="8" t="str">
        <f aca="false">IF(J16&gt;=0.78,"保留","刪除或改寫")</f>
        <v>保留</v>
      </c>
    </row>
    <row r="17" customFormat="false" ht="15" hidden="false" customHeight="false" outlineLevel="0" collapsed="false">
      <c r="A17" s="7" t="s">
        <v>56</v>
      </c>
      <c r="B17" s="8" t="s">
        <v>57</v>
      </c>
      <c r="C17" s="9" t="n">
        <v>4</v>
      </c>
      <c r="D17" s="9" t="n">
        <v>4</v>
      </c>
      <c r="E17" s="9" t="n">
        <v>4</v>
      </c>
      <c r="F17" s="9" t="n">
        <v>3</v>
      </c>
      <c r="G17" s="9" t="n">
        <v>4</v>
      </c>
      <c r="H17" s="9" t="n">
        <v>3</v>
      </c>
      <c r="I17" s="8" t="n">
        <f aca="false">COUNTIF(C17:H17,"&gt;=3")</f>
        <v>6</v>
      </c>
      <c r="J17" s="10" t="n">
        <f aca="false">I17/COUNT(C17:H17)</f>
        <v>1</v>
      </c>
      <c r="K17" s="8" t="str">
        <f aca="false">IF(J17&gt;=0.78,"保留","刪除或改寫")</f>
        <v>保留</v>
      </c>
    </row>
    <row r="18" customFormat="false" ht="15" hidden="false" customHeight="false" outlineLevel="0" collapsed="false">
      <c r="A18" s="7" t="s">
        <v>58</v>
      </c>
      <c r="B18" s="8" t="s">
        <v>59</v>
      </c>
      <c r="C18" s="9" t="n">
        <v>4</v>
      </c>
      <c r="D18" s="9" t="n">
        <v>3</v>
      </c>
      <c r="E18" s="9" t="n">
        <v>3</v>
      </c>
      <c r="F18" s="9" t="n">
        <v>4</v>
      </c>
      <c r="G18" s="9" t="n">
        <v>4</v>
      </c>
      <c r="H18" s="9" t="n">
        <v>4</v>
      </c>
      <c r="I18" s="8" t="n">
        <f aca="false">COUNTIF(C18:H18,"&gt;=3")</f>
        <v>6</v>
      </c>
      <c r="J18" s="10" t="n">
        <f aca="false">I18/COUNT(C18:H18)</f>
        <v>1</v>
      </c>
      <c r="K18" s="8" t="str">
        <f aca="false">IF(J18&gt;=0.78,"保留","刪除或改寫")</f>
        <v>保留</v>
      </c>
    </row>
    <row r="19" customFormat="false" ht="15" hidden="false" customHeight="false" outlineLevel="0" collapsed="false">
      <c r="A19" s="7" t="s">
        <v>60</v>
      </c>
      <c r="B19" s="8" t="s">
        <v>61</v>
      </c>
      <c r="C19" s="9" t="n">
        <v>4</v>
      </c>
      <c r="D19" s="9" t="n">
        <v>4</v>
      </c>
      <c r="E19" s="9" t="n">
        <v>3</v>
      </c>
      <c r="F19" s="9" t="n">
        <v>3</v>
      </c>
      <c r="G19" s="9" t="n">
        <v>4</v>
      </c>
      <c r="H19" s="9" t="n">
        <v>2</v>
      </c>
      <c r="I19" s="8" t="n">
        <f aca="false">COUNTIF(C19:H19,"&gt;=3")</f>
        <v>5</v>
      </c>
      <c r="J19" s="10" t="n">
        <f aca="false">I19/COUNT(C19:H19)</f>
        <v>0.833333333333333</v>
      </c>
      <c r="K19" s="8" t="str">
        <f aca="false">IF(J19&gt;=0.78,"保留","刪除或改寫")</f>
        <v>保留</v>
      </c>
    </row>
    <row r="20" customFormat="false" ht="15" hidden="false" customHeight="false" outlineLevel="0" collapsed="false">
      <c r="A20" s="7" t="s">
        <v>62</v>
      </c>
      <c r="B20" s="8" t="s">
        <v>63</v>
      </c>
      <c r="C20" s="9" t="n">
        <v>3</v>
      </c>
      <c r="D20" s="9" t="n">
        <v>4</v>
      </c>
      <c r="E20" s="9" t="n">
        <v>3</v>
      </c>
      <c r="F20" s="9" t="n">
        <v>3</v>
      </c>
      <c r="G20" s="9" t="n">
        <v>4</v>
      </c>
      <c r="H20" s="9" t="n">
        <v>4</v>
      </c>
      <c r="I20" s="8" t="n">
        <f aca="false">COUNTIF(C20:H20,"&gt;=3")</f>
        <v>6</v>
      </c>
      <c r="J20" s="10" t="n">
        <f aca="false">I20/COUNT(C20:H20)</f>
        <v>1</v>
      </c>
      <c r="K20" s="8" t="str">
        <f aca="false">IF(J20&gt;=0.78,"保留","刪除或改寫")</f>
        <v>保留</v>
      </c>
    </row>
    <row r="21" customFormat="false" ht="15" hidden="false" customHeight="false" outlineLevel="0" collapsed="false">
      <c r="A21" s="7" t="s">
        <v>64</v>
      </c>
      <c r="B21" s="8" t="s">
        <v>65</v>
      </c>
      <c r="C21" s="9" t="n">
        <v>3</v>
      </c>
      <c r="D21" s="9" t="n">
        <v>2</v>
      </c>
      <c r="E21" s="9" t="n">
        <v>3</v>
      </c>
      <c r="F21" s="9" t="n">
        <v>4</v>
      </c>
      <c r="G21" s="9" t="n">
        <v>3</v>
      </c>
      <c r="H21" s="9" t="n">
        <v>4</v>
      </c>
      <c r="I21" s="8" t="n">
        <f aca="false">COUNTIF(C21:H21,"&gt;=3")</f>
        <v>5</v>
      </c>
      <c r="J21" s="10" t="n">
        <f aca="false">I21/COUNT(C21:H21)</f>
        <v>0.833333333333333</v>
      </c>
      <c r="K21" s="8" t="str">
        <f aca="false">IF(J21&gt;=0.78,"保留","刪除或改寫")</f>
        <v>保留</v>
      </c>
    </row>
    <row r="23" customFormat="false" ht="17.15" hidden="false" customHeight="false" outlineLevel="0" collapsed="false">
      <c r="B23" s="11" t="s">
        <v>66</v>
      </c>
      <c r="J23" s="12" t="n">
        <f aca="false">AVERAGE(J4:J21)</f>
        <v>0.916666666666667</v>
      </c>
    </row>
    <row r="24" customFormat="false" ht="17.15" hidden="false" customHeight="false" outlineLevel="0" collapsed="false">
      <c r="B24" s="11" t="s">
        <v>67</v>
      </c>
      <c r="J24" s="12" t="n">
        <f aca="false">AVERAGEIF(J4:J21,"&gt;=0.78")</f>
        <v>0.958333333333333</v>
      </c>
    </row>
    <row r="25" customFormat="false" ht="15" hidden="false" customHeight="false" outlineLevel="0" collapsed="false">
      <c r="B25" s="13" t="s">
        <v>68</v>
      </c>
      <c r="J25" s="14" t="n">
        <f aca="false">COUNTIF(J4:J21,"&gt;=0.78")</f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I2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32.8" hidden="false" customHeight="false" outlineLevel="0" collapsed="false">
      <c r="A1" s="6" t="s">
        <v>69</v>
      </c>
      <c r="B1" s="6" t="s">
        <v>30</v>
      </c>
      <c r="C1" s="6" t="s">
        <v>32</v>
      </c>
      <c r="D1" s="6" t="s">
        <v>34</v>
      </c>
      <c r="E1" s="6" t="s">
        <v>36</v>
      </c>
      <c r="F1" s="6" t="s">
        <v>40</v>
      </c>
      <c r="G1" s="6" t="s">
        <v>42</v>
      </c>
      <c r="H1" s="6" t="s">
        <v>44</v>
      </c>
      <c r="I1" s="6" t="s">
        <v>46</v>
      </c>
      <c r="J1" s="6" t="s">
        <v>48</v>
      </c>
      <c r="K1" s="6" t="s">
        <v>50</v>
      </c>
      <c r="L1" s="6" t="s">
        <v>54</v>
      </c>
      <c r="M1" s="6" t="s">
        <v>56</v>
      </c>
      <c r="N1" s="6" t="s">
        <v>58</v>
      </c>
      <c r="O1" s="6" t="s">
        <v>60</v>
      </c>
      <c r="P1" s="6" t="s">
        <v>62</v>
      </c>
      <c r="Q1" s="6" t="s">
        <v>64</v>
      </c>
      <c r="R1" s="5" t="s">
        <v>70</v>
      </c>
      <c r="S1" s="5" t="s">
        <v>71</v>
      </c>
      <c r="T1" s="5" t="s">
        <v>72</v>
      </c>
      <c r="U1" s="5" t="s">
        <v>73</v>
      </c>
      <c r="V1" s="5" t="s">
        <v>74</v>
      </c>
      <c r="W1" s="5" t="s">
        <v>75</v>
      </c>
      <c r="X1" s="5" t="s">
        <v>76</v>
      </c>
      <c r="Y1" s="5" t="s">
        <v>77</v>
      </c>
      <c r="Z1" s="5" t="s">
        <v>78</v>
      </c>
      <c r="AA1" s="5" t="s">
        <v>79</v>
      </c>
      <c r="AB1" s="5" t="s">
        <v>80</v>
      </c>
      <c r="AC1" s="5" t="s">
        <v>81</v>
      </c>
      <c r="AD1" s="5" t="s">
        <v>82</v>
      </c>
      <c r="AE1" s="5" t="s">
        <v>83</v>
      </c>
      <c r="AF1" s="5" t="s">
        <v>84</v>
      </c>
      <c r="AG1" s="5" t="s">
        <v>85</v>
      </c>
      <c r="AH1" s="5" t="s">
        <v>86</v>
      </c>
      <c r="AI1" s="5" t="s">
        <v>87</v>
      </c>
    </row>
    <row r="2" customFormat="false" ht="15" hidden="false" customHeight="false" outlineLevel="0" collapsed="false">
      <c r="A2" s="7" t="s">
        <v>88</v>
      </c>
      <c r="B2" s="9" t="n">
        <v>3</v>
      </c>
      <c r="C2" s="9" t="n">
        <v>4</v>
      </c>
      <c r="D2" s="9" t="n">
        <v>3</v>
      </c>
      <c r="E2" s="9" t="n">
        <v>4</v>
      </c>
      <c r="F2" s="9" t="n">
        <v>5</v>
      </c>
      <c r="G2" s="9" t="n">
        <v>4</v>
      </c>
      <c r="H2" s="9" t="n">
        <v>4</v>
      </c>
      <c r="I2" s="9" t="n">
        <v>4</v>
      </c>
      <c r="J2" s="9" t="n">
        <v>4</v>
      </c>
      <c r="K2" s="9" t="n">
        <v>4</v>
      </c>
      <c r="L2" s="9" t="n">
        <v>5</v>
      </c>
      <c r="M2" s="9" t="n">
        <v>4</v>
      </c>
      <c r="N2" s="9" t="n">
        <v>4</v>
      </c>
      <c r="O2" s="9" t="n">
        <v>5</v>
      </c>
      <c r="P2" s="9" t="n">
        <v>3</v>
      </c>
      <c r="Q2" s="9" t="n">
        <v>4</v>
      </c>
      <c r="R2" s="8" t="n">
        <f aca="false">SUM(B2:Q2)</f>
        <v>64</v>
      </c>
      <c r="S2" s="8" t="str">
        <f aca="false">IF(R2&gt;=5_項目分析!$B$6,"高",IF(R2&lt;=5_項目分析!$B$5,"低",""))</f>
        <v/>
      </c>
      <c r="T2" s="8" t="n">
        <f aca="false">R2-B2</f>
        <v>61</v>
      </c>
      <c r="U2" s="8" t="n">
        <f aca="false">R2-C2</f>
        <v>60</v>
      </c>
      <c r="V2" s="8" t="n">
        <f aca="false">R2-D2</f>
        <v>61</v>
      </c>
      <c r="W2" s="8" t="n">
        <f aca="false">R2-E2</f>
        <v>60</v>
      </c>
      <c r="X2" s="8" t="n">
        <f aca="false">R2-F2</f>
        <v>59</v>
      </c>
      <c r="Y2" s="8" t="n">
        <f aca="false">R2-G2</f>
        <v>60</v>
      </c>
      <c r="Z2" s="8" t="n">
        <f aca="false">R2-H2</f>
        <v>60</v>
      </c>
      <c r="AA2" s="8" t="n">
        <f aca="false">R2-I2</f>
        <v>60</v>
      </c>
      <c r="AB2" s="8" t="n">
        <f aca="false">R2-J2</f>
        <v>60</v>
      </c>
      <c r="AC2" s="8" t="n">
        <f aca="false">R2-K2</f>
        <v>60</v>
      </c>
      <c r="AD2" s="8" t="n">
        <f aca="false">R2-L2</f>
        <v>59</v>
      </c>
      <c r="AE2" s="8" t="n">
        <f aca="false">R2-M2</f>
        <v>60</v>
      </c>
      <c r="AF2" s="8" t="n">
        <f aca="false">R2-N2</f>
        <v>60</v>
      </c>
      <c r="AG2" s="8" t="n">
        <f aca="false">R2-O2</f>
        <v>59</v>
      </c>
      <c r="AH2" s="8" t="n">
        <f aca="false">R2-P2</f>
        <v>61</v>
      </c>
      <c r="AI2" s="8" t="n">
        <f aca="false">R2-Q2</f>
        <v>60</v>
      </c>
    </row>
    <row r="3" customFormat="false" ht="15" hidden="false" customHeight="false" outlineLevel="0" collapsed="false">
      <c r="A3" s="7" t="s">
        <v>89</v>
      </c>
      <c r="B3" s="9" t="n">
        <v>3</v>
      </c>
      <c r="C3" s="9" t="n">
        <v>2</v>
      </c>
      <c r="D3" s="9" t="n">
        <v>4</v>
      </c>
      <c r="E3" s="9" t="n">
        <v>3</v>
      </c>
      <c r="F3" s="9" t="n">
        <v>4</v>
      </c>
      <c r="G3" s="9" t="n">
        <v>4</v>
      </c>
      <c r="H3" s="9" t="n">
        <v>3</v>
      </c>
      <c r="I3" s="9" t="n">
        <v>3</v>
      </c>
      <c r="J3" s="9" t="n">
        <v>2</v>
      </c>
      <c r="K3" s="9" t="n">
        <v>3</v>
      </c>
      <c r="L3" s="9" t="n">
        <v>3</v>
      </c>
      <c r="M3" s="9" t="n">
        <v>3</v>
      </c>
      <c r="N3" s="9" t="n">
        <v>4</v>
      </c>
      <c r="O3" s="9" t="n">
        <v>4</v>
      </c>
      <c r="P3" s="9" t="n">
        <v>3</v>
      </c>
      <c r="Q3" s="9" t="n">
        <v>5</v>
      </c>
      <c r="R3" s="8" t="n">
        <f aca="false">SUM(B3:Q3)</f>
        <v>53</v>
      </c>
      <c r="S3" s="8" t="str">
        <f aca="false">IF(R3&gt;=5_項目分析!$B$6,"高",IF(R3&lt;=5_項目分析!$B$5,"低",""))</f>
        <v>低</v>
      </c>
      <c r="T3" s="8" t="n">
        <f aca="false">R3-B3</f>
        <v>50</v>
      </c>
      <c r="U3" s="8" t="n">
        <f aca="false">R3-C3</f>
        <v>51</v>
      </c>
      <c r="V3" s="8" t="n">
        <f aca="false">R3-D3</f>
        <v>49</v>
      </c>
      <c r="W3" s="8" t="n">
        <f aca="false">R3-E3</f>
        <v>50</v>
      </c>
      <c r="X3" s="8" t="n">
        <f aca="false">R3-F3</f>
        <v>49</v>
      </c>
      <c r="Y3" s="8" t="n">
        <f aca="false">R3-G3</f>
        <v>49</v>
      </c>
      <c r="Z3" s="8" t="n">
        <f aca="false">R3-H3</f>
        <v>50</v>
      </c>
      <c r="AA3" s="8" t="n">
        <f aca="false">R3-I3</f>
        <v>50</v>
      </c>
      <c r="AB3" s="8" t="n">
        <f aca="false">R3-J3</f>
        <v>51</v>
      </c>
      <c r="AC3" s="8" t="n">
        <f aca="false">R3-K3</f>
        <v>50</v>
      </c>
      <c r="AD3" s="8" t="n">
        <f aca="false">R3-L3</f>
        <v>50</v>
      </c>
      <c r="AE3" s="8" t="n">
        <f aca="false">R3-M3</f>
        <v>50</v>
      </c>
      <c r="AF3" s="8" t="n">
        <f aca="false">R3-N3</f>
        <v>49</v>
      </c>
      <c r="AG3" s="8" t="n">
        <f aca="false">R3-O3</f>
        <v>49</v>
      </c>
      <c r="AH3" s="8" t="n">
        <f aca="false">R3-P3</f>
        <v>50</v>
      </c>
      <c r="AI3" s="8" t="n">
        <f aca="false">R3-Q3</f>
        <v>48</v>
      </c>
    </row>
    <row r="4" customFormat="false" ht="15" hidden="false" customHeight="false" outlineLevel="0" collapsed="false">
      <c r="A4" s="7" t="s">
        <v>90</v>
      </c>
      <c r="B4" s="9" t="n">
        <v>3</v>
      </c>
      <c r="C4" s="9" t="n">
        <v>4</v>
      </c>
      <c r="D4" s="9" t="n">
        <v>4</v>
      </c>
      <c r="E4" s="9" t="n">
        <v>4</v>
      </c>
      <c r="F4" s="9" t="n">
        <v>4</v>
      </c>
      <c r="G4" s="9" t="n">
        <v>4</v>
      </c>
      <c r="H4" s="9" t="n">
        <v>2</v>
      </c>
      <c r="I4" s="9" t="n">
        <v>3</v>
      </c>
      <c r="J4" s="9" t="n">
        <v>3</v>
      </c>
      <c r="K4" s="9" t="n">
        <v>4</v>
      </c>
      <c r="L4" s="9" t="n">
        <v>2</v>
      </c>
      <c r="M4" s="9" t="n">
        <v>3</v>
      </c>
      <c r="N4" s="9" t="n">
        <v>4</v>
      </c>
      <c r="O4" s="9" t="n">
        <v>2</v>
      </c>
      <c r="P4" s="9" t="n">
        <v>4</v>
      </c>
      <c r="Q4" s="9" t="n">
        <v>5</v>
      </c>
      <c r="R4" s="8" t="n">
        <f aca="false">SUM(B4:Q4)</f>
        <v>55</v>
      </c>
      <c r="S4" s="8" t="str">
        <f aca="false">IF(R4&gt;=5_項目分析!$B$6,"高",IF(R4&lt;=5_項目分析!$B$5,"低",""))</f>
        <v>低</v>
      </c>
      <c r="T4" s="8" t="n">
        <f aca="false">R4-B4</f>
        <v>52</v>
      </c>
      <c r="U4" s="8" t="n">
        <f aca="false">R4-C4</f>
        <v>51</v>
      </c>
      <c r="V4" s="8" t="n">
        <f aca="false">R4-D4</f>
        <v>51</v>
      </c>
      <c r="W4" s="8" t="n">
        <f aca="false">R4-E4</f>
        <v>51</v>
      </c>
      <c r="X4" s="8" t="n">
        <f aca="false">R4-F4</f>
        <v>51</v>
      </c>
      <c r="Y4" s="8" t="n">
        <f aca="false">R4-G4</f>
        <v>51</v>
      </c>
      <c r="Z4" s="8" t="n">
        <f aca="false">R4-H4</f>
        <v>53</v>
      </c>
      <c r="AA4" s="8" t="n">
        <f aca="false">R4-I4</f>
        <v>52</v>
      </c>
      <c r="AB4" s="8" t="n">
        <f aca="false">R4-J4</f>
        <v>52</v>
      </c>
      <c r="AC4" s="8" t="n">
        <f aca="false">R4-K4</f>
        <v>51</v>
      </c>
      <c r="AD4" s="8" t="n">
        <f aca="false">R4-L4</f>
        <v>53</v>
      </c>
      <c r="AE4" s="8" t="n">
        <f aca="false">R4-M4</f>
        <v>52</v>
      </c>
      <c r="AF4" s="8" t="n">
        <f aca="false">R4-N4</f>
        <v>51</v>
      </c>
      <c r="AG4" s="8" t="n">
        <f aca="false">R4-O4</f>
        <v>53</v>
      </c>
      <c r="AH4" s="8" t="n">
        <f aca="false">R4-P4</f>
        <v>51</v>
      </c>
      <c r="AI4" s="8" t="n">
        <f aca="false">R4-Q4</f>
        <v>50</v>
      </c>
    </row>
    <row r="5" customFormat="false" ht="15" hidden="false" customHeight="false" outlineLevel="0" collapsed="false">
      <c r="A5" s="7" t="s">
        <v>91</v>
      </c>
      <c r="B5" s="9" t="n">
        <v>4</v>
      </c>
      <c r="C5" s="9" t="n">
        <v>4</v>
      </c>
      <c r="D5" s="9" t="n">
        <v>4</v>
      </c>
      <c r="E5" s="9" t="n">
        <v>3</v>
      </c>
      <c r="F5" s="9" t="n">
        <v>4</v>
      </c>
      <c r="G5" s="9" t="n">
        <v>4</v>
      </c>
      <c r="H5" s="9" t="n">
        <v>4</v>
      </c>
      <c r="I5" s="9" t="n">
        <v>4</v>
      </c>
      <c r="J5" s="9" t="n">
        <v>4</v>
      </c>
      <c r="K5" s="9" t="n">
        <v>4</v>
      </c>
      <c r="L5" s="9" t="n">
        <v>5</v>
      </c>
      <c r="M5" s="9" t="n">
        <v>5</v>
      </c>
      <c r="N5" s="9" t="n">
        <v>5</v>
      </c>
      <c r="O5" s="9" t="n">
        <v>3</v>
      </c>
      <c r="P5" s="9" t="n">
        <v>4</v>
      </c>
      <c r="Q5" s="9" t="n">
        <v>5</v>
      </c>
      <c r="R5" s="8" t="n">
        <f aca="false">SUM(B5:Q5)</f>
        <v>66</v>
      </c>
      <c r="S5" s="8" t="str">
        <f aca="false">IF(R5&gt;=5_項目分析!$B$6,"高",IF(R5&lt;=5_項目分析!$B$5,"低",""))</f>
        <v>高</v>
      </c>
      <c r="T5" s="8" t="n">
        <f aca="false">R5-B5</f>
        <v>62</v>
      </c>
      <c r="U5" s="8" t="n">
        <f aca="false">R5-C5</f>
        <v>62</v>
      </c>
      <c r="V5" s="8" t="n">
        <f aca="false">R5-D5</f>
        <v>62</v>
      </c>
      <c r="W5" s="8" t="n">
        <f aca="false">R5-E5</f>
        <v>63</v>
      </c>
      <c r="X5" s="8" t="n">
        <f aca="false">R5-F5</f>
        <v>62</v>
      </c>
      <c r="Y5" s="8" t="n">
        <f aca="false">R5-G5</f>
        <v>62</v>
      </c>
      <c r="Z5" s="8" t="n">
        <f aca="false">R5-H5</f>
        <v>62</v>
      </c>
      <c r="AA5" s="8" t="n">
        <f aca="false">R5-I5</f>
        <v>62</v>
      </c>
      <c r="AB5" s="8" t="n">
        <f aca="false">R5-J5</f>
        <v>62</v>
      </c>
      <c r="AC5" s="8" t="n">
        <f aca="false">R5-K5</f>
        <v>62</v>
      </c>
      <c r="AD5" s="8" t="n">
        <f aca="false">R5-L5</f>
        <v>61</v>
      </c>
      <c r="AE5" s="8" t="n">
        <f aca="false">R5-M5</f>
        <v>61</v>
      </c>
      <c r="AF5" s="8" t="n">
        <f aca="false">R5-N5</f>
        <v>61</v>
      </c>
      <c r="AG5" s="8" t="n">
        <f aca="false">R5-O5</f>
        <v>63</v>
      </c>
      <c r="AH5" s="8" t="n">
        <f aca="false">R5-P5</f>
        <v>62</v>
      </c>
      <c r="AI5" s="8" t="n">
        <f aca="false">R5-Q5</f>
        <v>61</v>
      </c>
    </row>
    <row r="6" customFormat="false" ht="15" hidden="false" customHeight="false" outlineLevel="0" collapsed="false">
      <c r="A6" s="7" t="s">
        <v>92</v>
      </c>
      <c r="B6" s="9" t="n">
        <v>3</v>
      </c>
      <c r="C6" s="9" t="n">
        <v>4</v>
      </c>
      <c r="D6" s="9" t="n">
        <v>4</v>
      </c>
      <c r="E6" s="9" t="n">
        <v>3</v>
      </c>
      <c r="F6" s="9" t="n">
        <v>5</v>
      </c>
      <c r="G6" s="9" t="n">
        <v>4</v>
      </c>
      <c r="H6" s="9" t="n">
        <v>4</v>
      </c>
      <c r="I6" s="9" t="n">
        <v>4</v>
      </c>
      <c r="J6" s="9" t="n">
        <v>4</v>
      </c>
      <c r="K6" s="9" t="n">
        <v>5</v>
      </c>
      <c r="L6" s="9" t="n">
        <v>4</v>
      </c>
      <c r="M6" s="9" t="n">
        <v>4</v>
      </c>
      <c r="N6" s="9" t="n">
        <v>5</v>
      </c>
      <c r="O6" s="9" t="n">
        <v>5</v>
      </c>
      <c r="P6" s="9" t="n">
        <v>5</v>
      </c>
      <c r="Q6" s="9" t="n">
        <v>5</v>
      </c>
      <c r="R6" s="8" t="n">
        <f aca="false">SUM(B6:Q6)</f>
        <v>68</v>
      </c>
      <c r="S6" s="8" t="str">
        <f aca="false">IF(R6&gt;=5_項目分析!$B$6,"高",IF(R6&lt;=5_項目分析!$B$5,"低",""))</f>
        <v>高</v>
      </c>
      <c r="T6" s="8" t="n">
        <f aca="false">R6-B6</f>
        <v>65</v>
      </c>
      <c r="U6" s="8" t="n">
        <f aca="false">R6-C6</f>
        <v>64</v>
      </c>
      <c r="V6" s="8" t="n">
        <f aca="false">R6-D6</f>
        <v>64</v>
      </c>
      <c r="W6" s="8" t="n">
        <f aca="false">R6-E6</f>
        <v>65</v>
      </c>
      <c r="X6" s="8" t="n">
        <f aca="false">R6-F6</f>
        <v>63</v>
      </c>
      <c r="Y6" s="8" t="n">
        <f aca="false">R6-G6</f>
        <v>64</v>
      </c>
      <c r="Z6" s="8" t="n">
        <f aca="false">R6-H6</f>
        <v>64</v>
      </c>
      <c r="AA6" s="8" t="n">
        <f aca="false">R6-I6</f>
        <v>64</v>
      </c>
      <c r="AB6" s="8" t="n">
        <f aca="false">R6-J6</f>
        <v>64</v>
      </c>
      <c r="AC6" s="8" t="n">
        <f aca="false">R6-K6</f>
        <v>63</v>
      </c>
      <c r="AD6" s="8" t="n">
        <f aca="false">R6-L6</f>
        <v>64</v>
      </c>
      <c r="AE6" s="8" t="n">
        <f aca="false">R6-M6</f>
        <v>64</v>
      </c>
      <c r="AF6" s="8" t="n">
        <f aca="false">R6-N6</f>
        <v>63</v>
      </c>
      <c r="AG6" s="8" t="n">
        <f aca="false">R6-O6</f>
        <v>63</v>
      </c>
      <c r="AH6" s="8" t="n">
        <f aca="false">R6-P6</f>
        <v>63</v>
      </c>
      <c r="AI6" s="8" t="n">
        <f aca="false">R6-Q6</f>
        <v>63</v>
      </c>
    </row>
    <row r="7" customFormat="false" ht="15" hidden="false" customHeight="false" outlineLevel="0" collapsed="false">
      <c r="A7" s="7" t="s">
        <v>93</v>
      </c>
      <c r="B7" s="9" t="n">
        <v>5</v>
      </c>
      <c r="C7" s="9" t="n">
        <v>4</v>
      </c>
      <c r="D7" s="9" t="n">
        <v>3</v>
      </c>
      <c r="E7" s="9" t="n">
        <v>4</v>
      </c>
      <c r="F7" s="9" t="n">
        <v>4</v>
      </c>
      <c r="G7" s="9" t="n">
        <v>5</v>
      </c>
      <c r="H7" s="9" t="n">
        <v>5</v>
      </c>
      <c r="I7" s="9" t="n">
        <v>5</v>
      </c>
      <c r="J7" s="9" t="n">
        <v>3</v>
      </c>
      <c r="K7" s="9" t="n">
        <v>4</v>
      </c>
      <c r="L7" s="9" t="n">
        <v>4</v>
      </c>
      <c r="M7" s="9" t="n">
        <v>4</v>
      </c>
      <c r="N7" s="9" t="n">
        <v>4</v>
      </c>
      <c r="O7" s="9" t="n">
        <v>5</v>
      </c>
      <c r="P7" s="9" t="n">
        <v>5</v>
      </c>
      <c r="Q7" s="9" t="n">
        <v>5</v>
      </c>
      <c r="R7" s="8" t="n">
        <f aca="false">SUM(B7:Q7)</f>
        <v>69</v>
      </c>
      <c r="S7" s="8" t="str">
        <f aca="false">IF(R7&gt;=5_項目分析!$B$6,"高",IF(R7&lt;=5_項目分析!$B$5,"低",""))</f>
        <v>高</v>
      </c>
      <c r="T7" s="8" t="n">
        <f aca="false">R7-B7</f>
        <v>64</v>
      </c>
      <c r="U7" s="8" t="n">
        <f aca="false">R7-C7</f>
        <v>65</v>
      </c>
      <c r="V7" s="8" t="n">
        <f aca="false">R7-D7</f>
        <v>66</v>
      </c>
      <c r="W7" s="8" t="n">
        <f aca="false">R7-E7</f>
        <v>65</v>
      </c>
      <c r="X7" s="8" t="n">
        <f aca="false">R7-F7</f>
        <v>65</v>
      </c>
      <c r="Y7" s="8" t="n">
        <f aca="false">R7-G7</f>
        <v>64</v>
      </c>
      <c r="Z7" s="8" t="n">
        <f aca="false">R7-H7</f>
        <v>64</v>
      </c>
      <c r="AA7" s="8" t="n">
        <f aca="false">R7-I7</f>
        <v>64</v>
      </c>
      <c r="AB7" s="8" t="n">
        <f aca="false">R7-J7</f>
        <v>66</v>
      </c>
      <c r="AC7" s="8" t="n">
        <f aca="false">R7-K7</f>
        <v>65</v>
      </c>
      <c r="AD7" s="8" t="n">
        <f aca="false">R7-L7</f>
        <v>65</v>
      </c>
      <c r="AE7" s="8" t="n">
        <f aca="false">R7-M7</f>
        <v>65</v>
      </c>
      <c r="AF7" s="8" t="n">
        <f aca="false">R7-N7</f>
        <v>65</v>
      </c>
      <c r="AG7" s="8" t="n">
        <f aca="false">R7-O7</f>
        <v>64</v>
      </c>
      <c r="AH7" s="8" t="n">
        <f aca="false">R7-P7</f>
        <v>64</v>
      </c>
      <c r="AI7" s="8" t="n">
        <f aca="false">R7-Q7</f>
        <v>64</v>
      </c>
    </row>
    <row r="8" customFormat="false" ht="15" hidden="false" customHeight="false" outlineLevel="0" collapsed="false">
      <c r="A8" s="7" t="s">
        <v>94</v>
      </c>
      <c r="B8" s="9" t="n">
        <v>3</v>
      </c>
      <c r="C8" s="9" t="n">
        <v>3</v>
      </c>
      <c r="D8" s="9" t="n">
        <v>4</v>
      </c>
      <c r="E8" s="9" t="n">
        <v>4</v>
      </c>
      <c r="F8" s="9" t="n">
        <v>4</v>
      </c>
      <c r="G8" s="9" t="n">
        <v>4</v>
      </c>
      <c r="H8" s="9" t="n">
        <v>4</v>
      </c>
      <c r="I8" s="9" t="n">
        <v>4</v>
      </c>
      <c r="J8" s="9" t="n">
        <v>5</v>
      </c>
      <c r="K8" s="9" t="n">
        <v>5</v>
      </c>
      <c r="L8" s="9" t="n">
        <v>4</v>
      </c>
      <c r="M8" s="9" t="n">
        <v>4</v>
      </c>
      <c r="N8" s="9" t="n">
        <v>3</v>
      </c>
      <c r="O8" s="9" t="n">
        <v>4</v>
      </c>
      <c r="P8" s="9" t="n">
        <v>2</v>
      </c>
      <c r="Q8" s="9" t="n">
        <v>4</v>
      </c>
      <c r="R8" s="8" t="n">
        <f aca="false">SUM(B8:Q8)</f>
        <v>61</v>
      </c>
      <c r="S8" s="8" t="str">
        <f aca="false">IF(R8&gt;=5_項目分析!$B$6,"高",IF(R8&lt;=5_項目分析!$B$5,"低",""))</f>
        <v/>
      </c>
      <c r="T8" s="8" t="n">
        <f aca="false">R8-B8</f>
        <v>58</v>
      </c>
      <c r="U8" s="8" t="n">
        <f aca="false">R8-C8</f>
        <v>58</v>
      </c>
      <c r="V8" s="8" t="n">
        <f aca="false">R8-D8</f>
        <v>57</v>
      </c>
      <c r="W8" s="8" t="n">
        <f aca="false">R8-E8</f>
        <v>57</v>
      </c>
      <c r="X8" s="8" t="n">
        <f aca="false">R8-F8</f>
        <v>57</v>
      </c>
      <c r="Y8" s="8" t="n">
        <f aca="false">R8-G8</f>
        <v>57</v>
      </c>
      <c r="Z8" s="8" t="n">
        <f aca="false">R8-H8</f>
        <v>57</v>
      </c>
      <c r="AA8" s="8" t="n">
        <f aca="false">R8-I8</f>
        <v>57</v>
      </c>
      <c r="AB8" s="8" t="n">
        <f aca="false">R8-J8</f>
        <v>56</v>
      </c>
      <c r="AC8" s="8" t="n">
        <f aca="false">R8-K8</f>
        <v>56</v>
      </c>
      <c r="AD8" s="8" t="n">
        <f aca="false">R8-L8</f>
        <v>57</v>
      </c>
      <c r="AE8" s="8" t="n">
        <f aca="false">R8-M8</f>
        <v>57</v>
      </c>
      <c r="AF8" s="8" t="n">
        <f aca="false">R8-N8</f>
        <v>58</v>
      </c>
      <c r="AG8" s="8" t="n">
        <f aca="false">R8-O8</f>
        <v>57</v>
      </c>
      <c r="AH8" s="8" t="n">
        <f aca="false">R8-P8</f>
        <v>59</v>
      </c>
      <c r="AI8" s="8" t="n">
        <f aca="false">R8-Q8</f>
        <v>57</v>
      </c>
    </row>
    <row r="9" customFormat="false" ht="15" hidden="false" customHeight="false" outlineLevel="0" collapsed="false">
      <c r="A9" s="7" t="s">
        <v>95</v>
      </c>
      <c r="B9" s="9" t="n">
        <v>3</v>
      </c>
      <c r="C9" s="9" t="n">
        <v>4</v>
      </c>
      <c r="D9" s="9" t="n">
        <v>5</v>
      </c>
      <c r="E9" s="9" t="n">
        <v>5</v>
      </c>
      <c r="F9" s="9" t="n">
        <v>5</v>
      </c>
      <c r="G9" s="9" t="n">
        <v>4</v>
      </c>
      <c r="H9" s="9" t="n">
        <v>4</v>
      </c>
      <c r="I9" s="9" t="n">
        <v>4</v>
      </c>
      <c r="J9" s="9" t="n">
        <v>2</v>
      </c>
      <c r="K9" s="9" t="n">
        <v>4</v>
      </c>
      <c r="L9" s="9" t="n">
        <v>4</v>
      </c>
      <c r="M9" s="9" t="n">
        <v>4</v>
      </c>
      <c r="N9" s="9" t="n">
        <v>5</v>
      </c>
      <c r="O9" s="9" t="n">
        <v>5</v>
      </c>
      <c r="P9" s="9" t="n">
        <v>5</v>
      </c>
      <c r="Q9" s="9" t="n">
        <v>5</v>
      </c>
      <c r="R9" s="8" t="n">
        <f aca="false">SUM(B9:Q9)</f>
        <v>68</v>
      </c>
      <c r="S9" s="8" t="str">
        <f aca="false">IF(R9&gt;=5_項目分析!$B$6,"高",IF(R9&lt;=5_項目分析!$B$5,"低",""))</f>
        <v>高</v>
      </c>
      <c r="T9" s="8" t="n">
        <f aca="false">R9-B9</f>
        <v>65</v>
      </c>
      <c r="U9" s="8" t="n">
        <f aca="false">R9-C9</f>
        <v>64</v>
      </c>
      <c r="V9" s="8" t="n">
        <f aca="false">R9-D9</f>
        <v>63</v>
      </c>
      <c r="W9" s="8" t="n">
        <f aca="false">R9-E9</f>
        <v>63</v>
      </c>
      <c r="X9" s="8" t="n">
        <f aca="false">R9-F9</f>
        <v>63</v>
      </c>
      <c r="Y9" s="8" t="n">
        <f aca="false">R9-G9</f>
        <v>64</v>
      </c>
      <c r="Z9" s="8" t="n">
        <f aca="false">R9-H9</f>
        <v>64</v>
      </c>
      <c r="AA9" s="8" t="n">
        <f aca="false">R9-I9</f>
        <v>64</v>
      </c>
      <c r="AB9" s="8" t="n">
        <f aca="false">R9-J9</f>
        <v>66</v>
      </c>
      <c r="AC9" s="8" t="n">
        <f aca="false">R9-K9</f>
        <v>64</v>
      </c>
      <c r="AD9" s="8" t="n">
        <f aca="false">R9-L9</f>
        <v>64</v>
      </c>
      <c r="AE9" s="8" t="n">
        <f aca="false">R9-M9</f>
        <v>64</v>
      </c>
      <c r="AF9" s="8" t="n">
        <f aca="false">R9-N9</f>
        <v>63</v>
      </c>
      <c r="AG9" s="8" t="n">
        <f aca="false">R9-O9</f>
        <v>63</v>
      </c>
      <c r="AH9" s="8" t="n">
        <f aca="false">R9-P9</f>
        <v>63</v>
      </c>
      <c r="AI9" s="8" t="n">
        <f aca="false">R9-Q9</f>
        <v>63</v>
      </c>
    </row>
    <row r="10" customFormat="false" ht="15" hidden="false" customHeight="false" outlineLevel="0" collapsed="false">
      <c r="A10" s="7" t="s">
        <v>96</v>
      </c>
      <c r="B10" s="9" t="n">
        <v>4</v>
      </c>
      <c r="C10" s="9" t="n">
        <v>3</v>
      </c>
      <c r="D10" s="9" t="n">
        <v>3</v>
      </c>
      <c r="E10" s="9" t="n">
        <v>3</v>
      </c>
      <c r="F10" s="9" t="n">
        <v>4</v>
      </c>
      <c r="G10" s="9" t="n">
        <v>3</v>
      </c>
      <c r="H10" s="9" t="n">
        <v>2</v>
      </c>
      <c r="I10" s="9" t="n">
        <v>2</v>
      </c>
      <c r="J10" s="9" t="n">
        <v>2</v>
      </c>
      <c r="K10" s="9" t="n">
        <v>3</v>
      </c>
      <c r="L10" s="9" t="n">
        <v>4</v>
      </c>
      <c r="M10" s="9" t="n">
        <v>5</v>
      </c>
      <c r="N10" s="9" t="n">
        <v>4</v>
      </c>
      <c r="O10" s="9" t="n">
        <v>5</v>
      </c>
      <c r="P10" s="9" t="n">
        <v>5</v>
      </c>
      <c r="Q10" s="9" t="n">
        <v>5</v>
      </c>
      <c r="R10" s="8" t="n">
        <f aca="false">SUM(B10:Q10)</f>
        <v>57</v>
      </c>
      <c r="S10" s="8" t="str">
        <f aca="false">IF(R10&gt;=5_項目分析!$B$6,"高",IF(R10&lt;=5_項目分析!$B$5,"低",""))</f>
        <v/>
      </c>
      <c r="T10" s="8" t="n">
        <f aca="false">R10-B10</f>
        <v>53</v>
      </c>
      <c r="U10" s="8" t="n">
        <f aca="false">R10-C10</f>
        <v>54</v>
      </c>
      <c r="V10" s="8" t="n">
        <f aca="false">R10-D10</f>
        <v>54</v>
      </c>
      <c r="W10" s="8" t="n">
        <f aca="false">R10-E10</f>
        <v>54</v>
      </c>
      <c r="X10" s="8" t="n">
        <f aca="false">R10-F10</f>
        <v>53</v>
      </c>
      <c r="Y10" s="8" t="n">
        <f aca="false">R10-G10</f>
        <v>54</v>
      </c>
      <c r="Z10" s="8" t="n">
        <f aca="false">R10-H10</f>
        <v>55</v>
      </c>
      <c r="AA10" s="8" t="n">
        <f aca="false">R10-I10</f>
        <v>55</v>
      </c>
      <c r="AB10" s="8" t="n">
        <f aca="false">R10-J10</f>
        <v>55</v>
      </c>
      <c r="AC10" s="8" t="n">
        <f aca="false">R10-K10</f>
        <v>54</v>
      </c>
      <c r="AD10" s="8" t="n">
        <f aca="false">R10-L10</f>
        <v>53</v>
      </c>
      <c r="AE10" s="8" t="n">
        <f aca="false">R10-M10</f>
        <v>52</v>
      </c>
      <c r="AF10" s="8" t="n">
        <f aca="false">R10-N10</f>
        <v>53</v>
      </c>
      <c r="AG10" s="8" t="n">
        <f aca="false">R10-O10</f>
        <v>52</v>
      </c>
      <c r="AH10" s="8" t="n">
        <f aca="false">R10-P10</f>
        <v>52</v>
      </c>
      <c r="AI10" s="8" t="n">
        <f aca="false">R10-Q10</f>
        <v>52</v>
      </c>
    </row>
    <row r="11" customFormat="false" ht="15" hidden="false" customHeight="false" outlineLevel="0" collapsed="false">
      <c r="A11" s="7" t="s">
        <v>97</v>
      </c>
      <c r="B11" s="9" t="n">
        <v>3</v>
      </c>
      <c r="C11" s="9" t="n">
        <v>4</v>
      </c>
      <c r="D11" s="9" t="n">
        <v>3</v>
      </c>
      <c r="E11" s="9" t="n">
        <v>4</v>
      </c>
      <c r="F11" s="9" t="n">
        <v>3</v>
      </c>
      <c r="G11" s="9" t="n">
        <v>4</v>
      </c>
      <c r="H11" s="9" t="n">
        <v>3</v>
      </c>
      <c r="I11" s="9" t="n">
        <v>3</v>
      </c>
      <c r="J11" s="9" t="n">
        <v>5</v>
      </c>
      <c r="K11" s="9" t="n">
        <v>2</v>
      </c>
      <c r="L11" s="9" t="n">
        <v>3</v>
      </c>
      <c r="M11" s="9" t="n">
        <v>3</v>
      </c>
      <c r="N11" s="9" t="n">
        <v>3</v>
      </c>
      <c r="O11" s="9" t="n">
        <v>3</v>
      </c>
      <c r="P11" s="9" t="n">
        <v>4</v>
      </c>
      <c r="Q11" s="9" t="n">
        <v>5</v>
      </c>
      <c r="R11" s="8" t="n">
        <f aca="false">SUM(B11:Q11)</f>
        <v>55</v>
      </c>
      <c r="S11" s="8" t="str">
        <f aca="false">IF(R11&gt;=5_項目分析!$B$6,"高",IF(R11&lt;=5_項目分析!$B$5,"低",""))</f>
        <v>低</v>
      </c>
      <c r="T11" s="8" t="n">
        <f aca="false">R11-B11</f>
        <v>52</v>
      </c>
      <c r="U11" s="8" t="n">
        <f aca="false">R11-C11</f>
        <v>51</v>
      </c>
      <c r="V11" s="8" t="n">
        <f aca="false">R11-D11</f>
        <v>52</v>
      </c>
      <c r="W11" s="8" t="n">
        <f aca="false">R11-E11</f>
        <v>51</v>
      </c>
      <c r="X11" s="8" t="n">
        <f aca="false">R11-F11</f>
        <v>52</v>
      </c>
      <c r="Y11" s="8" t="n">
        <f aca="false">R11-G11</f>
        <v>51</v>
      </c>
      <c r="Z11" s="8" t="n">
        <f aca="false">R11-H11</f>
        <v>52</v>
      </c>
      <c r="AA11" s="8" t="n">
        <f aca="false">R11-I11</f>
        <v>52</v>
      </c>
      <c r="AB11" s="8" t="n">
        <f aca="false">R11-J11</f>
        <v>50</v>
      </c>
      <c r="AC11" s="8" t="n">
        <f aca="false">R11-K11</f>
        <v>53</v>
      </c>
      <c r="AD11" s="8" t="n">
        <f aca="false">R11-L11</f>
        <v>52</v>
      </c>
      <c r="AE11" s="8" t="n">
        <f aca="false">R11-M11</f>
        <v>52</v>
      </c>
      <c r="AF11" s="8" t="n">
        <f aca="false">R11-N11</f>
        <v>52</v>
      </c>
      <c r="AG11" s="8" t="n">
        <f aca="false">R11-O11</f>
        <v>52</v>
      </c>
      <c r="AH11" s="8" t="n">
        <f aca="false">R11-P11</f>
        <v>51</v>
      </c>
      <c r="AI11" s="8" t="n">
        <f aca="false">R11-Q11</f>
        <v>50</v>
      </c>
    </row>
    <row r="12" customFormat="false" ht="15" hidden="false" customHeight="false" outlineLevel="0" collapsed="false">
      <c r="A12" s="7" t="s">
        <v>98</v>
      </c>
      <c r="B12" s="9" t="n">
        <v>4</v>
      </c>
      <c r="C12" s="9" t="n">
        <v>4</v>
      </c>
      <c r="D12" s="9" t="n">
        <v>4</v>
      </c>
      <c r="E12" s="9" t="n">
        <v>4</v>
      </c>
      <c r="F12" s="9" t="n">
        <v>5</v>
      </c>
      <c r="G12" s="9" t="n">
        <v>3</v>
      </c>
      <c r="H12" s="9" t="n">
        <v>3</v>
      </c>
      <c r="I12" s="9" t="n">
        <v>3</v>
      </c>
      <c r="J12" s="9" t="n">
        <v>3</v>
      </c>
      <c r="K12" s="9" t="n">
        <v>2</v>
      </c>
      <c r="L12" s="9" t="n">
        <v>5</v>
      </c>
      <c r="M12" s="9" t="n">
        <v>5</v>
      </c>
      <c r="N12" s="9" t="n">
        <v>5</v>
      </c>
      <c r="O12" s="9" t="n">
        <v>4</v>
      </c>
      <c r="P12" s="9" t="n">
        <v>5</v>
      </c>
      <c r="Q12" s="9" t="n">
        <v>4</v>
      </c>
      <c r="R12" s="8" t="n">
        <f aca="false">SUM(B12:Q12)</f>
        <v>63</v>
      </c>
      <c r="S12" s="8" t="str">
        <f aca="false">IF(R12&gt;=5_項目分析!$B$6,"高",IF(R12&lt;=5_項目分析!$B$5,"低",""))</f>
        <v/>
      </c>
      <c r="T12" s="8" t="n">
        <f aca="false">R12-B12</f>
        <v>59</v>
      </c>
      <c r="U12" s="8" t="n">
        <f aca="false">R12-C12</f>
        <v>59</v>
      </c>
      <c r="V12" s="8" t="n">
        <f aca="false">R12-D12</f>
        <v>59</v>
      </c>
      <c r="W12" s="8" t="n">
        <f aca="false">R12-E12</f>
        <v>59</v>
      </c>
      <c r="X12" s="8" t="n">
        <f aca="false">R12-F12</f>
        <v>58</v>
      </c>
      <c r="Y12" s="8" t="n">
        <f aca="false">R12-G12</f>
        <v>60</v>
      </c>
      <c r="Z12" s="8" t="n">
        <f aca="false">R12-H12</f>
        <v>60</v>
      </c>
      <c r="AA12" s="8" t="n">
        <f aca="false">R12-I12</f>
        <v>60</v>
      </c>
      <c r="AB12" s="8" t="n">
        <f aca="false">R12-J12</f>
        <v>60</v>
      </c>
      <c r="AC12" s="8" t="n">
        <f aca="false">R12-K12</f>
        <v>61</v>
      </c>
      <c r="AD12" s="8" t="n">
        <f aca="false">R12-L12</f>
        <v>58</v>
      </c>
      <c r="AE12" s="8" t="n">
        <f aca="false">R12-M12</f>
        <v>58</v>
      </c>
      <c r="AF12" s="8" t="n">
        <f aca="false">R12-N12</f>
        <v>58</v>
      </c>
      <c r="AG12" s="8" t="n">
        <f aca="false">R12-O12</f>
        <v>59</v>
      </c>
      <c r="AH12" s="8" t="n">
        <f aca="false">R12-P12</f>
        <v>58</v>
      </c>
      <c r="AI12" s="8" t="n">
        <f aca="false">R12-Q12</f>
        <v>59</v>
      </c>
    </row>
    <row r="13" customFormat="false" ht="15" hidden="false" customHeight="false" outlineLevel="0" collapsed="false">
      <c r="A13" s="7" t="s">
        <v>99</v>
      </c>
      <c r="B13" s="9" t="n">
        <v>4</v>
      </c>
      <c r="C13" s="9" t="n">
        <v>5</v>
      </c>
      <c r="D13" s="9" t="n">
        <v>5</v>
      </c>
      <c r="E13" s="9" t="n">
        <v>5</v>
      </c>
      <c r="F13" s="9" t="n">
        <v>4</v>
      </c>
      <c r="G13" s="9" t="n">
        <v>3</v>
      </c>
      <c r="H13" s="9" t="n">
        <v>3</v>
      </c>
      <c r="I13" s="9" t="n">
        <v>3</v>
      </c>
      <c r="J13" s="9" t="n">
        <v>4</v>
      </c>
      <c r="K13" s="9" t="n">
        <v>3</v>
      </c>
      <c r="L13" s="9" t="n">
        <v>5</v>
      </c>
      <c r="M13" s="9" t="n">
        <v>3</v>
      </c>
      <c r="N13" s="9" t="n">
        <v>5</v>
      </c>
      <c r="O13" s="9" t="n">
        <v>3</v>
      </c>
      <c r="P13" s="9" t="n">
        <v>5</v>
      </c>
      <c r="Q13" s="9" t="n">
        <v>5</v>
      </c>
      <c r="R13" s="8" t="n">
        <f aca="false">SUM(B13:Q13)</f>
        <v>65</v>
      </c>
      <c r="S13" s="8" t="str">
        <f aca="false">IF(R13&gt;=5_項目分析!$B$6,"高",IF(R13&lt;=5_項目分析!$B$5,"低",""))</f>
        <v>高</v>
      </c>
      <c r="T13" s="8" t="n">
        <f aca="false">R13-B13</f>
        <v>61</v>
      </c>
      <c r="U13" s="8" t="n">
        <f aca="false">R13-C13</f>
        <v>60</v>
      </c>
      <c r="V13" s="8" t="n">
        <f aca="false">R13-D13</f>
        <v>60</v>
      </c>
      <c r="W13" s="8" t="n">
        <f aca="false">R13-E13</f>
        <v>60</v>
      </c>
      <c r="X13" s="8" t="n">
        <f aca="false">R13-F13</f>
        <v>61</v>
      </c>
      <c r="Y13" s="8" t="n">
        <f aca="false">R13-G13</f>
        <v>62</v>
      </c>
      <c r="Z13" s="8" t="n">
        <f aca="false">R13-H13</f>
        <v>62</v>
      </c>
      <c r="AA13" s="8" t="n">
        <f aca="false">R13-I13</f>
        <v>62</v>
      </c>
      <c r="AB13" s="8" t="n">
        <f aca="false">R13-J13</f>
        <v>61</v>
      </c>
      <c r="AC13" s="8" t="n">
        <f aca="false">R13-K13</f>
        <v>62</v>
      </c>
      <c r="AD13" s="8" t="n">
        <f aca="false">R13-L13</f>
        <v>60</v>
      </c>
      <c r="AE13" s="8" t="n">
        <f aca="false">R13-M13</f>
        <v>62</v>
      </c>
      <c r="AF13" s="8" t="n">
        <f aca="false">R13-N13</f>
        <v>60</v>
      </c>
      <c r="AG13" s="8" t="n">
        <f aca="false">R13-O13</f>
        <v>62</v>
      </c>
      <c r="AH13" s="8" t="n">
        <f aca="false">R13-P13</f>
        <v>60</v>
      </c>
      <c r="AI13" s="8" t="n">
        <f aca="false">R13-Q13</f>
        <v>60</v>
      </c>
    </row>
    <row r="14" customFormat="false" ht="15" hidden="false" customHeight="false" outlineLevel="0" collapsed="false">
      <c r="A14" s="7" t="s">
        <v>100</v>
      </c>
      <c r="B14" s="9" t="n">
        <v>3</v>
      </c>
      <c r="C14" s="9" t="n">
        <v>3</v>
      </c>
      <c r="D14" s="9" t="n">
        <v>3</v>
      </c>
      <c r="E14" s="9" t="n">
        <v>4</v>
      </c>
      <c r="F14" s="9" t="n">
        <v>3</v>
      </c>
      <c r="G14" s="9" t="n">
        <v>3</v>
      </c>
      <c r="H14" s="9" t="n">
        <v>4</v>
      </c>
      <c r="I14" s="9" t="n">
        <v>3</v>
      </c>
      <c r="J14" s="9" t="n">
        <v>3</v>
      </c>
      <c r="K14" s="9" t="n">
        <v>4</v>
      </c>
      <c r="L14" s="9" t="n">
        <v>4</v>
      </c>
      <c r="M14" s="9" t="n">
        <v>4</v>
      </c>
      <c r="N14" s="9" t="n">
        <v>3</v>
      </c>
      <c r="O14" s="9" t="n">
        <v>4</v>
      </c>
      <c r="P14" s="9" t="n">
        <v>4</v>
      </c>
      <c r="Q14" s="9" t="n">
        <v>5</v>
      </c>
      <c r="R14" s="8" t="n">
        <f aca="false">SUM(B14:Q14)</f>
        <v>57</v>
      </c>
      <c r="S14" s="8" t="str">
        <f aca="false">IF(R14&gt;=5_項目分析!$B$6,"高",IF(R14&lt;=5_項目分析!$B$5,"低",""))</f>
        <v/>
      </c>
      <c r="T14" s="8" t="n">
        <f aca="false">R14-B14</f>
        <v>54</v>
      </c>
      <c r="U14" s="8" t="n">
        <f aca="false">R14-C14</f>
        <v>54</v>
      </c>
      <c r="V14" s="8" t="n">
        <f aca="false">R14-D14</f>
        <v>54</v>
      </c>
      <c r="W14" s="8" t="n">
        <f aca="false">R14-E14</f>
        <v>53</v>
      </c>
      <c r="X14" s="8" t="n">
        <f aca="false">R14-F14</f>
        <v>54</v>
      </c>
      <c r="Y14" s="8" t="n">
        <f aca="false">R14-G14</f>
        <v>54</v>
      </c>
      <c r="Z14" s="8" t="n">
        <f aca="false">R14-H14</f>
        <v>53</v>
      </c>
      <c r="AA14" s="8" t="n">
        <f aca="false">R14-I14</f>
        <v>54</v>
      </c>
      <c r="AB14" s="8" t="n">
        <f aca="false">R14-J14</f>
        <v>54</v>
      </c>
      <c r="AC14" s="8" t="n">
        <f aca="false">R14-K14</f>
        <v>53</v>
      </c>
      <c r="AD14" s="8" t="n">
        <f aca="false">R14-L14</f>
        <v>53</v>
      </c>
      <c r="AE14" s="8" t="n">
        <f aca="false">R14-M14</f>
        <v>53</v>
      </c>
      <c r="AF14" s="8" t="n">
        <f aca="false">R14-N14</f>
        <v>54</v>
      </c>
      <c r="AG14" s="8" t="n">
        <f aca="false">R14-O14</f>
        <v>53</v>
      </c>
      <c r="AH14" s="8" t="n">
        <f aca="false">R14-P14</f>
        <v>53</v>
      </c>
      <c r="AI14" s="8" t="n">
        <f aca="false">R14-Q14</f>
        <v>52</v>
      </c>
    </row>
    <row r="15" customFormat="false" ht="15" hidden="false" customHeight="false" outlineLevel="0" collapsed="false">
      <c r="A15" s="7" t="s">
        <v>101</v>
      </c>
      <c r="B15" s="9" t="n">
        <v>3</v>
      </c>
      <c r="C15" s="9" t="n">
        <v>4</v>
      </c>
      <c r="D15" s="9" t="n">
        <v>3</v>
      </c>
      <c r="E15" s="9" t="n">
        <v>3</v>
      </c>
      <c r="F15" s="9" t="n">
        <v>4</v>
      </c>
      <c r="G15" s="9" t="n">
        <v>4</v>
      </c>
      <c r="H15" s="9" t="n">
        <v>4</v>
      </c>
      <c r="I15" s="9" t="n">
        <v>5</v>
      </c>
      <c r="J15" s="9" t="n">
        <v>2</v>
      </c>
      <c r="K15" s="9" t="n">
        <v>4</v>
      </c>
      <c r="L15" s="9" t="n">
        <v>3</v>
      </c>
      <c r="M15" s="9" t="n">
        <v>3</v>
      </c>
      <c r="N15" s="9" t="n">
        <v>5</v>
      </c>
      <c r="O15" s="9" t="n">
        <v>4</v>
      </c>
      <c r="P15" s="9" t="n">
        <v>4</v>
      </c>
      <c r="Q15" s="9" t="n">
        <v>5</v>
      </c>
      <c r="R15" s="8" t="n">
        <f aca="false">SUM(B15:Q15)</f>
        <v>60</v>
      </c>
      <c r="S15" s="8" t="str">
        <f aca="false">IF(R15&gt;=5_項目分析!$B$6,"高",IF(R15&lt;=5_項目分析!$B$5,"低",""))</f>
        <v/>
      </c>
      <c r="T15" s="8" t="n">
        <f aca="false">R15-B15</f>
        <v>57</v>
      </c>
      <c r="U15" s="8" t="n">
        <f aca="false">R15-C15</f>
        <v>56</v>
      </c>
      <c r="V15" s="8" t="n">
        <f aca="false">R15-D15</f>
        <v>57</v>
      </c>
      <c r="W15" s="8" t="n">
        <f aca="false">R15-E15</f>
        <v>57</v>
      </c>
      <c r="X15" s="8" t="n">
        <f aca="false">R15-F15</f>
        <v>56</v>
      </c>
      <c r="Y15" s="8" t="n">
        <f aca="false">R15-G15</f>
        <v>56</v>
      </c>
      <c r="Z15" s="8" t="n">
        <f aca="false">R15-H15</f>
        <v>56</v>
      </c>
      <c r="AA15" s="8" t="n">
        <f aca="false">R15-I15</f>
        <v>55</v>
      </c>
      <c r="AB15" s="8" t="n">
        <f aca="false">R15-J15</f>
        <v>58</v>
      </c>
      <c r="AC15" s="8" t="n">
        <f aca="false">R15-K15</f>
        <v>56</v>
      </c>
      <c r="AD15" s="8" t="n">
        <f aca="false">R15-L15</f>
        <v>57</v>
      </c>
      <c r="AE15" s="8" t="n">
        <f aca="false">R15-M15</f>
        <v>57</v>
      </c>
      <c r="AF15" s="8" t="n">
        <f aca="false">R15-N15</f>
        <v>55</v>
      </c>
      <c r="AG15" s="8" t="n">
        <f aca="false">R15-O15</f>
        <v>56</v>
      </c>
      <c r="AH15" s="8" t="n">
        <f aca="false">R15-P15</f>
        <v>56</v>
      </c>
      <c r="AI15" s="8" t="n">
        <f aca="false">R15-Q15</f>
        <v>55</v>
      </c>
    </row>
    <row r="16" customFormat="false" ht="15" hidden="false" customHeight="false" outlineLevel="0" collapsed="false">
      <c r="A16" s="7" t="s">
        <v>102</v>
      </c>
      <c r="B16" s="9" t="n">
        <v>2</v>
      </c>
      <c r="C16" s="9" t="n">
        <v>4</v>
      </c>
      <c r="D16" s="9" t="n">
        <v>3</v>
      </c>
      <c r="E16" s="9" t="n">
        <v>4</v>
      </c>
      <c r="F16" s="9" t="n">
        <v>3</v>
      </c>
      <c r="G16" s="9" t="n">
        <v>5</v>
      </c>
      <c r="H16" s="9" t="n">
        <v>4</v>
      </c>
      <c r="I16" s="9" t="n">
        <v>4</v>
      </c>
      <c r="J16" s="9" t="n">
        <v>3</v>
      </c>
      <c r="K16" s="9" t="n">
        <v>4</v>
      </c>
      <c r="L16" s="9" t="n">
        <v>3</v>
      </c>
      <c r="M16" s="9" t="n">
        <v>4</v>
      </c>
      <c r="N16" s="9" t="n">
        <v>4</v>
      </c>
      <c r="O16" s="9" t="n">
        <v>3</v>
      </c>
      <c r="P16" s="9" t="n">
        <v>3</v>
      </c>
      <c r="Q16" s="9" t="n">
        <v>5</v>
      </c>
      <c r="R16" s="8" t="n">
        <f aca="false">SUM(B16:Q16)</f>
        <v>58</v>
      </c>
      <c r="S16" s="8" t="str">
        <f aca="false">IF(R16&gt;=5_項目分析!$B$6,"高",IF(R16&lt;=5_項目分析!$B$5,"低",""))</f>
        <v/>
      </c>
      <c r="T16" s="8" t="n">
        <f aca="false">R16-B16</f>
        <v>56</v>
      </c>
      <c r="U16" s="8" t="n">
        <f aca="false">R16-C16</f>
        <v>54</v>
      </c>
      <c r="V16" s="8" t="n">
        <f aca="false">R16-D16</f>
        <v>55</v>
      </c>
      <c r="W16" s="8" t="n">
        <f aca="false">R16-E16</f>
        <v>54</v>
      </c>
      <c r="X16" s="8" t="n">
        <f aca="false">R16-F16</f>
        <v>55</v>
      </c>
      <c r="Y16" s="8" t="n">
        <f aca="false">R16-G16</f>
        <v>53</v>
      </c>
      <c r="Z16" s="8" t="n">
        <f aca="false">R16-H16</f>
        <v>54</v>
      </c>
      <c r="AA16" s="8" t="n">
        <f aca="false">R16-I16</f>
        <v>54</v>
      </c>
      <c r="AB16" s="8" t="n">
        <f aca="false">R16-J16</f>
        <v>55</v>
      </c>
      <c r="AC16" s="8" t="n">
        <f aca="false">R16-K16</f>
        <v>54</v>
      </c>
      <c r="AD16" s="8" t="n">
        <f aca="false">R16-L16</f>
        <v>55</v>
      </c>
      <c r="AE16" s="8" t="n">
        <f aca="false">R16-M16</f>
        <v>54</v>
      </c>
      <c r="AF16" s="8" t="n">
        <f aca="false">R16-N16</f>
        <v>54</v>
      </c>
      <c r="AG16" s="8" t="n">
        <f aca="false">R16-O16</f>
        <v>55</v>
      </c>
      <c r="AH16" s="8" t="n">
        <f aca="false">R16-P16</f>
        <v>55</v>
      </c>
      <c r="AI16" s="8" t="n">
        <f aca="false">R16-Q16</f>
        <v>53</v>
      </c>
    </row>
    <row r="17" customFormat="false" ht="15" hidden="false" customHeight="false" outlineLevel="0" collapsed="false">
      <c r="A17" s="7" t="s">
        <v>103</v>
      </c>
      <c r="B17" s="9" t="n">
        <v>3</v>
      </c>
      <c r="C17" s="9" t="n">
        <v>2</v>
      </c>
      <c r="D17" s="9" t="n">
        <v>2</v>
      </c>
      <c r="E17" s="9" t="n">
        <v>2</v>
      </c>
      <c r="F17" s="9" t="n">
        <v>2</v>
      </c>
      <c r="G17" s="9" t="n">
        <v>3</v>
      </c>
      <c r="H17" s="9" t="n">
        <v>4</v>
      </c>
      <c r="I17" s="9" t="n">
        <v>3</v>
      </c>
      <c r="J17" s="9" t="n">
        <v>3</v>
      </c>
      <c r="K17" s="9" t="n">
        <v>3</v>
      </c>
      <c r="L17" s="9" t="n">
        <v>3</v>
      </c>
      <c r="M17" s="9" t="n">
        <v>3</v>
      </c>
      <c r="N17" s="9" t="n">
        <v>3</v>
      </c>
      <c r="O17" s="9" t="n">
        <v>3</v>
      </c>
      <c r="P17" s="9" t="n">
        <v>4</v>
      </c>
      <c r="Q17" s="9" t="n">
        <v>5</v>
      </c>
      <c r="R17" s="8" t="n">
        <f aca="false">SUM(B17:Q17)</f>
        <v>48</v>
      </c>
      <c r="S17" s="8" t="str">
        <f aca="false">IF(R17&gt;=5_項目分析!$B$6,"高",IF(R17&lt;=5_項目分析!$B$5,"低",""))</f>
        <v>低</v>
      </c>
      <c r="T17" s="8" t="n">
        <f aca="false">R17-B17</f>
        <v>45</v>
      </c>
      <c r="U17" s="8" t="n">
        <f aca="false">R17-C17</f>
        <v>46</v>
      </c>
      <c r="V17" s="8" t="n">
        <f aca="false">R17-D17</f>
        <v>46</v>
      </c>
      <c r="W17" s="8" t="n">
        <f aca="false">R17-E17</f>
        <v>46</v>
      </c>
      <c r="X17" s="8" t="n">
        <f aca="false">R17-F17</f>
        <v>46</v>
      </c>
      <c r="Y17" s="8" t="n">
        <f aca="false">R17-G17</f>
        <v>45</v>
      </c>
      <c r="Z17" s="8" t="n">
        <f aca="false">R17-H17</f>
        <v>44</v>
      </c>
      <c r="AA17" s="8" t="n">
        <f aca="false">R17-I17</f>
        <v>45</v>
      </c>
      <c r="AB17" s="8" t="n">
        <f aca="false">R17-J17</f>
        <v>45</v>
      </c>
      <c r="AC17" s="8" t="n">
        <f aca="false">R17-K17</f>
        <v>45</v>
      </c>
      <c r="AD17" s="8" t="n">
        <f aca="false">R17-L17</f>
        <v>45</v>
      </c>
      <c r="AE17" s="8" t="n">
        <f aca="false">R17-M17</f>
        <v>45</v>
      </c>
      <c r="AF17" s="8" t="n">
        <f aca="false">R17-N17</f>
        <v>45</v>
      </c>
      <c r="AG17" s="8" t="n">
        <f aca="false">R17-O17</f>
        <v>45</v>
      </c>
      <c r="AH17" s="8" t="n">
        <f aca="false">R17-P17</f>
        <v>44</v>
      </c>
      <c r="AI17" s="8" t="n">
        <f aca="false">R17-Q17</f>
        <v>43</v>
      </c>
    </row>
    <row r="18" customFormat="false" ht="15" hidden="false" customHeight="false" outlineLevel="0" collapsed="false">
      <c r="A18" s="7" t="s">
        <v>104</v>
      </c>
      <c r="B18" s="9" t="n">
        <v>3</v>
      </c>
      <c r="C18" s="9" t="n">
        <v>2</v>
      </c>
      <c r="D18" s="9" t="n">
        <v>4</v>
      </c>
      <c r="E18" s="9" t="n">
        <v>2</v>
      </c>
      <c r="F18" s="9" t="n">
        <v>3</v>
      </c>
      <c r="G18" s="9" t="n">
        <v>3</v>
      </c>
      <c r="H18" s="9" t="n">
        <v>4</v>
      </c>
      <c r="I18" s="9" t="n">
        <v>3</v>
      </c>
      <c r="J18" s="9" t="n">
        <v>2</v>
      </c>
      <c r="K18" s="9" t="n">
        <v>4</v>
      </c>
      <c r="L18" s="9" t="n">
        <v>4</v>
      </c>
      <c r="M18" s="9" t="n">
        <v>4</v>
      </c>
      <c r="N18" s="9" t="n">
        <v>4</v>
      </c>
      <c r="O18" s="9" t="n">
        <v>3</v>
      </c>
      <c r="P18" s="9" t="n">
        <v>4</v>
      </c>
      <c r="Q18" s="9" t="n">
        <v>5</v>
      </c>
      <c r="R18" s="8" t="n">
        <f aca="false">SUM(B18:Q18)</f>
        <v>54</v>
      </c>
      <c r="S18" s="8" t="str">
        <f aca="false">IF(R18&gt;=5_項目分析!$B$6,"高",IF(R18&lt;=5_項目分析!$B$5,"低",""))</f>
        <v>低</v>
      </c>
      <c r="T18" s="8" t="n">
        <f aca="false">R18-B18</f>
        <v>51</v>
      </c>
      <c r="U18" s="8" t="n">
        <f aca="false">R18-C18</f>
        <v>52</v>
      </c>
      <c r="V18" s="8" t="n">
        <f aca="false">R18-D18</f>
        <v>50</v>
      </c>
      <c r="W18" s="8" t="n">
        <f aca="false">R18-E18</f>
        <v>52</v>
      </c>
      <c r="X18" s="8" t="n">
        <f aca="false">R18-F18</f>
        <v>51</v>
      </c>
      <c r="Y18" s="8" t="n">
        <f aca="false">R18-G18</f>
        <v>51</v>
      </c>
      <c r="Z18" s="8" t="n">
        <f aca="false">R18-H18</f>
        <v>50</v>
      </c>
      <c r="AA18" s="8" t="n">
        <f aca="false">R18-I18</f>
        <v>51</v>
      </c>
      <c r="AB18" s="8" t="n">
        <f aca="false">R18-J18</f>
        <v>52</v>
      </c>
      <c r="AC18" s="8" t="n">
        <f aca="false">R18-K18</f>
        <v>50</v>
      </c>
      <c r="AD18" s="8" t="n">
        <f aca="false">R18-L18</f>
        <v>50</v>
      </c>
      <c r="AE18" s="8" t="n">
        <f aca="false">R18-M18</f>
        <v>50</v>
      </c>
      <c r="AF18" s="8" t="n">
        <f aca="false">R18-N18</f>
        <v>50</v>
      </c>
      <c r="AG18" s="8" t="n">
        <f aca="false">R18-O18</f>
        <v>51</v>
      </c>
      <c r="AH18" s="8" t="n">
        <f aca="false">R18-P18</f>
        <v>50</v>
      </c>
      <c r="AI18" s="8" t="n">
        <f aca="false">R18-Q18</f>
        <v>49</v>
      </c>
    </row>
    <row r="19" customFormat="false" ht="15" hidden="false" customHeight="false" outlineLevel="0" collapsed="false">
      <c r="A19" s="7" t="s">
        <v>105</v>
      </c>
      <c r="B19" s="9" t="n">
        <v>2</v>
      </c>
      <c r="C19" s="9" t="n">
        <v>3</v>
      </c>
      <c r="D19" s="9" t="n">
        <v>4</v>
      </c>
      <c r="E19" s="9" t="n">
        <v>3</v>
      </c>
      <c r="F19" s="9" t="n">
        <v>3</v>
      </c>
      <c r="G19" s="9" t="n">
        <v>4</v>
      </c>
      <c r="H19" s="9" t="n">
        <v>4</v>
      </c>
      <c r="I19" s="9" t="n">
        <v>3</v>
      </c>
      <c r="J19" s="9" t="n">
        <v>4</v>
      </c>
      <c r="K19" s="9" t="n">
        <v>3</v>
      </c>
      <c r="L19" s="9" t="n">
        <v>4</v>
      </c>
      <c r="M19" s="9" t="n">
        <v>3</v>
      </c>
      <c r="N19" s="9" t="n">
        <v>2</v>
      </c>
      <c r="O19" s="9" t="n">
        <v>4</v>
      </c>
      <c r="P19" s="9" t="n">
        <v>5</v>
      </c>
      <c r="Q19" s="9" t="n">
        <v>5</v>
      </c>
      <c r="R19" s="8" t="n">
        <f aca="false">SUM(B19:Q19)</f>
        <v>56</v>
      </c>
      <c r="S19" s="8" t="str">
        <f aca="false">IF(R19&gt;=5_項目分析!$B$6,"高",IF(R19&lt;=5_項目分析!$B$5,"低",""))</f>
        <v>低</v>
      </c>
      <c r="T19" s="8" t="n">
        <f aca="false">R19-B19</f>
        <v>54</v>
      </c>
      <c r="U19" s="8" t="n">
        <f aca="false">R19-C19</f>
        <v>53</v>
      </c>
      <c r="V19" s="8" t="n">
        <f aca="false">R19-D19</f>
        <v>52</v>
      </c>
      <c r="W19" s="8" t="n">
        <f aca="false">R19-E19</f>
        <v>53</v>
      </c>
      <c r="X19" s="8" t="n">
        <f aca="false">R19-F19</f>
        <v>53</v>
      </c>
      <c r="Y19" s="8" t="n">
        <f aca="false">R19-G19</f>
        <v>52</v>
      </c>
      <c r="Z19" s="8" t="n">
        <f aca="false">R19-H19</f>
        <v>52</v>
      </c>
      <c r="AA19" s="8" t="n">
        <f aca="false">R19-I19</f>
        <v>53</v>
      </c>
      <c r="AB19" s="8" t="n">
        <f aca="false">R19-J19</f>
        <v>52</v>
      </c>
      <c r="AC19" s="8" t="n">
        <f aca="false">R19-K19</f>
        <v>53</v>
      </c>
      <c r="AD19" s="8" t="n">
        <f aca="false">R19-L19</f>
        <v>52</v>
      </c>
      <c r="AE19" s="8" t="n">
        <f aca="false">R19-M19</f>
        <v>53</v>
      </c>
      <c r="AF19" s="8" t="n">
        <f aca="false">R19-N19</f>
        <v>54</v>
      </c>
      <c r="AG19" s="8" t="n">
        <f aca="false">R19-O19</f>
        <v>52</v>
      </c>
      <c r="AH19" s="8" t="n">
        <f aca="false">R19-P19</f>
        <v>51</v>
      </c>
      <c r="AI19" s="8" t="n">
        <f aca="false">R19-Q19</f>
        <v>51</v>
      </c>
    </row>
    <row r="20" customFormat="false" ht="15" hidden="false" customHeight="false" outlineLevel="0" collapsed="false">
      <c r="A20" s="7" t="s">
        <v>106</v>
      </c>
      <c r="B20" s="9" t="n">
        <v>3</v>
      </c>
      <c r="C20" s="9" t="n">
        <v>3</v>
      </c>
      <c r="D20" s="9" t="n">
        <v>3</v>
      </c>
      <c r="E20" s="9" t="n">
        <v>3</v>
      </c>
      <c r="F20" s="9" t="n">
        <v>4</v>
      </c>
      <c r="G20" s="9" t="n">
        <v>4</v>
      </c>
      <c r="H20" s="9" t="n">
        <v>3</v>
      </c>
      <c r="I20" s="9" t="n">
        <v>3</v>
      </c>
      <c r="J20" s="9" t="n">
        <v>4</v>
      </c>
      <c r="K20" s="9" t="n">
        <v>4</v>
      </c>
      <c r="L20" s="9" t="n">
        <v>4</v>
      </c>
      <c r="M20" s="9" t="n">
        <v>5</v>
      </c>
      <c r="N20" s="9" t="n">
        <v>5</v>
      </c>
      <c r="O20" s="9" t="n">
        <v>4</v>
      </c>
      <c r="P20" s="9" t="n">
        <v>4</v>
      </c>
      <c r="Q20" s="9" t="n">
        <v>5</v>
      </c>
      <c r="R20" s="8" t="n">
        <f aca="false">SUM(B20:Q20)</f>
        <v>61</v>
      </c>
      <c r="S20" s="8" t="str">
        <f aca="false">IF(R20&gt;=5_項目分析!$B$6,"高",IF(R20&lt;=5_項目分析!$B$5,"低",""))</f>
        <v/>
      </c>
      <c r="T20" s="8" t="n">
        <f aca="false">R20-B20</f>
        <v>58</v>
      </c>
      <c r="U20" s="8" t="n">
        <f aca="false">R20-C20</f>
        <v>58</v>
      </c>
      <c r="V20" s="8" t="n">
        <f aca="false">R20-D20</f>
        <v>58</v>
      </c>
      <c r="W20" s="8" t="n">
        <f aca="false">R20-E20</f>
        <v>58</v>
      </c>
      <c r="X20" s="8" t="n">
        <f aca="false">R20-F20</f>
        <v>57</v>
      </c>
      <c r="Y20" s="8" t="n">
        <f aca="false">R20-G20</f>
        <v>57</v>
      </c>
      <c r="Z20" s="8" t="n">
        <f aca="false">R20-H20</f>
        <v>58</v>
      </c>
      <c r="AA20" s="8" t="n">
        <f aca="false">R20-I20</f>
        <v>58</v>
      </c>
      <c r="AB20" s="8" t="n">
        <f aca="false">R20-J20</f>
        <v>57</v>
      </c>
      <c r="AC20" s="8" t="n">
        <f aca="false">R20-K20</f>
        <v>57</v>
      </c>
      <c r="AD20" s="8" t="n">
        <f aca="false">R20-L20</f>
        <v>57</v>
      </c>
      <c r="AE20" s="8" t="n">
        <f aca="false">R20-M20</f>
        <v>56</v>
      </c>
      <c r="AF20" s="8" t="n">
        <f aca="false">R20-N20</f>
        <v>56</v>
      </c>
      <c r="AG20" s="8" t="n">
        <f aca="false">R20-O20</f>
        <v>57</v>
      </c>
      <c r="AH20" s="8" t="n">
        <f aca="false">R20-P20</f>
        <v>57</v>
      </c>
      <c r="AI20" s="8" t="n">
        <f aca="false">R20-Q20</f>
        <v>56</v>
      </c>
    </row>
    <row r="21" customFormat="false" ht="15" hidden="false" customHeight="false" outlineLevel="0" collapsed="false">
      <c r="A21" s="7" t="s">
        <v>107</v>
      </c>
      <c r="B21" s="9" t="n">
        <v>4</v>
      </c>
      <c r="C21" s="9" t="n">
        <v>3</v>
      </c>
      <c r="D21" s="9" t="n">
        <v>3</v>
      </c>
      <c r="E21" s="9" t="n">
        <v>4</v>
      </c>
      <c r="F21" s="9" t="n">
        <v>4</v>
      </c>
      <c r="G21" s="9" t="n">
        <v>5</v>
      </c>
      <c r="H21" s="9" t="n">
        <v>3</v>
      </c>
      <c r="I21" s="9" t="n">
        <v>4</v>
      </c>
      <c r="J21" s="9" t="n">
        <v>3</v>
      </c>
      <c r="K21" s="9" t="n">
        <v>3</v>
      </c>
      <c r="L21" s="9" t="n">
        <v>4</v>
      </c>
      <c r="M21" s="9" t="n">
        <v>3</v>
      </c>
      <c r="N21" s="9" t="n">
        <v>4</v>
      </c>
      <c r="O21" s="9" t="n">
        <v>3</v>
      </c>
      <c r="P21" s="9" t="n">
        <v>3</v>
      </c>
      <c r="Q21" s="9" t="n">
        <v>5</v>
      </c>
      <c r="R21" s="8" t="n">
        <f aca="false">SUM(B21:Q21)</f>
        <v>58</v>
      </c>
      <c r="S21" s="8" t="str">
        <f aca="false">IF(R21&gt;=5_項目分析!$B$6,"高",IF(R21&lt;=5_項目分析!$B$5,"低",""))</f>
        <v/>
      </c>
      <c r="T21" s="8" t="n">
        <f aca="false">R21-B21</f>
        <v>54</v>
      </c>
      <c r="U21" s="8" t="n">
        <f aca="false">R21-C21</f>
        <v>55</v>
      </c>
      <c r="V21" s="8" t="n">
        <f aca="false">R21-D21</f>
        <v>55</v>
      </c>
      <c r="W21" s="8" t="n">
        <f aca="false">R21-E21</f>
        <v>54</v>
      </c>
      <c r="X21" s="8" t="n">
        <f aca="false">R21-F21</f>
        <v>54</v>
      </c>
      <c r="Y21" s="8" t="n">
        <f aca="false">R21-G21</f>
        <v>53</v>
      </c>
      <c r="Z21" s="8" t="n">
        <f aca="false">R21-H21</f>
        <v>55</v>
      </c>
      <c r="AA21" s="8" t="n">
        <f aca="false">R21-I21</f>
        <v>54</v>
      </c>
      <c r="AB21" s="8" t="n">
        <f aca="false">R21-J21</f>
        <v>55</v>
      </c>
      <c r="AC21" s="8" t="n">
        <f aca="false">R21-K21</f>
        <v>55</v>
      </c>
      <c r="AD21" s="8" t="n">
        <f aca="false">R21-L21</f>
        <v>54</v>
      </c>
      <c r="AE21" s="8" t="n">
        <f aca="false">R21-M21</f>
        <v>55</v>
      </c>
      <c r="AF21" s="8" t="n">
        <f aca="false">R21-N21</f>
        <v>54</v>
      </c>
      <c r="AG21" s="8" t="n">
        <f aca="false">R21-O21</f>
        <v>55</v>
      </c>
      <c r="AH21" s="8" t="n">
        <f aca="false">R21-P21</f>
        <v>55</v>
      </c>
      <c r="AI21" s="8" t="n">
        <f aca="false">R21-Q21</f>
        <v>53</v>
      </c>
    </row>
    <row r="22" customFormat="false" ht="15" hidden="false" customHeight="false" outlineLevel="0" collapsed="false">
      <c r="A22" s="7" t="s">
        <v>108</v>
      </c>
      <c r="B22" s="9" t="n">
        <v>3</v>
      </c>
      <c r="C22" s="9" t="n">
        <v>5</v>
      </c>
      <c r="D22" s="9" t="n">
        <v>4</v>
      </c>
      <c r="E22" s="9" t="n">
        <v>4</v>
      </c>
      <c r="F22" s="9" t="n">
        <v>4</v>
      </c>
      <c r="G22" s="9" t="n">
        <v>4</v>
      </c>
      <c r="H22" s="9" t="n">
        <v>4</v>
      </c>
      <c r="I22" s="9" t="n">
        <v>4</v>
      </c>
      <c r="J22" s="9" t="n">
        <v>4</v>
      </c>
      <c r="K22" s="9" t="n">
        <v>3</v>
      </c>
      <c r="L22" s="9" t="n">
        <v>5</v>
      </c>
      <c r="M22" s="9" t="n">
        <v>4</v>
      </c>
      <c r="N22" s="9" t="n">
        <v>5</v>
      </c>
      <c r="O22" s="9" t="n">
        <v>5</v>
      </c>
      <c r="P22" s="9" t="n">
        <v>4</v>
      </c>
      <c r="Q22" s="9" t="n">
        <v>4</v>
      </c>
      <c r="R22" s="8" t="n">
        <f aca="false">SUM(B22:Q22)</f>
        <v>66</v>
      </c>
      <c r="S22" s="8" t="str">
        <f aca="false">IF(R22&gt;=5_項目分析!$B$6,"高",IF(R22&lt;=5_項目分析!$B$5,"低",""))</f>
        <v>高</v>
      </c>
      <c r="T22" s="8" t="n">
        <f aca="false">R22-B22</f>
        <v>63</v>
      </c>
      <c r="U22" s="8" t="n">
        <f aca="false">R22-C22</f>
        <v>61</v>
      </c>
      <c r="V22" s="8" t="n">
        <f aca="false">R22-D22</f>
        <v>62</v>
      </c>
      <c r="W22" s="8" t="n">
        <f aca="false">R22-E22</f>
        <v>62</v>
      </c>
      <c r="X22" s="8" t="n">
        <f aca="false">R22-F22</f>
        <v>62</v>
      </c>
      <c r="Y22" s="8" t="n">
        <f aca="false">R22-G22</f>
        <v>62</v>
      </c>
      <c r="Z22" s="8" t="n">
        <f aca="false">R22-H22</f>
        <v>62</v>
      </c>
      <c r="AA22" s="8" t="n">
        <f aca="false">R22-I22</f>
        <v>62</v>
      </c>
      <c r="AB22" s="8" t="n">
        <f aca="false">R22-J22</f>
        <v>62</v>
      </c>
      <c r="AC22" s="8" t="n">
        <f aca="false">R22-K22</f>
        <v>63</v>
      </c>
      <c r="AD22" s="8" t="n">
        <f aca="false">R22-L22</f>
        <v>61</v>
      </c>
      <c r="AE22" s="8" t="n">
        <f aca="false">R22-M22</f>
        <v>62</v>
      </c>
      <c r="AF22" s="8" t="n">
        <f aca="false">R22-N22</f>
        <v>61</v>
      </c>
      <c r="AG22" s="8" t="n">
        <f aca="false">R22-O22</f>
        <v>61</v>
      </c>
      <c r="AH22" s="8" t="n">
        <f aca="false">R22-P22</f>
        <v>62</v>
      </c>
      <c r="AI22" s="8" t="n">
        <f aca="false">R22-Q22</f>
        <v>62</v>
      </c>
    </row>
    <row r="23" customFormat="false" ht="15" hidden="false" customHeight="false" outlineLevel="0" collapsed="false">
      <c r="A23" s="7" t="s">
        <v>109</v>
      </c>
      <c r="B23" s="9" t="n">
        <v>2</v>
      </c>
      <c r="C23" s="9" t="n">
        <v>2</v>
      </c>
      <c r="D23" s="9" t="n">
        <v>2</v>
      </c>
      <c r="E23" s="9" t="n">
        <v>2</v>
      </c>
      <c r="F23" s="9" t="n">
        <v>4</v>
      </c>
      <c r="G23" s="9" t="n">
        <v>3</v>
      </c>
      <c r="H23" s="9" t="n">
        <v>4</v>
      </c>
      <c r="I23" s="9" t="n">
        <v>4</v>
      </c>
      <c r="J23" s="9" t="n">
        <v>4</v>
      </c>
      <c r="K23" s="9" t="n">
        <v>3</v>
      </c>
      <c r="L23" s="9" t="n">
        <v>5</v>
      </c>
      <c r="M23" s="9" t="n">
        <v>4</v>
      </c>
      <c r="N23" s="9" t="n">
        <v>4</v>
      </c>
      <c r="O23" s="9" t="n">
        <v>4</v>
      </c>
      <c r="P23" s="9" t="n">
        <v>5</v>
      </c>
      <c r="Q23" s="9" t="n">
        <v>5</v>
      </c>
      <c r="R23" s="8" t="n">
        <f aca="false">SUM(B23:Q23)</f>
        <v>57</v>
      </c>
      <c r="S23" s="8" t="str">
        <f aca="false">IF(R23&gt;=5_項目分析!$B$6,"高",IF(R23&lt;=5_項目分析!$B$5,"低",""))</f>
        <v/>
      </c>
      <c r="T23" s="8" t="n">
        <f aca="false">R23-B23</f>
        <v>55</v>
      </c>
      <c r="U23" s="8" t="n">
        <f aca="false">R23-C23</f>
        <v>55</v>
      </c>
      <c r="V23" s="8" t="n">
        <f aca="false">R23-D23</f>
        <v>55</v>
      </c>
      <c r="W23" s="8" t="n">
        <f aca="false">R23-E23</f>
        <v>55</v>
      </c>
      <c r="X23" s="8" t="n">
        <f aca="false">R23-F23</f>
        <v>53</v>
      </c>
      <c r="Y23" s="8" t="n">
        <f aca="false">R23-G23</f>
        <v>54</v>
      </c>
      <c r="Z23" s="8" t="n">
        <f aca="false">R23-H23</f>
        <v>53</v>
      </c>
      <c r="AA23" s="8" t="n">
        <f aca="false">R23-I23</f>
        <v>53</v>
      </c>
      <c r="AB23" s="8" t="n">
        <f aca="false">R23-J23</f>
        <v>53</v>
      </c>
      <c r="AC23" s="8" t="n">
        <f aca="false">R23-K23</f>
        <v>54</v>
      </c>
      <c r="AD23" s="8" t="n">
        <f aca="false">R23-L23</f>
        <v>52</v>
      </c>
      <c r="AE23" s="8" t="n">
        <f aca="false">R23-M23</f>
        <v>53</v>
      </c>
      <c r="AF23" s="8" t="n">
        <f aca="false">R23-N23</f>
        <v>53</v>
      </c>
      <c r="AG23" s="8" t="n">
        <f aca="false">R23-O23</f>
        <v>53</v>
      </c>
      <c r="AH23" s="8" t="n">
        <f aca="false">R23-P23</f>
        <v>52</v>
      </c>
      <c r="AI23" s="8" t="n">
        <f aca="false">R23-Q23</f>
        <v>52</v>
      </c>
    </row>
    <row r="24" customFormat="false" ht="15" hidden="false" customHeight="false" outlineLevel="0" collapsed="false">
      <c r="A24" s="7" t="s">
        <v>110</v>
      </c>
      <c r="B24" s="9" t="n">
        <v>4</v>
      </c>
      <c r="C24" s="9" t="n">
        <v>4</v>
      </c>
      <c r="D24" s="9" t="n">
        <v>5</v>
      </c>
      <c r="E24" s="9" t="n">
        <v>4</v>
      </c>
      <c r="F24" s="9" t="n">
        <v>3</v>
      </c>
      <c r="G24" s="9" t="n">
        <v>5</v>
      </c>
      <c r="H24" s="9" t="n">
        <v>5</v>
      </c>
      <c r="I24" s="9" t="n">
        <v>4</v>
      </c>
      <c r="J24" s="9" t="n">
        <v>4</v>
      </c>
      <c r="K24" s="9" t="n">
        <v>4</v>
      </c>
      <c r="L24" s="9" t="n">
        <v>4</v>
      </c>
      <c r="M24" s="9" t="n">
        <v>4</v>
      </c>
      <c r="N24" s="9" t="n">
        <v>4</v>
      </c>
      <c r="O24" s="9" t="n">
        <v>4</v>
      </c>
      <c r="P24" s="9" t="n">
        <v>5</v>
      </c>
      <c r="Q24" s="9" t="n">
        <v>4</v>
      </c>
      <c r="R24" s="8" t="n">
        <f aca="false">SUM(B24:Q24)</f>
        <v>67</v>
      </c>
      <c r="S24" s="8" t="str">
        <f aca="false">IF(R24&gt;=5_項目分析!$B$6,"高",IF(R24&lt;=5_項目分析!$B$5,"低",""))</f>
        <v>高</v>
      </c>
      <c r="T24" s="8" t="n">
        <f aca="false">R24-B24</f>
        <v>63</v>
      </c>
      <c r="U24" s="8" t="n">
        <f aca="false">R24-C24</f>
        <v>63</v>
      </c>
      <c r="V24" s="8" t="n">
        <f aca="false">R24-D24</f>
        <v>62</v>
      </c>
      <c r="W24" s="8" t="n">
        <f aca="false">R24-E24</f>
        <v>63</v>
      </c>
      <c r="X24" s="8" t="n">
        <f aca="false">R24-F24</f>
        <v>64</v>
      </c>
      <c r="Y24" s="8" t="n">
        <f aca="false">R24-G24</f>
        <v>62</v>
      </c>
      <c r="Z24" s="8" t="n">
        <f aca="false">R24-H24</f>
        <v>62</v>
      </c>
      <c r="AA24" s="8" t="n">
        <f aca="false">R24-I24</f>
        <v>63</v>
      </c>
      <c r="AB24" s="8" t="n">
        <f aca="false">R24-J24</f>
        <v>63</v>
      </c>
      <c r="AC24" s="8" t="n">
        <f aca="false">R24-K24</f>
        <v>63</v>
      </c>
      <c r="AD24" s="8" t="n">
        <f aca="false">R24-L24</f>
        <v>63</v>
      </c>
      <c r="AE24" s="8" t="n">
        <f aca="false">R24-M24</f>
        <v>63</v>
      </c>
      <c r="AF24" s="8" t="n">
        <f aca="false">R24-N24</f>
        <v>63</v>
      </c>
      <c r="AG24" s="8" t="n">
        <f aca="false">R24-O24</f>
        <v>63</v>
      </c>
      <c r="AH24" s="8" t="n">
        <f aca="false">R24-P24</f>
        <v>62</v>
      </c>
      <c r="AI24" s="8" t="n">
        <f aca="false">R24-Q24</f>
        <v>63</v>
      </c>
    </row>
    <row r="25" customFormat="false" ht="15" hidden="false" customHeight="false" outlineLevel="0" collapsed="false">
      <c r="A25" s="7" t="s">
        <v>111</v>
      </c>
      <c r="B25" s="9" t="n">
        <v>3</v>
      </c>
      <c r="C25" s="9" t="n">
        <v>3</v>
      </c>
      <c r="D25" s="9" t="n">
        <v>4</v>
      </c>
      <c r="E25" s="9" t="n">
        <v>3</v>
      </c>
      <c r="F25" s="9" t="n">
        <v>2</v>
      </c>
      <c r="G25" s="9" t="n">
        <v>4</v>
      </c>
      <c r="H25" s="9" t="n">
        <v>4</v>
      </c>
      <c r="I25" s="9" t="n">
        <v>5</v>
      </c>
      <c r="J25" s="9" t="n">
        <v>4</v>
      </c>
      <c r="K25" s="9" t="n">
        <v>4</v>
      </c>
      <c r="L25" s="9" t="n">
        <v>3</v>
      </c>
      <c r="M25" s="9" t="n">
        <v>2</v>
      </c>
      <c r="N25" s="9" t="n">
        <v>3</v>
      </c>
      <c r="O25" s="9" t="n">
        <v>2</v>
      </c>
      <c r="P25" s="9" t="n">
        <v>2</v>
      </c>
      <c r="Q25" s="9" t="n">
        <v>4</v>
      </c>
      <c r="R25" s="8" t="n">
        <f aca="false">SUM(B25:Q25)</f>
        <v>52</v>
      </c>
      <c r="S25" s="8" t="str">
        <f aca="false">IF(R25&gt;=5_項目分析!$B$6,"高",IF(R25&lt;=5_項目分析!$B$5,"低",""))</f>
        <v>低</v>
      </c>
      <c r="T25" s="8" t="n">
        <f aca="false">R25-B25</f>
        <v>49</v>
      </c>
      <c r="U25" s="8" t="n">
        <f aca="false">R25-C25</f>
        <v>49</v>
      </c>
      <c r="V25" s="8" t="n">
        <f aca="false">R25-D25</f>
        <v>48</v>
      </c>
      <c r="W25" s="8" t="n">
        <f aca="false">R25-E25</f>
        <v>49</v>
      </c>
      <c r="X25" s="8" t="n">
        <f aca="false">R25-F25</f>
        <v>50</v>
      </c>
      <c r="Y25" s="8" t="n">
        <f aca="false">R25-G25</f>
        <v>48</v>
      </c>
      <c r="Z25" s="8" t="n">
        <f aca="false">R25-H25</f>
        <v>48</v>
      </c>
      <c r="AA25" s="8" t="n">
        <f aca="false">R25-I25</f>
        <v>47</v>
      </c>
      <c r="AB25" s="8" t="n">
        <f aca="false">R25-J25</f>
        <v>48</v>
      </c>
      <c r="AC25" s="8" t="n">
        <f aca="false">R25-K25</f>
        <v>48</v>
      </c>
      <c r="AD25" s="8" t="n">
        <f aca="false">R25-L25</f>
        <v>49</v>
      </c>
      <c r="AE25" s="8" t="n">
        <f aca="false">R25-M25</f>
        <v>50</v>
      </c>
      <c r="AF25" s="8" t="n">
        <f aca="false">R25-N25</f>
        <v>49</v>
      </c>
      <c r="AG25" s="8" t="n">
        <f aca="false">R25-O25</f>
        <v>50</v>
      </c>
      <c r="AH25" s="8" t="n">
        <f aca="false">R25-P25</f>
        <v>50</v>
      </c>
      <c r="AI25" s="8" t="n">
        <f aca="false">R25-Q25</f>
        <v>48</v>
      </c>
    </row>
    <row r="26" customFormat="false" ht="15" hidden="false" customHeight="false" outlineLevel="0" collapsed="false">
      <c r="A26" s="7" t="s">
        <v>112</v>
      </c>
      <c r="B26" s="9" t="n">
        <v>5</v>
      </c>
      <c r="C26" s="9" t="n">
        <v>3</v>
      </c>
      <c r="D26" s="9" t="n">
        <v>3</v>
      </c>
      <c r="E26" s="9" t="n">
        <v>4</v>
      </c>
      <c r="F26" s="9" t="n">
        <v>4</v>
      </c>
      <c r="G26" s="9" t="n">
        <v>4</v>
      </c>
      <c r="H26" s="9" t="n">
        <v>4</v>
      </c>
      <c r="I26" s="9" t="n">
        <v>4</v>
      </c>
      <c r="J26" s="9" t="n">
        <v>4</v>
      </c>
      <c r="K26" s="9" t="n">
        <v>4</v>
      </c>
      <c r="L26" s="9" t="n">
        <v>3</v>
      </c>
      <c r="M26" s="9" t="n">
        <v>4</v>
      </c>
      <c r="N26" s="9" t="n">
        <v>3</v>
      </c>
      <c r="O26" s="9" t="n">
        <v>4</v>
      </c>
      <c r="P26" s="9" t="n">
        <v>2</v>
      </c>
      <c r="Q26" s="9" t="n">
        <v>5</v>
      </c>
      <c r="R26" s="8" t="n">
        <f aca="false">SUM(B26:Q26)</f>
        <v>60</v>
      </c>
      <c r="S26" s="8" t="str">
        <f aca="false">IF(R26&gt;=5_項目分析!$B$6,"高",IF(R26&lt;=5_項目分析!$B$5,"低",""))</f>
        <v/>
      </c>
      <c r="T26" s="8" t="n">
        <f aca="false">R26-B26</f>
        <v>55</v>
      </c>
      <c r="U26" s="8" t="n">
        <f aca="false">R26-C26</f>
        <v>57</v>
      </c>
      <c r="V26" s="8" t="n">
        <f aca="false">R26-D26</f>
        <v>57</v>
      </c>
      <c r="W26" s="8" t="n">
        <f aca="false">R26-E26</f>
        <v>56</v>
      </c>
      <c r="X26" s="8" t="n">
        <f aca="false">R26-F26</f>
        <v>56</v>
      </c>
      <c r="Y26" s="8" t="n">
        <f aca="false">R26-G26</f>
        <v>56</v>
      </c>
      <c r="Z26" s="8" t="n">
        <f aca="false">R26-H26</f>
        <v>56</v>
      </c>
      <c r="AA26" s="8" t="n">
        <f aca="false">R26-I26</f>
        <v>56</v>
      </c>
      <c r="AB26" s="8" t="n">
        <f aca="false">R26-J26</f>
        <v>56</v>
      </c>
      <c r="AC26" s="8" t="n">
        <f aca="false">R26-K26</f>
        <v>56</v>
      </c>
      <c r="AD26" s="8" t="n">
        <f aca="false">R26-L26</f>
        <v>57</v>
      </c>
      <c r="AE26" s="8" t="n">
        <f aca="false">R26-M26</f>
        <v>56</v>
      </c>
      <c r="AF26" s="8" t="n">
        <f aca="false">R26-N26</f>
        <v>57</v>
      </c>
      <c r="AG26" s="8" t="n">
        <f aca="false">R26-O26</f>
        <v>56</v>
      </c>
      <c r="AH26" s="8" t="n">
        <f aca="false">R26-P26</f>
        <v>58</v>
      </c>
      <c r="AI26" s="8" t="n">
        <f aca="false">R26-Q26</f>
        <v>55</v>
      </c>
    </row>
    <row r="27" customFormat="false" ht="15" hidden="false" customHeight="false" outlineLevel="0" collapsed="false">
      <c r="A27" s="7" t="s">
        <v>113</v>
      </c>
      <c r="B27" s="9" t="n">
        <v>4</v>
      </c>
      <c r="C27" s="9" t="n">
        <v>4</v>
      </c>
      <c r="D27" s="9" t="n">
        <v>4</v>
      </c>
      <c r="E27" s="9" t="n">
        <v>5</v>
      </c>
      <c r="F27" s="9" t="n">
        <v>5</v>
      </c>
      <c r="G27" s="9" t="n">
        <v>5</v>
      </c>
      <c r="H27" s="9" t="n">
        <v>5</v>
      </c>
      <c r="I27" s="9" t="n">
        <v>4</v>
      </c>
      <c r="J27" s="9" t="n">
        <v>4</v>
      </c>
      <c r="K27" s="9" t="n">
        <v>5</v>
      </c>
      <c r="L27" s="9" t="n">
        <v>5</v>
      </c>
      <c r="M27" s="9" t="n">
        <v>5</v>
      </c>
      <c r="N27" s="9" t="n">
        <v>5</v>
      </c>
      <c r="O27" s="9" t="n">
        <v>4</v>
      </c>
      <c r="P27" s="9" t="n">
        <v>5</v>
      </c>
      <c r="Q27" s="9" t="n">
        <v>5</v>
      </c>
      <c r="R27" s="8" t="n">
        <f aca="false">SUM(B27:Q27)</f>
        <v>74</v>
      </c>
      <c r="S27" s="8" t="str">
        <f aca="false">IF(R27&gt;=5_項目分析!$B$6,"高",IF(R27&lt;=5_項目分析!$B$5,"低",""))</f>
        <v>高</v>
      </c>
      <c r="T27" s="8" t="n">
        <f aca="false">R27-B27</f>
        <v>70</v>
      </c>
      <c r="U27" s="8" t="n">
        <f aca="false">R27-C27</f>
        <v>70</v>
      </c>
      <c r="V27" s="8" t="n">
        <f aca="false">R27-D27</f>
        <v>70</v>
      </c>
      <c r="W27" s="8" t="n">
        <f aca="false">R27-E27</f>
        <v>69</v>
      </c>
      <c r="X27" s="8" t="n">
        <f aca="false">R27-F27</f>
        <v>69</v>
      </c>
      <c r="Y27" s="8" t="n">
        <f aca="false">R27-G27</f>
        <v>69</v>
      </c>
      <c r="Z27" s="8" t="n">
        <f aca="false">R27-H27</f>
        <v>69</v>
      </c>
      <c r="AA27" s="8" t="n">
        <f aca="false">R27-I27</f>
        <v>70</v>
      </c>
      <c r="AB27" s="8" t="n">
        <f aca="false">R27-J27</f>
        <v>70</v>
      </c>
      <c r="AC27" s="8" t="n">
        <f aca="false">R27-K27</f>
        <v>69</v>
      </c>
      <c r="AD27" s="8" t="n">
        <f aca="false">R27-L27</f>
        <v>69</v>
      </c>
      <c r="AE27" s="8" t="n">
        <f aca="false">R27-M27</f>
        <v>69</v>
      </c>
      <c r="AF27" s="8" t="n">
        <f aca="false">R27-N27</f>
        <v>69</v>
      </c>
      <c r="AG27" s="8" t="n">
        <f aca="false">R27-O27</f>
        <v>70</v>
      </c>
      <c r="AH27" s="8" t="n">
        <f aca="false">R27-P27</f>
        <v>69</v>
      </c>
      <c r="AI27" s="8" t="n">
        <f aca="false">R27-Q27</f>
        <v>69</v>
      </c>
    </row>
    <row r="28" customFormat="false" ht="15" hidden="false" customHeight="false" outlineLevel="0" collapsed="false">
      <c r="A28" s="7" t="s">
        <v>114</v>
      </c>
      <c r="B28" s="9" t="n">
        <v>4</v>
      </c>
      <c r="C28" s="9" t="n">
        <v>5</v>
      </c>
      <c r="D28" s="9" t="n">
        <v>4</v>
      </c>
      <c r="E28" s="9" t="n">
        <v>4</v>
      </c>
      <c r="F28" s="9" t="n">
        <v>3</v>
      </c>
      <c r="G28" s="9" t="n">
        <v>2</v>
      </c>
      <c r="H28" s="9" t="n">
        <v>3</v>
      </c>
      <c r="I28" s="9" t="n">
        <v>3</v>
      </c>
      <c r="J28" s="9" t="n">
        <v>3</v>
      </c>
      <c r="K28" s="9" t="n">
        <v>3</v>
      </c>
      <c r="L28" s="9" t="n">
        <v>4</v>
      </c>
      <c r="M28" s="9" t="n">
        <v>4</v>
      </c>
      <c r="N28" s="9" t="n">
        <v>4</v>
      </c>
      <c r="O28" s="9" t="n">
        <v>5</v>
      </c>
      <c r="P28" s="9" t="n">
        <v>4</v>
      </c>
      <c r="Q28" s="9" t="n">
        <v>5</v>
      </c>
      <c r="R28" s="8" t="n">
        <f aca="false">SUM(B28:Q28)</f>
        <v>60</v>
      </c>
      <c r="S28" s="8" t="str">
        <f aca="false">IF(R28&gt;=5_項目分析!$B$6,"高",IF(R28&lt;=5_項目分析!$B$5,"低",""))</f>
        <v/>
      </c>
      <c r="T28" s="8" t="n">
        <f aca="false">R28-B28</f>
        <v>56</v>
      </c>
      <c r="U28" s="8" t="n">
        <f aca="false">R28-C28</f>
        <v>55</v>
      </c>
      <c r="V28" s="8" t="n">
        <f aca="false">R28-D28</f>
        <v>56</v>
      </c>
      <c r="W28" s="8" t="n">
        <f aca="false">R28-E28</f>
        <v>56</v>
      </c>
      <c r="X28" s="8" t="n">
        <f aca="false">R28-F28</f>
        <v>57</v>
      </c>
      <c r="Y28" s="8" t="n">
        <f aca="false">R28-G28</f>
        <v>58</v>
      </c>
      <c r="Z28" s="8" t="n">
        <f aca="false">R28-H28</f>
        <v>57</v>
      </c>
      <c r="AA28" s="8" t="n">
        <f aca="false">R28-I28</f>
        <v>57</v>
      </c>
      <c r="AB28" s="8" t="n">
        <f aca="false">R28-J28</f>
        <v>57</v>
      </c>
      <c r="AC28" s="8" t="n">
        <f aca="false">R28-K28</f>
        <v>57</v>
      </c>
      <c r="AD28" s="8" t="n">
        <f aca="false">R28-L28</f>
        <v>56</v>
      </c>
      <c r="AE28" s="8" t="n">
        <f aca="false">R28-M28</f>
        <v>56</v>
      </c>
      <c r="AF28" s="8" t="n">
        <f aca="false">R28-N28</f>
        <v>56</v>
      </c>
      <c r="AG28" s="8" t="n">
        <f aca="false">R28-O28</f>
        <v>55</v>
      </c>
      <c r="AH28" s="8" t="n">
        <f aca="false">R28-P28</f>
        <v>56</v>
      </c>
      <c r="AI28" s="8" t="n">
        <f aca="false">R28-Q28</f>
        <v>55</v>
      </c>
    </row>
    <row r="29" customFormat="false" ht="15" hidden="false" customHeight="false" outlineLevel="0" collapsed="false">
      <c r="A29" s="7" t="s">
        <v>115</v>
      </c>
      <c r="B29" s="9" t="n">
        <v>3</v>
      </c>
      <c r="C29" s="9" t="n">
        <v>4</v>
      </c>
      <c r="D29" s="9" t="n">
        <v>3</v>
      </c>
      <c r="E29" s="9" t="n">
        <v>3</v>
      </c>
      <c r="F29" s="9" t="n">
        <v>3</v>
      </c>
      <c r="G29" s="9" t="n">
        <v>2</v>
      </c>
      <c r="H29" s="9" t="n">
        <v>3</v>
      </c>
      <c r="I29" s="9" t="n">
        <v>4</v>
      </c>
      <c r="J29" s="9" t="n">
        <v>4</v>
      </c>
      <c r="K29" s="9" t="n">
        <v>5</v>
      </c>
      <c r="L29" s="9" t="n">
        <v>3</v>
      </c>
      <c r="M29" s="9" t="n">
        <v>4</v>
      </c>
      <c r="N29" s="9" t="n">
        <v>5</v>
      </c>
      <c r="O29" s="9" t="n">
        <v>3</v>
      </c>
      <c r="P29" s="9" t="n">
        <v>3</v>
      </c>
      <c r="Q29" s="9" t="n">
        <v>5</v>
      </c>
      <c r="R29" s="8" t="n">
        <f aca="false">SUM(B29:Q29)</f>
        <v>57</v>
      </c>
      <c r="S29" s="8" t="str">
        <f aca="false">IF(R29&gt;=5_項目分析!$B$6,"高",IF(R29&lt;=5_項目分析!$B$5,"低",""))</f>
        <v/>
      </c>
      <c r="T29" s="8" t="n">
        <f aca="false">R29-B29</f>
        <v>54</v>
      </c>
      <c r="U29" s="8" t="n">
        <f aca="false">R29-C29</f>
        <v>53</v>
      </c>
      <c r="V29" s="8" t="n">
        <f aca="false">R29-D29</f>
        <v>54</v>
      </c>
      <c r="W29" s="8" t="n">
        <f aca="false">R29-E29</f>
        <v>54</v>
      </c>
      <c r="X29" s="8" t="n">
        <f aca="false">R29-F29</f>
        <v>54</v>
      </c>
      <c r="Y29" s="8" t="n">
        <f aca="false">R29-G29</f>
        <v>55</v>
      </c>
      <c r="Z29" s="8" t="n">
        <f aca="false">R29-H29</f>
        <v>54</v>
      </c>
      <c r="AA29" s="8" t="n">
        <f aca="false">R29-I29</f>
        <v>53</v>
      </c>
      <c r="AB29" s="8" t="n">
        <f aca="false">R29-J29</f>
        <v>53</v>
      </c>
      <c r="AC29" s="8" t="n">
        <f aca="false">R29-K29</f>
        <v>52</v>
      </c>
      <c r="AD29" s="8" t="n">
        <f aca="false">R29-L29</f>
        <v>54</v>
      </c>
      <c r="AE29" s="8" t="n">
        <f aca="false">R29-M29</f>
        <v>53</v>
      </c>
      <c r="AF29" s="8" t="n">
        <f aca="false">R29-N29</f>
        <v>52</v>
      </c>
      <c r="AG29" s="8" t="n">
        <f aca="false">R29-O29</f>
        <v>54</v>
      </c>
      <c r="AH29" s="8" t="n">
        <f aca="false">R29-P29</f>
        <v>54</v>
      </c>
      <c r="AI29" s="8" t="n">
        <f aca="false">R29-Q29</f>
        <v>52</v>
      </c>
    </row>
    <row r="30" customFormat="false" ht="15" hidden="false" customHeight="false" outlineLevel="0" collapsed="false">
      <c r="A30" s="7" t="s">
        <v>116</v>
      </c>
      <c r="B30" s="9" t="n">
        <v>5</v>
      </c>
      <c r="C30" s="9" t="n">
        <v>5</v>
      </c>
      <c r="D30" s="9" t="n">
        <v>5</v>
      </c>
      <c r="E30" s="9" t="n">
        <v>5</v>
      </c>
      <c r="F30" s="9" t="n">
        <v>5</v>
      </c>
      <c r="G30" s="9" t="n">
        <v>4</v>
      </c>
      <c r="H30" s="9" t="n">
        <v>5</v>
      </c>
      <c r="I30" s="9" t="n">
        <v>5</v>
      </c>
      <c r="J30" s="9" t="n">
        <v>4</v>
      </c>
      <c r="K30" s="9" t="n">
        <v>4</v>
      </c>
      <c r="L30" s="9" t="n">
        <v>4</v>
      </c>
      <c r="M30" s="9" t="n">
        <v>4</v>
      </c>
      <c r="N30" s="9" t="n">
        <v>2</v>
      </c>
      <c r="O30" s="9" t="n">
        <v>4</v>
      </c>
      <c r="P30" s="9" t="n">
        <v>2</v>
      </c>
      <c r="Q30" s="9" t="n">
        <v>5</v>
      </c>
      <c r="R30" s="8" t="n">
        <f aca="false">SUM(B30:Q30)</f>
        <v>68</v>
      </c>
      <c r="S30" s="8" t="str">
        <f aca="false">IF(R30&gt;=5_項目分析!$B$6,"高",IF(R30&lt;=5_項目分析!$B$5,"低",""))</f>
        <v>高</v>
      </c>
      <c r="T30" s="8" t="n">
        <f aca="false">R30-B30</f>
        <v>63</v>
      </c>
      <c r="U30" s="8" t="n">
        <f aca="false">R30-C30</f>
        <v>63</v>
      </c>
      <c r="V30" s="8" t="n">
        <f aca="false">R30-D30</f>
        <v>63</v>
      </c>
      <c r="W30" s="8" t="n">
        <f aca="false">R30-E30</f>
        <v>63</v>
      </c>
      <c r="X30" s="8" t="n">
        <f aca="false">R30-F30</f>
        <v>63</v>
      </c>
      <c r="Y30" s="8" t="n">
        <f aca="false">R30-G30</f>
        <v>64</v>
      </c>
      <c r="Z30" s="8" t="n">
        <f aca="false">R30-H30</f>
        <v>63</v>
      </c>
      <c r="AA30" s="8" t="n">
        <f aca="false">R30-I30</f>
        <v>63</v>
      </c>
      <c r="AB30" s="8" t="n">
        <f aca="false">R30-J30</f>
        <v>64</v>
      </c>
      <c r="AC30" s="8" t="n">
        <f aca="false">R30-K30</f>
        <v>64</v>
      </c>
      <c r="AD30" s="8" t="n">
        <f aca="false">R30-L30</f>
        <v>64</v>
      </c>
      <c r="AE30" s="8" t="n">
        <f aca="false">R30-M30</f>
        <v>64</v>
      </c>
      <c r="AF30" s="8" t="n">
        <f aca="false">R30-N30</f>
        <v>66</v>
      </c>
      <c r="AG30" s="8" t="n">
        <f aca="false">R30-O30</f>
        <v>64</v>
      </c>
      <c r="AH30" s="8" t="n">
        <f aca="false">R30-P30</f>
        <v>66</v>
      </c>
      <c r="AI30" s="8" t="n">
        <f aca="false">R30-Q30</f>
        <v>63</v>
      </c>
    </row>
    <row r="31" customFormat="false" ht="15" hidden="false" customHeight="false" outlineLevel="0" collapsed="false">
      <c r="A31" s="7" t="s">
        <v>117</v>
      </c>
      <c r="B31" s="9" t="n">
        <v>5</v>
      </c>
      <c r="C31" s="9" t="n">
        <v>5</v>
      </c>
      <c r="D31" s="9" t="n">
        <v>5</v>
      </c>
      <c r="E31" s="9" t="n">
        <v>5</v>
      </c>
      <c r="F31" s="9" t="n">
        <v>5</v>
      </c>
      <c r="G31" s="9" t="n">
        <v>4</v>
      </c>
      <c r="H31" s="9" t="n">
        <v>3</v>
      </c>
      <c r="I31" s="9" t="n">
        <v>4</v>
      </c>
      <c r="J31" s="9" t="n">
        <v>2</v>
      </c>
      <c r="K31" s="9" t="n">
        <v>4</v>
      </c>
      <c r="L31" s="9" t="n">
        <v>4</v>
      </c>
      <c r="M31" s="9" t="n">
        <v>5</v>
      </c>
      <c r="N31" s="9" t="n">
        <v>5</v>
      </c>
      <c r="O31" s="9" t="n">
        <v>5</v>
      </c>
      <c r="P31" s="9" t="n">
        <v>5</v>
      </c>
      <c r="Q31" s="9" t="n">
        <v>5</v>
      </c>
      <c r="R31" s="8" t="n">
        <f aca="false">SUM(B31:Q31)</f>
        <v>71</v>
      </c>
      <c r="S31" s="8" t="str">
        <f aca="false">IF(R31&gt;=5_項目分析!$B$6,"高",IF(R31&lt;=5_項目分析!$B$5,"低",""))</f>
        <v>高</v>
      </c>
      <c r="T31" s="8" t="n">
        <f aca="false">R31-B31</f>
        <v>66</v>
      </c>
      <c r="U31" s="8" t="n">
        <f aca="false">R31-C31</f>
        <v>66</v>
      </c>
      <c r="V31" s="8" t="n">
        <f aca="false">R31-D31</f>
        <v>66</v>
      </c>
      <c r="W31" s="8" t="n">
        <f aca="false">R31-E31</f>
        <v>66</v>
      </c>
      <c r="X31" s="8" t="n">
        <f aca="false">R31-F31</f>
        <v>66</v>
      </c>
      <c r="Y31" s="8" t="n">
        <f aca="false">R31-G31</f>
        <v>67</v>
      </c>
      <c r="Z31" s="8" t="n">
        <f aca="false">R31-H31</f>
        <v>68</v>
      </c>
      <c r="AA31" s="8" t="n">
        <f aca="false">R31-I31</f>
        <v>67</v>
      </c>
      <c r="AB31" s="8" t="n">
        <f aca="false">R31-J31</f>
        <v>69</v>
      </c>
      <c r="AC31" s="8" t="n">
        <f aca="false">R31-K31</f>
        <v>67</v>
      </c>
      <c r="AD31" s="8" t="n">
        <f aca="false">R31-L31</f>
        <v>67</v>
      </c>
      <c r="AE31" s="8" t="n">
        <f aca="false">R31-M31</f>
        <v>66</v>
      </c>
      <c r="AF31" s="8" t="n">
        <f aca="false">R31-N31</f>
        <v>66</v>
      </c>
      <c r="AG31" s="8" t="n">
        <f aca="false">R31-O31</f>
        <v>66</v>
      </c>
      <c r="AH31" s="8" t="n">
        <f aca="false">R31-P31</f>
        <v>66</v>
      </c>
      <c r="AI31" s="8" t="n">
        <f aca="false">R31-Q31</f>
        <v>66</v>
      </c>
    </row>
    <row r="32" customFormat="false" ht="15" hidden="false" customHeight="false" outlineLevel="0" collapsed="false">
      <c r="A32" s="7" t="s">
        <v>118</v>
      </c>
      <c r="B32" s="9" t="n">
        <v>4</v>
      </c>
      <c r="C32" s="9" t="n">
        <v>4</v>
      </c>
      <c r="D32" s="9" t="n">
        <v>5</v>
      </c>
      <c r="E32" s="9" t="n">
        <v>4</v>
      </c>
      <c r="F32" s="9" t="n">
        <v>4</v>
      </c>
      <c r="G32" s="9" t="n">
        <v>4</v>
      </c>
      <c r="H32" s="9" t="n">
        <v>4</v>
      </c>
      <c r="I32" s="9" t="n">
        <v>4</v>
      </c>
      <c r="J32" s="9" t="n">
        <v>3</v>
      </c>
      <c r="K32" s="9" t="n">
        <v>2</v>
      </c>
      <c r="L32" s="9" t="n">
        <v>4</v>
      </c>
      <c r="M32" s="9" t="n">
        <v>4</v>
      </c>
      <c r="N32" s="9" t="n">
        <v>4</v>
      </c>
      <c r="O32" s="9" t="n">
        <v>4</v>
      </c>
      <c r="P32" s="9" t="n">
        <v>4</v>
      </c>
      <c r="Q32" s="9" t="n">
        <v>5</v>
      </c>
      <c r="R32" s="8" t="n">
        <f aca="false">SUM(B32:Q32)</f>
        <v>63</v>
      </c>
      <c r="S32" s="8" t="str">
        <f aca="false">IF(R32&gt;=5_項目分析!$B$6,"高",IF(R32&lt;=5_項目分析!$B$5,"低",""))</f>
        <v/>
      </c>
      <c r="T32" s="8" t="n">
        <f aca="false">R32-B32</f>
        <v>59</v>
      </c>
      <c r="U32" s="8" t="n">
        <f aca="false">R32-C32</f>
        <v>59</v>
      </c>
      <c r="V32" s="8" t="n">
        <f aca="false">R32-D32</f>
        <v>58</v>
      </c>
      <c r="W32" s="8" t="n">
        <f aca="false">R32-E32</f>
        <v>59</v>
      </c>
      <c r="X32" s="8" t="n">
        <f aca="false">R32-F32</f>
        <v>59</v>
      </c>
      <c r="Y32" s="8" t="n">
        <f aca="false">R32-G32</f>
        <v>59</v>
      </c>
      <c r="Z32" s="8" t="n">
        <f aca="false">R32-H32</f>
        <v>59</v>
      </c>
      <c r="AA32" s="8" t="n">
        <f aca="false">R32-I32</f>
        <v>59</v>
      </c>
      <c r="AB32" s="8" t="n">
        <f aca="false">R32-J32</f>
        <v>60</v>
      </c>
      <c r="AC32" s="8" t="n">
        <f aca="false">R32-K32</f>
        <v>61</v>
      </c>
      <c r="AD32" s="8" t="n">
        <f aca="false">R32-L32</f>
        <v>59</v>
      </c>
      <c r="AE32" s="8" t="n">
        <f aca="false">R32-M32</f>
        <v>59</v>
      </c>
      <c r="AF32" s="8" t="n">
        <f aca="false">R32-N32</f>
        <v>59</v>
      </c>
      <c r="AG32" s="8" t="n">
        <f aca="false">R32-O32</f>
        <v>59</v>
      </c>
      <c r="AH32" s="8" t="n">
        <f aca="false">R32-P32</f>
        <v>59</v>
      </c>
      <c r="AI32" s="8" t="n">
        <f aca="false">R32-Q32</f>
        <v>58</v>
      </c>
    </row>
    <row r="33" customFormat="false" ht="15" hidden="false" customHeight="false" outlineLevel="0" collapsed="false">
      <c r="A33" s="7" t="s">
        <v>119</v>
      </c>
      <c r="B33" s="9" t="n">
        <v>4</v>
      </c>
      <c r="C33" s="9" t="n">
        <v>4</v>
      </c>
      <c r="D33" s="9" t="n">
        <v>4</v>
      </c>
      <c r="E33" s="9" t="n">
        <v>3</v>
      </c>
      <c r="F33" s="9" t="n">
        <v>4</v>
      </c>
      <c r="G33" s="9" t="n">
        <v>4</v>
      </c>
      <c r="H33" s="9" t="n">
        <v>4</v>
      </c>
      <c r="I33" s="9" t="n">
        <v>4</v>
      </c>
      <c r="J33" s="9" t="n">
        <v>4</v>
      </c>
      <c r="K33" s="9" t="n">
        <v>4</v>
      </c>
      <c r="L33" s="9" t="n">
        <v>4</v>
      </c>
      <c r="M33" s="9" t="n">
        <v>4</v>
      </c>
      <c r="N33" s="9" t="n">
        <v>4</v>
      </c>
      <c r="O33" s="9" t="n">
        <v>4</v>
      </c>
      <c r="P33" s="9" t="n">
        <v>4</v>
      </c>
      <c r="Q33" s="9" t="n">
        <v>4</v>
      </c>
      <c r="R33" s="8" t="n">
        <f aca="false">SUM(B33:Q33)</f>
        <v>63</v>
      </c>
      <c r="S33" s="8" t="str">
        <f aca="false">IF(R33&gt;=5_項目分析!$B$6,"高",IF(R33&lt;=5_項目分析!$B$5,"低",""))</f>
        <v/>
      </c>
      <c r="T33" s="8" t="n">
        <f aca="false">R33-B33</f>
        <v>59</v>
      </c>
      <c r="U33" s="8" t="n">
        <f aca="false">R33-C33</f>
        <v>59</v>
      </c>
      <c r="V33" s="8" t="n">
        <f aca="false">R33-D33</f>
        <v>59</v>
      </c>
      <c r="W33" s="8" t="n">
        <f aca="false">R33-E33</f>
        <v>60</v>
      </c>
      <c r="X33" s="8" t="n">
        <f aca="false">R33-F33</f>
        <v>59</v>
      </c>
      <c r="Y33" s="8" t="n">
        <f aca="false">R33-G33</f>
        <v>59</v>
      </c>
      <c r="Z33" s="8" t="n">
        <f aca="false">R33-H33</f>
        <v>59</v>
      </c>
      <c r="AA33" s="8" t="n">
        <f aca="false">R33-I33</f>
        <v>59</v>
      </c>
      <c r="AB33" s="8" t="n">
        <f aca="false">R33-J33</f>
        <v>59</v>
      </c>
      <c r="AC33" s="8" t="n">
        <f aca="false">R33-K33</f>
        <v>59</v>
      </c>
      <c r="AD33" s="8" t="n">
        <f aca="false">R33-L33</f>
        <v>59</v>
      </c>
      <c r="AE33" s="8" t="n">
        <f aca="false">R33-M33</f>
        <v>59</v>
      </c>
      <c r="AF33" s="8" t="n">
        <f aca="false">R33-N33</f>
        <v>59</v>
      </c>
      <c r="AG33" s="8" t="n">
        <f aca="false">R33-O33</f>
        <v>59</v>
      </c>
      <c r="AH33" s="8" t="n">
        <f aca="false">R33-P33</f>
        <v>59</v>
      </c>
      <c r="AI33" s="8" t="n">
        <f aca="false">R33-Q33</f>
        <v>59</v>
      </c>
    </row>
    <row r="34" customFormat="false" ht="15" hidden="false" customHeight="false" outlineLevel="0" collapsed="false">
      <c r="A34" s="7" t="s">
        <v>120</v>
      </c>
      <c r="B34" s="9" t="n">
        <v>5</v>
      </c>
      <c r="C34" s="9" t="n">
        <v>5</v>
      </c>
      <c r="D34" s="9" t="n">
        <v>5</v>
      </c>
      <c r="E34" s="9" t="n">
        <v>4</v>
      </c>
      <c r="F34" s="9" t="n">
        <v>4</v>
      </c>
      <c r="G34" s="9" t="n">
        <v>4</v>
      </c>
      <c r="H34" s="9" t="n">
        <v>3</v>
      </c>
      <c r="I34" s="9" t="n">
        <v>4</v>
      </c>
      <c r="J34" s="9" t="n">
        <v>3</v>
      </c>
      <c r="K34" s="9" t="n">
        <v>3</v>
      </c>
      <c r="L34" s="9" t="n">
        <v>4</v>
      </c>
      <c r="M34" s="9" t="n">
        <v>3</v>
      </c>
      <c r="N34" s="9" t="n">
        <v>3</v>
      </c>
      <c r="O34" s="9" t="n">
        <v>3</v>
      </c>
      <c r="P34" s="9" t="n">
        <v>2</v>
      </c>
      <c r="Q34" s="9" t="n">
        <v>5</v>
      </c>
      <c r="R34" s="8" t="n">
        <f aca="false">SUM(B34:Q34)</f>
        <v>60</v>
      </c>
      <c r="S34" s="8" t="str">
        <f aca="false">IF(R34&gt;=5_項目分析!$B$6,"高",IF(R34&lt;=5_項目分析!$B$5,"低",""))</f>
        <v/>
      </c>
      <c r="T34" s="8" t="n">
        <f aca="false">R34-B34</f>
        <v>55</v>
      </c>
      <c r="U34" s="8" t="n">
        <f aca="false">R34-C34</f>
        <v>55</v>
      </c>
      <c r="V34" s="8" t="n">
        <f aca="false">R34-D34</f>
        <v>55</v>
      </c>
      <c r="W34" s="8" t="n">
        <f aca="false">R34-E34</f>
        <v>56</v>
      </c>
      <c r="X34" s="8" t="n">
        <f aca="false">R34-F34</f>
        <v>56</v>
      </c>
      <c r="Y34" s="8" t="n">
        <f aca="false">R34-G34</f>
        <v>56</v>
      </c>
      <c r="Z34" s="8" t="n">
        <f aca="false">R34-H34</f>
        <v>57</v>
      </c>
      <c r="AA34" s="8" t="n">
        <f aca="false">R34-I34</f>
        <v>56</v>
      </c>
      <c r="AB34" s="8" t="n">
        <f aca="false">R34-J34</f>
        <v>57</v>
      </c>
      <c r="AC34" s="8" t="n">
        <f aca="false">R34-K34</f>
        <v>57</v>
      </c>
      <c r="AD34" s="8" t="n">
        <f aca="false">R34-L34</f>
        <v>56</v>
      </c>
      <c r="AE34" s="8" t="n">
        <f aca="false">R34-M34</f>
        <v>57</v>
      </c>
      <c r="AF34" s="8" t="n">
        <f aca="false">R34-N34</f>
        <v>57</v>
      </c>
      <c r="AG34" s="8" t="n">
        <f aca="false">R34-O34</f>
        <v>57</v>
      </c>
      <c r="AH34" s="8" t="n">
        <f aca="false">R34-P34</f>
        <v>58</v>
      </c>
      <c r="AI34" s="8" t="n">
        <f aca="false">R34-Q34</f>
        <v>55</v>
      </c>
    </row>
    <row r="35" customFormat="false" ht="15" hidden="false" customHeight="false" outlineLevel="0" collapsed="false">
      <c r="A35" s="7" t="s">
        <v>121</v>
      </c>
      <c r="B35" s="9" t="n">
        <v>2</v>
      </c>
      <c r="C35" s="9" t="n">
        <v>4</v>
      </c>
      <c r="D35" s="9" t="n">
        <v>4</v>
      </c>
      <c r="E35" s="9" t="n">
        <v>3</v>
      </c>
      <c r="F35" s="9" t="n">
        <v>3</v>
      </c>
      <c r="G35" s="9" t="n">
        <v>4</v>
      </c>
      <c r="H35" s="9" t="n">
        <v>2</v>
      </c>
      <c r="I35" s="9" t="n">
        <v>1</v>
      </c>
      <c r="J35" s="9" t="n">
        <v>3</v>
      </c>
      <c r="K35" s="9" t="n">
        <v>3</v>
      </c>
      <c r="L35" s="9" t="n">
        <v>3</v>
      </c>
      <c r="M35" s="9" t="n">
        <v>3</v>
      </c>
      <c r="N35" s="9" t="n">
        <v>3</v>
      </c>
      <c r="O35" s="9" t="n">
        <v>3</v>
      </c>
      <c r="P35" s="9" t="n">
        <v>4</v>
      </c>
      <c r="Q35" s="9" t="n">
        <v>4</v>
      </c>
      <c r="R35" s="8" t="n">
        <f aca="false">SUM(B35:Q35)</f>
        <v>49</v>
      </c>
      <c r="S35" s="8" t="str">
        <f aca="false">IF(R35&gt;=5_項目分析!$B$6,"高",IF(R35&lt;=5_項目分析!$B$5,"低",""))</f>
        <v>低</v>
      </c>
      <c r="T35" s="8" t="n">
        <f aca="false">R35-B35</f>
        <v>47</v>
      </c>
      <c r="U35" s="8" t="n">
        <f aca="false">R35-C35</f>
        <v>45</v>
      </c>
      <c r="V35" s="8" t="n">
        <f aca="false">R35-D35</f>
        <v>45</v>
      </c>
      <c r="W35" s="8" t="n">
        <f aca="false">R35-E35</f>
        <v>46</v>
      </c>
      <c r="X35" s="8" t="n">
        <f aca="false">R35-F35</f>
        <v>46</v>
      </c>
      <c r="Y35" s="8" t="n">
        <f aca="false">R35-G35</f>
        <v>45</v>
      </c>
      <c r="Z35" s="8" t="n">
        <f aca="false">R35-H35</f>
        <v>47</v>
      </c>
      <c r="AA35" s="8" t="n">
        <f aca="false">R35-I35</f>
        <v>48</v>
      </c>
      <c r="AB35" s="8" t="n">
        <f aca="false">R35-J35</f>
        <v>46</v>
      </c>
      <c r="AC35" s="8" t="n">
        <f aca="false">R35-K35</f>
        <v>46</v>
      </c>
      <c r="AD35" s="8" t="n">
        <f aca="false">R35-L35</f>
        <v>46</v>
      </c>
      <c r="AE35" s="8" t="n">
        <f aca="false">R35-M35</f>
        <v>46</v>
      </c>
      <c r="AF35" s="8" t="n">
        <f aca="false">R35-N35</f>
        <v>46</v>
      </c>
      <c r="AG35" s="8" t="n">
        <f aca="false">R35-O35</f>
        <v>46</v>
      </c>
      <c r="AH35" s="8" t="n">
        <f aca="false">R35-P35</f>
        <v>45</v>
      </c>
      <c r="AI35" s="8" t="n">
        <f aca="false">R35-Q35</f>
        <v>45</v>
      </c>
    </row>
    <row r="36" customFormat="false" ht="15" hidden="false" customHeight="false" outlineLevel="0" collapsed="false">
      <c r="A36" s="7" t="s">
        <v>122</v>
      </c>
      <c r="B36" s="9" t="n">
        <v>4</v>
      </c>
      <c r="C36" s="9" t="n">
        <v>3</v>
      </c>
      <c r="D36" s="9" t="n">
        <v>3</v>
      </c>
      <c r="E36" s="9" t="n">
        <v>3</v>
      </c>
      <c r="F36" s="9" t="n">
        <v>3</v>
      </c>
      <c r="G36" s="9" t="n">
        <v>3</v>
      </c>
      <c r="H36" s="9" t="n">
        <v>3</v>
      </c>
      <c r="I36" s="9" t="n">
        <v>3</v>
      </c>
      <c r="J36" s="9" t="n">
        <v>2</v>
      </c>
      <c r="K36" s="9" t="n">
        <v>3</v>
      </c>
      <c r="L36" s="9" t="n">
        <v>5</v>
      </c>
      <c r="M36" s="9" t="n">
        <v>5</v>
      </c>
      <c r="N36" s="9" t="n">
        <v>4</v>
      </c>
      <c r="O36" s="9" t="n">
        <v>4</v>
      </c>
      <c r="P36" s="9" t="n">
        <v>4</v>
      </c>
      <c r="Q36" s="9" t="n">
        <v>4</v>
      </c>
      <c r="R36" s="8" t="n">
        <f aca="false">SUM(B36:Q36)</f>
        <v>56</v>
      </c>
      <c r="S36" s="8" t="str">
        <f aca="false">IF(R36&gt;=5_項目分析!$B$6,"高",IF(R36&lt;=5_項目分析!$B$5,"低",""))</f>
        <v>低</v>
      </c>
      <c r="T36" s="8" t="n">
        <f aca="false">R36-B36</f>
        <v>52</v>
      </c>
      <c r="U36" s="8" t="n">
        <f aca="false">R36-C36</f>
        <v>53</v>
      </c>
      <c r="V36" s="8" t="n">
        <f aca="false">R36-D36</f>
        <v>53</v>
      </c>
      <c r="W36" s="8" t="n">
        <f aca="false">R36-E36</f>
        <v>53</v>
      </c>
      <c r="X36" s="8" t="n">
        <f aca="false">R36-F36</f>
        <v>53</v>
      </c>
      <c r="Y36" s="8" t="n">
        <f aca="false">R36-G36</f>
        <v>53</v>
      </c>
      <c r="Z36" s="8" t="n">
        <f aca="false">R36-H36</f>
        <v>53</v>
      </c>
      <c r="AA36" s="8" t="n">
        <f aca="false">R36-I36</f>
        <v>53</v>
      </c>
      <c r="AB36" s="8" t="n">
        <f aca="false">R36-J36</f>
        <v>54</v>
      </c>
      <c r="AC36" s="8" t="n">
        <f aca="false">R36-K36</f>
        <v>53</v>
      </c>
      <c r="AD36" s="8" t="n">
        <f aca="false">R36-L36</f>
        <v>51</v>
      </c>
      <c r="AE36" s="8" t="n">
        <f aca="false">R36-M36</f>
        <v>51</v>
      </c>
      <c r="AF36" s="8" t="n">
        <f aca="false">R36-N36</f>
        <v>52</v>
      </c>
      <c r="AG36" s="8" t="n">
        <f aca="false">R36-O36</f>
        <v>52</v>
      </c>
      <c r="AH36" s="8" t="n">
        <f aca="false">R36-P36</f>
        <v>52</v>
      </c>
      <c r="AI36" s="8" t="n">
        <f aca="false">R36-Q36</f>
        <v>52</v>
      </c>
    </row>
    <row r="37" customFormat="false" ht="15" hidden="false" customHeight="false" outlineLevel="0" collapsed="false">
      <c r="A37" s="7" t="s">
        <v>123</v>
      </c>
      <c r="B37" s="9" t="n">
        <v>3</v>
      </c>
      <c r="C37" s="9" t="n">
        <v>3</v>
      </c>
      <c r="D37" s="9" t="n">
        <v>2</v>
      </c>
      <c r="E37" s="9" t="n">
        <v>3</v>
      </c>
      <c r="F37" s="9" t="n">
        <v>3</v>
      </c>
      <c r="G37" s="9" t="n">
        <v>2</v>
      </c>
      <c r="H37" s="9" t="n">
        <v>3</v>
      </c>
      <c r="I37" s="9" t="n">
        <v>2</v>
      </c>
      <c r="J37" s="9" t="n">
        <v>5</v>
      </c>
      <c r="K37" s="9" t="n">
        <v>2</v>
      </c>
      <c r="L37" s="9" t="n">
        <v>4</v>
      </c>
      <c r="M37" s="9" t="n">
        <v>3</v>
      </c>
      <c r="N37" s="9" t="n">
        <v>3</v>
      </c>
      <c r="O37" s="9" t="n">
        <v>4</v>
      </c>
      <c r="P37" s="9" t="n">
        <v>3</v>
      </c>
      <c r="Q37" s="9" t="n">
        <v>5</v>
      </c>
      <c r="R37" s="8" t="n">
        <f aca="false">SUM(B37:Q37)</f>
        <v>50</v>
      </c>
      <c r="S37" s="8" t="str">
        <f aca="false">IF(R37&gt;=5_項目分析!$B$6,"高",IF(R37&lt;=5_項目分析!$B$5,"低",""))</f>
        <v>低</v>
      </c>
      <c r="T37" s="8" t="n">
        <f aca="false">R37-B37</f>
        <v>47</v>
      </c>
      <c r="U37" s="8" t="n">
        <f aca="false">R37-C37</f>
        <v>47</v>
      </c>
      <c r="V37" s="8" t="n">
        <f aca="false">R37-D37</f>
        <v>48</v>
      </c>
      <c r="W37" s="8" t="n">
        <f aca="false">R37-E37</f>
        <v>47</v>
      </c>
      <c r="X37" s="8" t="n">
        <f aca="false">R37-F37</f>
        <v>47</v>
      </c>
      <c r="Y37" s="8" t="n">
        <f aca="false">R37-G37</f>
        <v>48</v>
      </c>
      <c r="Z37" s="8" t="n">
        <f aca="false">R37-H37</f>
        <v>47</v>
      </c>
      <c r="AA37" s="8" t="n">
        <f aca="false">R37-I37</f>
        <v>48</v>
      </c>
      <c r="AB37" s="8" t="n">
        <f aca="false">R37-J37</f>
        <v>45</v>
      </c>
      <c r="AC37" s="8" t="n">
        <f aca="false">R37-K37</f>
        <v>48</v>
      </c>
      <c r="AD37" s="8" t="n">
        <f aca="false">R37-L37</f>
        <v>46</v>
      </c>
      <c r="AE37" s="8" t="n">
        <f aca="false">R37-M37</f>
        <v>47</v>
      </c>
      <c r="AF37" s="8" t="n">
        <f aca="false">R37-N37</f>
        <v>47</v>
      </c>
      <c r="AG37" s="8" t="n">
        <f aca="false">R37-O37</f>
        <v>46</v>
      </c>
      <c r="AH37" s="8" t="n">
        <f aca="false">R37-P37</f>
        <v>47</v>
      </c>
      <c r="AI37" s="8" t="n">
        <f aca="false">R37-Q37</f>
        <v>45</v>
      </c>
    </row>
    <row r="38" customFormat="false" ht="15" hidden="false" customHeight="false" outlineLevel="0" collapsed="false">
      <c r="A38" s="7" t="s">
        <v>124</v>
      </c>
      <c r="B38" s="9" t="n">
        <v>4</v>
      </c>
      <c r="C38" s="9" t="n">
        <v>4</v>
      </c>
      <c r="D38" s="9" t="n">
        <v>3</v>
      </c>
      <c r="E38" s="9" t="n">
        <v>3</v>
      </c>
      <c r="F38" s="9" t="n">
        <v>3</v>
      </c>
      <c r="G38" s="9" t="n">
        <v>4</v>
      </c>
      <c r="H38" s="9" t="n">
        <v>4</v>
      </c>
      <c r="I38" s="9" t="n">
        <v>5</v>
      </c>
      <c r="J38" s="9" t="n">
        <v>3</v>
      </c>
      <c r="K38" s="9" t="n">
        <v>4</v>
      </c>
      <c r="L38" s="9" t="n">
        <v>4</v>
      </c>
      <c r="M38" s="9" t="n">
        <v>4</v>
      </c>
      <c r="N38" s="9" t="n">
        <v>4</v>
      </c>
      <c r="O38" s="9" t="n">
        <v>4</v>
      </c>
      <c r="P38" s="9" t="n">
        <v>3</v>
      </c>
      <c r="Q38" s="9" t="n">
        <v>5</v>
      </c>
      <c r="R38" s="8" t="n">
        <f aca="false">SUM(B38:Q38)</f>
        <v>61</v>
      </c>
      <c r="S38" s="8" t="str">
        <f aca="false">IF(R38&gt;=5_項目分析!$B$6,"高",IF(R38&lt;=5_項目分析!$B$5,"低",""))</f>
        <v/>
      </c>
      <c r="T38" s="8" t="n">
        <f aca="false">R38-B38</f>
        <v>57</v>
      </c>
      <c r="U38" s="8" t="n">
        <f aca="false">R38-C38</f>
        <v>57</v>
      </c>
      <c r="V38" s="8" t="n">
        <f aca="false">R38-D38</f>
        <v>58</v>
      </c>
      <c r="W38" s="8" t="n">
        <f aca="false">R38-E38</f>
        <v>58</v>
      </c>
      <c r="X38" s="8" t="n">
        <f aca="false">R38-F38</f>
        <v>58</v>
      </c>
      <c r="Y38" s="8" t="n">
        <f aca="false">R38-G38</f>
        <v>57</v>
      </c>
      <c r="Z38" s="8" t="n">
        <f aca="false">R38-H38</f>
        <v>57</v>
      </c>
      <c r="AA38" s="8" t="n">
        <f aca="false">R38-I38</f>
        <v>56</v>
      </c>
      <c r="AB38" s="8" t="n">
        <f aca="false">R38-J38</f>
        <v>58</v>
      </c>
      <c r="AC38" s="8" t="n">
        <f aca="false">R38-K38</f>
        <v>57</v>
      </c>
      <c r="AD38" s="8" t="n">
        <f aca="false">R38-L38</f>
        <v>57</v>
      </c>
      <c r="AE38" s="8" t="n">
        <f aca="false">R38-M38</f>
        <v>57</v>
      </c>
      <c r="AF38" s="8" t="n">
        <f aca="false">R38-N38</f>
        <v>57</v>
      </c>
      <c r="AG38" s="8" t="n">
        <f aca="false">R38-O38</f>
        <v>57</v>
      </c>
      <c r="AH38" s="8" t="n">
        <f aca="false">R38-P38</f>
        <v>58</v>
      </c>
      <c r="AI38" s="8" t="n">
        <f aca="false">R38-Q38</f>
        <v>56</v>
      </c>
    </row>
    <row r="39" customFormat="false" ht="15" hidden="false" customHeight="false" outlineLevel="0" collapsed="false">
      <c r="A39" s="7" t="s">
        <v>125</v>
      </c>
      <c r="B39" s="9" t="n">
        <v>3</v>
      </c>
      <c r="C39" s="9" t="n">
        <v>3</v>
      </c>
      <c r="D39" s="9" t="n">
        <v>3</v>
      </c>
      <c r="E39" s="9" t="n">
        <v>3</v>
      </c>
      <c r="F39" s="9" t="n">
        <v>2</v>
      </c>
      <c r="G39" s="9" t="n">
        <v>2</v>
      </c>
      <c r="H39" s="9" t="n">
        <v>2</v>
      </c>
      <c r="I39" s="9" t="n">
        <v>2</v>
      </c>
      <c r="J39" s="9" t="n">
        <v>3</v>
      </c>
      <c r="K39" s="9" t="n">
        <v>2</v>
      </c>
      <c r="L39" s="9" t="n">
        <v>1</v>
      </c>
      <c r="M39" s="9" t="n">
        <v>1</v>
      </c>
      <c r="N39" s="9" t="n">
        <v>3</v>
      </c>
      <c r="O39" s="9" t="n">
        <v>2</v>
      </c>
      <c r="P39" s="9" t="n">
        <v>1</v>
      </c>
      <c r="Q39" s="9" t="n">
        <v>3</v>
      </c>
      <c r="R39" s="8" t="n">
        <f aca="false">SUM(B39:Q39)</f>
        <v>36</v>
      </c>
      <c r="S39" s="8" t="str">
        <f aca="false">IF(R39&gt;=5_項目分析!$B$6,"高",IF(R39&lt;=5_項目分析!$B$5,"低",""))</f>
        <v>低</v>
      </c>
      <c r="T39" s="8" t="n">
        <f aca="false">R39-B39</f>
        <v>33</v>
      </c>
      <c r="U39" s="8" t="n">
        <f aca="false">R39-C39</f>
        <v>33</v>
      </c>
      <c r="V39" s="8" t="n">
        <f aca="false">R39-D39</f>
        <v>33</v>
      </c>
      <c r="W39" s="8" t="n">
        <f aca="false">R39-E39</f>
        <v>33</v>
      </c>
      <c r="X39" s="8" t="n">
        <f aca="false">R39-F39</f>
        <v>34</v>
      </c>
      <c r="Y39" s="8" t="n">
        <f aca="false">R39-G39</f>
        <v>34</v>
      </c>
      <c r="Z39" s="8" t="n">
        <f aca="false">R39-H39</f>
        <v>34</v>
      </c>
      <c r="AA39" s="8" t="n">
        <f aca="false">R39-I39</f>
        <v>34</v>
      </c>
      <c r="AB39" s="8" t="n">
        <f aca="false">R39-J39</f>
        <v>33</v>
      </c>
      <c r="AC39" s="8" t="n">
        <f aca="false">R39-K39</f>
        <v>34</v>
      </c>
      <c r="AD39" s="8" t="n">
        <f aca="false">R39-L39</f>
        <v>35</v>
      </c>
      <c r="AE39" s="8" t="n">
        <f aca="false">R39-M39</f>
        <v>35</v>
      </c>
      <c r="AF39" s="8" t="n">
        <f aca="false">R39-N39</f>
        <v>33</v>
      </c>
      <c r="AG39" s="8" t="n">
        <f aca="false">R39-O39</f>
        <v>34</v>
      </c>
      <c r="AH39" s="8" t="n">
        <f aca="false">R39-P39</f>
        <v>35</v>
      </c>
      <c r="AI39" s="8" t="n">
        <f aca="false">R39-Q39</f>
        <v>33</v>
      </c>
    </row>
    <row r="40" customFormat="false" ht="15" hidden="false" customHeight="false" outlineLevel="0" collapsed="false">
      <c r="A40" s="7" t="s">
        <v>126</v>
      </c>
      <c r="B40" s="9" t="n">
        <v>5</v>
      </c>
      <c r="C40" s="9" t="n">
        <v>5</v>
      </c>
      <c r="D40" s="9" t="n">
        <v>4</v>
      </c>
      <c r="E40" s="9" t="n">
        <v>4</v>
      </c>
      <c r="F40" s="9" t="n">
        <v>5</v>
      </c>
      <c r="G40" s="9" t="n">
        <v>3</v>
      </c>
      <c r="H40" s="9" t="n">
        <v>2</v>
      </c>
      <c r="I40" s="9" t="n">
        <v>3</v>
      </c>
      <c r="J40" s="9" t="n">
        <v>4</v>
      </c>
      <c r="K40" s="9" t="n">
        <v>3</v>
      </c>
      <c r="L40" s="9" t="n">
        <v>4</v>
      </c>
      <c r="M40" s="9" t="n">
        <v>5</v>
      </c>
      <c r="N40" s="9" t="n">
        <v>5</v>
      </c>
      <c r="O40" s="9" t="n">
        <v>5</v>
      </c>
      <c r="P40" s="9" t="n">
        <v>4</v>
      </c>
      <c r="Q40" s="9" t="n">
        <v>4</v>
      </c>
      <c r="R40" s="8" t="n">
        <f aca="false">SUM(B40:Q40)</f>
        <v>65</v>
      </c>
      <c r="S40" s="8" t="str">
        <f aca="false">IF(R40&gt;=5_項目分析!$B$6,"高",IF(R40&lt;=5_項目分析!$B$5,"低",""))</f>
        <v>高</v>
      </c>
      <c r="T40" s="8" t="n">
        <f aca="false">R40-B40</f>
        <v>60</v>
      </c>
      <c r="U40" s="8" t="n">
        <f aca="false">R40-C40</f>
        <v>60</v>
      </c>
      <c r="V40" s="8" t="n">
        <f aca="false">R40-D40</f>
        <v>61</v>
      </c>
      <c r="W40" s="8" t="n">
        <f aca="false">R40-E40</f>
        <v>61</v>
      </c>
      <c r="X40" s="8" t="n">
        <f aca="false">R40-F40</f>
        <v>60</v>
      </c>
      <c r="Y40" s="8" t="n">
        <f aca="false">R40-G40</f>
        <v>62</v>
      </c>
      <c r="Z40" s="8" t="n">
        <f aca="false">R40-H40</f>
        <v>63</v>
      </c>
      <c r="AA40" s="8" t="n">
        <f aca="false">R40-I40</f>
        <v>62</v>
      </c>
      <c r="AB40" s="8" t="n">
        <f aca="false">R40-J40</f>
        <v>61</v>
      </c>
      <c r="AC40" s="8" t="n">
        <f aca="false">R40-K40</f>
        <v>62</v>
      </c>
      <c r="AD40" s="8" t="n">
        <f aca="false">R40-L40</f>
        <v>61</v>
      </c>
      <c r="AE40" s="8" t="n">
        <f aca="false">R40-M40</f>
        <v>60</v>
      </c>
      <c r="AF40" s="8" t="n">
        <f aca="false">R40-N40</f>
        <v>60</v>
      </c>
      <c r="AG40" s="8" t="n">
        <f aca="false">R40-O40</f>
        <v>60</v>
      </c>
      <c r="AH40" s="8" t="n">
        <f aca="false">R40-P40</f>
        <v>61</v>
      </c>
      <c r="AI40" s="8" t="n">
        <f aca="false">R40-Q40</f>
        <v>61</v>
      </c>
    </row>
    <row r="41" customFormat="false" ht="15" hidden="false" customHeight="false" outlineLevel="0" collapsed="false">
      <c r="A41" s="7" t="s">
        <v>127</v>
      </c>
      <c r="B41" s="9" t="n">
        <v>4</v>
      </c>
      <c r="C41" s="9" t="n">
        <v>4</v>
      </c>
      <c r="D41" s="9" t="n">
        <v>4</v>
      </c>
      <c r="E41" s="9" t="n">
        <v>4</v>
      </c>
      <c r="F41" s="9" t="n">
        <v>4</v>
      </c>
      <c r="G41" s="9" t="n">
        <v>5</v>
      </c>
      <c r="H41" s="9" t="n">
        <v>3</v>
      </c>
      <c r="I41" s="9" t="n">
        <v>5</v>
      </c>
      <c r="J41" s="9" t="n">
        <v>1</v>
      </c>
      <c r="K41" s="9" t="n">
        <v>5</v>
      </c>
      <c r="L41" s="9" t="n">
        <v>3</v>
      </c>
      <c r="M41" s="9" t="n">
        <v>3</v>
      </c>
      <c r="N41" s="9" t="n">
        <v>3</v>
      </c>
      <c r="O41" s="9" t="n">
        <v>2</v>
      </c>
      <c r="P41" s="9" t="n">
        <v>3</v>
      </c>
      <c r="Q41" s="9" t="n">
        <v>5</v>
      </c>
      <c r="R41" s="8" t="n">
        <f aca="false">SUM(B41:Q41)</f>
        <v>58</v>
      </c>
      <c r="S41" s="8" t="str">
        <f aca="false">IF(R41&gt;=5_項目分析!$B$6,"高",IF(R41&lt;=5_項目分析!$B$5,"低",""))</f>
        <v/>
      </c>
      <c r="T41" s="8" t="n">
        <f aca="false">R41-B41</f>
        <v>54</v>
      </c>
      <c r="U41" s="8" t="n">
        <f aca="false">R41-C41</f>
        <v>54</v>
      </c>
      <c r="V41" s="8" t="n">
        <f aca="false">R41-D41</f>
        <v>54</v>
      </c>
      <c r="W41" s="8" t="n">
        <f aca="false">R41-E41</f>
        <v>54</v>
      </c>
      <c r="X41" s="8" t="n">
        <f aca="false">R41-F41</f>
        <v>54</v>
      </c>
      <c r="Y41" s="8" t="n">
        <f aca="false">R41-G41</f>
        <v>53</v>
      </c>
      <c r="Z41" s="8" t="n">
        <f aca="false">R41-H41</f>
        <v>55</v>
      </c>
      <c r="AA41" s="8" t="n">
        <f aca="false">R41-I41</f>
        <v>53</v>
      </c>
      <c r="AB41" s="8" t="n">
        <f aca="false">R41-J41</f>
        <v>57</v>
      </c>
      <c r="AC41" s="8" t="n">
        <f aca="false">R41-K41</f>
        <v>53</v>
      </c>
      <c r="AD41" s="8" t="n">
        <f aca="false">R41-L41</f>
        <v>55</v>
      </c>
      <c r="AE41" s="8" t="n">
        <f aca="false">R41-M41</f>
        <v>55</v>
      </c>
      <c r="AF41" s="8" t="n">
        <f aca="false">R41-N41</f>
        <v>55</v>
      </c>
      <c r="AG41" s="8" t="n">
        <f aca="false">R41-O41</f>
        <v>56</v>
      </c>
      <c r="AH41" s="8" t="n">
        <f aca="false">R41-P41</f>
        <v>55</v>
      </c>
      <c r="AI41" s="8" t="n">
        <f aca="false">R41-Q41</f>
        <v>53</v>
      </c>
    </row>
    <row r="42" customFormat="false" ht="15" hidden="false" customHeight="false" outlineLevel="0" collapsed="false">
      <c r="A42" s="7" t="s">
        <v>128</v>
      </c>
      <c r="B42" s="9" t="n">
        <v>2</v>
      </c>
      <c r="C42" s="9" t="n">
        <v>1</v>
      </c>
      <c r="D42" s="9" t="n">
        <v>3</v>
      </c>
      <c r="E42" s="9" t="n">
        <v>3</v>
      </c>
      <c r="F42" s="9" t="n">
        <v>2</v>
      </c>
      <c r="G42" s="9" t="n">
        <v>2</v>
      </c>
      <c r="H42" s="9" t="n">
        <v>3</v>
      </c>
      <c r="I42" s="9" t="n">
        <v>3</v>
      </c>
      <c r="J42" s="9" t="n">
        <v>5</v>
      </c>
      <c r="K42" s="9" t="n">
        <v>2</v>
      </c>
      <c r="L42" s="9" t="n">
        <v>4</v>
      </c>
      <c r="M42" s="9" t="n">
        <v>3</v>
      </c>
      <c r="N42" s="9" t="n">
        <v>4</v>
      </c>
      <c r="O42" s="9" t="n">
        <v>3</v>
      </c>
      <c r="P42" s="9" t="n">
        <v>4</v>
      </c>
      <c r="Q42" s="9" t="n">
        <v>5</v>
      </c>
      <c r="R42" s="8" t="n">
        <f aca="false">SUM(B42:Q42)</f>
        <v>49</v>
      </c>
      <c r="S42" s="8" t="str">
        <f aca="false">IF(R42&gt;=5_項目分析!$B$6,"高",IF(R42&lt;=5_項目分析!$B$5,"低",""))</f>
        <v>低</v>
      </c>
      <c r="T42" s="8" t="n">
        <f aca="false">R42-B42</f>
        <v>47</v>
      </c>
      <c r="U42" s="8" t="n">
        <f aca="false">R42-C42</f>
        <v>48</v>
      </c>
      <c r="V42" s="8" t="n">
        <f aca="false">R42-D42</f>
        <v>46</v>
      </c>
      <c r="W42" s="8" t="n">
        <f aca="false">R42-E42</f>
        <v>46</v>
      </c>
      <c r="X42" s="8" t="n">
        <f aca="false">R42-F42</f>
        <v>47</v>
      </c>
      <c r="Y42" s="8" t="n">
        <f aca="false">R42-G42</f>
        <v>47</v>
      </c>
      <c r="Z42" s="8" t="n">
        <f aca="false">R42-H42</f>
        <v>46</v>
      </c>
      <c r="AA42" s="8" t="n">
        <f aca="false">R42-I42</f>
        <v>46</v>
      </c>
      <c r="AB42" s="8" t="n">
        <f aca="false">R42-J42</f>
        <v>44</v>
      </c>
      <c r="AC42" s="8" t="n">
        <f aca="false">R42-K42</f>
        <v>47</v>
      </c>
      <c r="AD42" s="8" t="n">
        <f aca="false">R42-L42</f>
        <v>45</v>
      </c>
      <c r="AE42" s="8" t="n">
        <f aca="false">R42-M42</f>
        <v>46</v>
      </c>
      <c r="AF42" s="8" t="n">
        <f aca="false">R42-N42</f>
        <v>45</v>
      </c>
      <c r="AG42" s="8" t="n">
        <f aca="false">R42-O42</f>
        <v>46</v>
      </c>
      <c r="AH42" s="8" t="n">
        <f aca="false">R42-P42</f>
        <v>45</v>
      </c>
      <c r="AI42" s="8" t="n">
        <f aca="false">R42-Q42</f>
        <v>44</v>
      </c>
    </row>
    <row r="43" customFormat="false" ht="15" hidden="false" customHeight="false" outlineLevel="0" collapsed="false">
      <c r="A43" s="7" t="s">
        <v>129</v>
      </c>
      <c r="B43" s="9" t="n">
        <v>4</v>
      </c>
      <c r="C43" s="9" t="n">
        <v>4</v>
      </c>
      <c r="D43" s="9" t="n">
        <v>4</v>
      </c>
      <c r="E43" s="9" t="n">
        <v>3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3</v>
      </c>
      <c r="K43" s="9" t="n">
        <v>4</v>
      </c>
      <c r="L43" s="9" t="n">
        <v>3</v>
      </c>
      <c r="M43" s="9" t="n">
        <v>4</v>
      </c>
      <c r="N43" s="9" t="n">
        <v>3</v>
      </c>
      <c r="O43" s="9" t="n">
        <v>4</v>
      </c>
      <c r="P43" s="9" t="n">
        <v>4</v>
      </c>
      <c r="Q43" s="9" t="n">
        <v>4</v>
      </c>
      <c r="R43" s="8" t="n">
        <f aca="false">SUM(B43:Q43)</f>
        <v>56</v>
      </c>
      <c r="S43" s="8" t="str">
        <f aca="false">IF(R43&gt;=5_項目分析!$B$6,"高",IF(R43&lt;=5_項目分析!$B$5,"低",""))</f>
        <v>低</v>
      </c>
      <c r="T43" s="8" t="n">
        <f aca="false">R43-B43</f>
        <v>52</v>
      </c>
      <c r="U43" s="8" t="n">
        <f aca="false">R43-C43</f>
        <v>52</v>
      </c>
      <c r="V43" s="8" t="n">
        <f aca="false">R43-D43</f>
        <v>52</v>
      </c>
      <c r="W43" s="8" t="n">
        <f aca="false">R43-E43</f>
        <v>53</v>
      </c>
      <c r="X43" s="8" t="n">
        <f aca="false">R43-F43</f>
        <v>53</v>
      </c>
      <c r="Y43" s="8" t="n">
        <f aca="false">R43-G43</f>
        <v>53</v>
      </c>
      <c r="Z43" s="8" t="n">
        <f aca="false">R43-H43</f>
        <v>53</v>
      </c>
      <c r="AA43" s="8" t="n">
        <f aca="false">R43-I43</f>
        <v>53</v>
      </c>
      <c r="AB43" s="8" t="n">
        <f aca="false">R43-J43</f>
        <v>53</v>
      </c>
      <c r="AC43" s="8" t="n">
        <f aca="false">R43-K43</f>
        <v>52</v>
      </c>
      <c r="AD43" s="8" t="n">
        <f aca="false">R43-L43</f>
        <v>53</v>
      </c>
      <c r="AE43" s="8" t="n">
        <f aca="false">R43-M43</f>
        <v>52</v>
      </c>
      <c r="AF43" s="8" t="n">
        <f aca="false">R43-N43</f>
        <v>53</v>
      </c>
      <c r="AG43" s="8" t="n">
        <f aca="false">R43-O43</f>
        <v>52</v>
      </c>
      <c r="AH43" s="8" t="n">
        <f aca="false">R43-P43</f>
        <v>52</v>
      </c>
      <c r="AI43" s="8" t="n">
        <f aca="false">R43-Q43</f>
        <v>52</v>
      </c>
    </row>
    <row r="44" customFormat="false" ht="15" hidden="false" customHeight="false" outlineLevel="0" collapsed="false">
      <c r="A44" s="7" t="s">
        <v>130</v>
      </c>
      <c r="B44" s="9" t="n">
        <v>2</v>
      </c>
      <c r="C44" s="9" t="n">
        <v>2</v>
      </c>
      <c r="D44" s="9" t="n">
        <v>3</v>
      </c>
      <c r="E44" s="9" t="n">
        <v>1</v>
      </c>
      <c r="F44" s="9" t="n">
        <v>3</v>
      </c>
      <c r="G44" s="9" t="n">
        <v>4</v>
      </c>
      <c r="H44" s="9" t="n">
        <v>3</v>
      </c>
      <c r="I44" s="9" t="n">
        <v>2</v>
      </c>
      <c r="J44" s="9" t="n">
        <v>3</v>
      </c>
      <c r="K44" s="9" t="n">
        <v>3</v>
      </c>
      <c r="L44" s="9" t="n">
        <v>5</v>
      </c>
      <c r="M44" s="9" t="n">
        <v>4</v>
      </c>
      <c r="N44" s="9" t="n">
        <v>4</v>
      </c>
      <c r="O44" s="9" t="n">
        <v>4</v>
      </c>
      <c r="P44" s="9" t="n">
        <v>4</v>
      </c>
      <c r="Q44" s="9" t="n">
        <v>5</v>
      </c>
      <c r="R44" s="8" t="n">
        <f aca="false">SUM(B44:Q44)</f>
        <v>52</v>
      </c>
      <c r="S44" s="8" t="str">
        <f aca="false">IF(R44&gt;=5_項目分析!$B$6,"高",IF(R44&lt;=5_項目分析!$B$5,"低",""))</f>
        <v>低</v>
      </c>
      <c r="T44" s="8" t="n">
        <f aca="false">R44-B44</f>
        <v>50</v>
      </c>
      <c r="U44" s="8" t="n">
        <f aca="false">R44-C44</f>
        <v>50</v>
      </c>
      <c r="V44" s="8" t="n">
        <f aca="false">R44-D44</f>
        <v>49</v>
      </c>
      <c r="W44" s="8" t="n">
        <f aca="false">R44-E44</f>
        <v>51</v>
      </c>
      <c r="X44" s="8" t="n">
        <f aca="false">R44-F44</f>
        <v>49</v>
      </c>
      <c r="Y44" s="8" t="n">
        <f aca="false">R44-G44</f>
        <v>48</v>
      </c>
      <c r="Z44" s="8" t="n">
        <f aca="false">R44-H44</f>
        <v>49</v>
      </c>
      <c r="AA44" s="8" t="n">
        <f aca="false">R44-I44</f>
        <v>50</v>
      </c>
      <c r="AB44" s="8" t="n">
        <f aca="false">R44-J44</f>
        <v>49</v>
      </c>
      <c r="AC44" s="8" t="n">
        <f aca="false">R44-K44</f>
        <v>49</v>
      </c>
      <c r="AD44" s="8" t="n">
        <f aca="false">R44-L44</f>
        <v>47</v>
      </c>
      <c r="AE44" s="8" t="n">
        <f aca="false">R44-M44</f>
        <v>48</v>
      </c>
      <c r="AF44" s="8" t="n">
        <f aca="false">R44-N44</f>
        <v>48</v>
      </c>
      <c r="AG44" s="8" t="n">
        <f aca="false">R44-O44</f>
        <v>48</v>
      </c>
      <c r="AH44" s="8" t="n">
        <f aca="false">R44-P44</f>
        <v>48</v>
      </c>
      <c r="AI44" s="8" t="n">
        <f aca="false">R44-Q44</f>
        <v>47</v>
      </c>
    </row>
    <row r="45" customFormat="false" ht="15" hidden="false" customHeight="false" outlineLevel="0" collapsed="false">
      <c r="A45" s="7" t="s">
        <v>131</v>
      </c>
      <c r="B45" s="9" t="n">
        <v>3</v>
      </c>
      <c r="C45" s="9" t="n">
        <v>4</v>
      </c>
      <c r="D45" s="9" t="n">
        <v>3</v>
      </c>
      <c r="E45" s="9" t="n">
        <v>3</v>
      </c>
      <c r="F45" s="9" t="n">
        <v>5</v>
      </c>
      <c r="G45" s="9" t="n">
        <v>4</v>
      </c>
      <c r="H45" s="9" t="n">
        <v>3</v>
      </c>
      <c r="I45" s="9" t="n">
        <v>4</v>
      </c>
      <c r="J45" s="9" t="n">
        <v>3</v>
      </c>
      <c r="K45" s="9" t="n">
        <v>5</v>
      </c>
      <c r="L45" s="9" t="n">
        <v>5</v>
      </c>
      <c r="M45" s="9" t="n">
        <v>5</v>
      </c>
      <c r="N45" s="9" t="n">
        <v>5</v>
      </c>
      <c r="O45" s="9" t="n">
        <v>5</v>
      </c>
      <c r="P45" s="9" t="n">
        <v>4</v>
      </c>
      <c r="Q45" s="9" t="n">
        <v>5</v>
      </c>
      <c r="R45" s="8" t="n">
        <f aca="false">SUM(B45:Q45)</f>
        <v>66</v>
      </c>
      <c r="S45" s="8" t="str">
        <f aca="false">IF(R45&gt;=5_項目分析!$B$6,"高",IF(R45&lt;=5_項目分析!$B$5,"低",""))</f>
        <v>高</v>
      </c>
      <c r="T45" s="8" t="n">
        <f aca="false">R45-B45</f>
        <v>63</v>
      </c>
      <c r="U45" s="8" t="n">
        <f aca="false">R45-C45</f>
        <v>62</v>
      </c>
      <c r="V45" s="8" t="n">
        <f aca="false">R45-D45</f>
        <v>63</v>
      </c>
      <c r="W45" s="8" t="n">
        <f aca="false">R45-E45</f>
        <v>63</v>
      </c>
      <c r="X45" s="8" t="n">
        <f aca="false">R45-F45</f>
        <v>61</v>
      </c>
      <c r="Y45" s="8" t="n">
        <f aca="false">R45-G45</f>
        <v>62</v>
      </c>
      <c r="Z45" s="8" t="n">
        <f aca="false">R45-H45</f>
        <v>63</v>
      </c>
      <c r="AA45" s="8" t="n">
        <f aca="false">R45-I45</f>
        <v>62</v>
      </c>
      <c r="AB45" s="8" t="n">
        <f aca="false">R45-J45</f>
        <v>63</v>
      </c>
      <c r="AC45" s="8" t="n">
        <f aca="false">R45-K45</f>
        <v>61</v>
      </c>
      <c r="AD45" s="8" t="n">
        <f aca="false">R45-L45</f>
        <v>61</v>
      </c>
      <c r="AE45" s="8" t="n">
        <f aca="false">R45-M45</f>
        <v>61</v>
      </c>
      <c r="AF45" s="8" t="n">
        <f aca="false">R45-N45</f>
        <v>61</v>
      </c>
      <c r="AG45" s="8" t="n">
        <f aca="false">R45-O45</f>
        <v>61</v>
      </c>
      <c r="AH45" s="8" t="n">
        <f aca="false">R45-P45</f>
        <v>62</v>
      </c>
      <c r="AI45" s="8" t="n">
        <f aca="false">R45-Q45</f>
        <v>61</v>
      </c>
    </row>
    <row r="46" customFormat="false" ht="15" hidden="false" customHeight="false" outlineLevel="0" collapsed="false">
      <c r="A46" s="7" t="s">
        <v>132</v>
      </c>
      <c r="B46" s="9" t="n">
        <v>5</v>
      </c>
      <c r="C46" s="9" t="n">
        <v>5</v>
      </c>
      <c r="D46" s="9" t="n">
        <v>4</v>
      </c>
      <c r="E46" s="9" t="n">
        <v>4</v>
      </c>
      <c r="F46" s="9" t="n">
        <v>5</v>
      </c>
      <c r="G46" s="9" t="n">
        <v>4</v>
      </c>
      <c r="H46" s="9" t="n">
        <v>4</v>
      </c>
      <c r="I46" s="9" t="n">
        <v>4</v>
      </c>
      <c r="J46" s="9" t="n">
        <v>4</v>
      </c>
      <c r="K46" s="9" t="n">
        <v>4</v>
      </c>
      <c r="L46" s="9" t="n">
        <v>5</v>
      </c>
      <c r="M46" s="9" t="n">
        <v>5</v>
      </c>
      <c r="N46" s="9" t="n">
        <v>4</v>
      </c>
      <c r="O46" s="9" t="n">
        <v>4</v>
      </c>
      <c r="P46" s="9" t="n">
        <v>4</v>
      </c>
      <c r="Q46" s="9" t="n">
        <v>5</v>
      </c>
      <c r="R46" s="8" t="n">
        <f aca="false">SUM(B46:Q46)</f>
        <v>70</v>
      </c>
      <c r="S46" s="8" t="str">
        <f aca="false">IF(R46&gt;=5_項目分析!$B$6,"高",IF(R46&lt;=5_項目分析!$B$5,"低",""))</f>
        <v>高</v>
      </c>
      <c r="T46" s="8" t="n">
        <f aca="false">R46-B46</f>
        <v>65</v>
      </c>
      <c r="U46" s="8" t="n">
        <f aca="false">R46-C46</f>
        <v>65</v>
      </c>
      <c r="V46" s="8" t="n">
        <f aca="false">R46-D46</f>
        <v>66</v>
      </c>
      <c r="W46" s="8" t="n">
        <f aca="false">R46-E46</f>
        <v>66</v>
      </c>
      <c r="X46" s="8" t="n">
        <f aca="false">R46-F46</f>
        <v>65</v>
      </c>
      <c r="Y46" s="8" t="n">
        <f aca="false">R46-G46</f>
        <v>66</v>
      </c>
      <c r="Z46" s="8" t="n">
        <f aca="false">R46-H46</f>
        <v>66</v>
      </c>
      <c r="AA46" s="8" t="n">
        <f aca="false">R46-I46</f>
        <v>66</v>
      </c>
      <c r="AB46" s="8" t="n">
        <f aca="false">R46-J46</f>
        <v>66</v>
      </c>
      <c r="AC46" s="8" t="n">
        <f aca="false">R46-K46</f>
        <v>66</v>
      </c>
      <c r="AD46" s="8" t="n">
        <f aca="false">R46-L46</f>
        <v>65</v>
      </c>
      <c r="AE46" s="8" t="n">
        <f aca="false">R46-M46</f>
        <v>65</v>
      </c>
      <c r="AF46" s="8" t="n">
        <f aca="false">R46-N46</f>
        <v>66</v>
      </c>
      <c r="AG46" s="8" t="n">
        <f aca="false">R46-O46</f>
        <v>66</v>
      </c>
      <c r="AH46" s="8" t="n">
        <f aca="false">R46-P46</f>
        <v>66</v>
      </c>
      <c r="AI46" s="8" t="n">
        <f aca="false">R46-Q46</f>
        <v>65</v>
      </c>
    </row>
    <row r="47" customFormat="false" ht="15" hidden="false" customHeight="false" outlineLevel="0" collapsed="false">
      <c r="A47" s="7" t="s">
        <v>133</v>
      </c>
      <c r="B47" s="9" t="n">
        <v>5</v>
      </c>
      <c r="C47" s="9" t="n">
        <v>4</v>
      </c>
      <c r="D47" s="9" t="n">
        <v>4</v>
      </c>
      <c r="E47" s="9" t="n">
        <v>5</v>
      </c>
      <c r="F47" s="9" t="n">
        <v>5</v>
      </c>
      <c r="G47" s="9" t="n">
        <v>3</v>
      </c>
      <c r="H47" s="9" t="n">
        <v>4</v>
      </c>
      <c r="I47" s="9" t="n">
        <v>5</v>
      </c>
      <c r="J47" s="9" t="n">
        <v>2</v>
      </c>
      <c r="K47" s="9" t="n">
        <v>4</v>
      </c>
      <c r="L47" s="9" t="n">
        <v>5</v>
      </c>
      <c r="M47" s="9" t="n">
        <v>5</v>
      </c>
      <c r="N47" s="9" t="n">
        <v>5</v>
      </c>
      <c r="O47" s="9" t="n">
        <v>5</v>
      </c>
      <c r="P47" s="9" t="n">
        <v>4</v>
      </c>
      <c r="Q47" s="9" t="n">
        <v>5</v>
      </c>
      <c r="R47" s="8" t="n">
        <f aca="false">SUM(B47:Q47)</f>
        <v>70</v>
      </c>
      <c r="S47" s="8" t="str">
        <f aca="false">IF(R47&gt;=5_項目分析!$B$6,"高",IF(R47&lt;=5_項目分析!$B$5,"低",""))</f>
        <v>高</v>
      </c>
      <c r="T47" s="8" t="n">
        <f aca="false">R47-B47</f>
        <v>65</v>
      </c>
      <c r="U47" s="8" t="n">
        <f aca="false">R47-C47</f>
        <v>66</v>
      </c>
      <c r="V47" s="8" t="n">
        <f aca="false">R47-D47</f>
        <v>66</v>
      </c>
      <c r="W47" s="8" t="n">
        <f aca="false">R47-E47</f>
        <v>65</v>
      </c>
      <c r="X47" s="8" t="n">
        <f aca="false">R47-F47</f>
        <v>65</v>
      </c>
      <c r="Y47" s="8" t="n">
        <f aca="false">R47-G47</f>
        <v>67</v>
      </c>
      <c r="Z47" s="8" t="n">
        <f aca="false">R47-H47</f>
        <v>66</v>
      </c>
      <c r="AA47" s="8" t="n">
        <f aca="false">R47-I47</f>
        <v>65</v>
      </c>
      <c r="AB47" s="8" t="n">
        <f aca="false">R47-J47</f>
        <v>68</v>
      </c>
      <c r="AC47" s="8" t="n">
        <f aca="false">R47-K47</f>
        <v>66</v>
      </c>
      <c r="AD47" s="8" t="n">
        <f aca="false">R47-L47</f>
        <v>65</v>
      </c>
      <c r="AE47" s="8" t="n">
        <f aca="false">R47-M47</f>
        <v>65</v>
      </c>
      <c r="AF47" s="8" t="n">
        <f aca="false">R47-N47</f>
        <v>65</v>
      </c>
      <c r="AG47" s="8" t="n">
        <f aca="false">R47-O47</f>
        <v>65</v>
      </c>
      <c r="AH47" s="8" t="n">
        <f aca="false">R47-P47</f>
        <v>66</v>
      </c>
      <c r="AI47" s="8" t="n">
        <f aca="false">R47-Q47</f>
        <v>65</v>
      </c>
    </row>
    <row r="48" customFormat="false" ht="15" hidden="false" customHeight="false" outlineLevel="0" collapsed="false">
      <c r="A48" s="7" t="s">
        <v>134</v>
      </c>
      <c r="B48" s="9" t="n">
        <v>3</v>
      </c>
      <c r="C48" s="9" t="n">
        <v>3</v>
      </c>
      <c r="D48" s="9" t="n">
        <v>4</v>
      </c>
      <c r="E48" s="9" t="n">
        <v>4</v>
      </c>
      <c r="F48" s="9" t="n">
        <v>4</v>
      </c>
      <c r="G48" s="9" t="n">
        <v>4</v>
      </c>
      <c r="H48" s="9" t="n">
        <v>3</v>
      </c>
      <c r="I48" s="9" t="n">
        <v>4</v>
      </c>
      <c r="J48" s="9" t="n">
        <v>3</v>
      </c>
      <c r="K48" s="9" t="n">
        <v>4</v>
      </c>
      <c r="L48" s="9" t="n">
        <v>4</v>
      </c>
      <c r="M48" s="9" t="n">
        <v>4</v>
      </c>
      <c r="N48" s="9" t="n">
        <v>4</v>
      </c>
      <c r="O48" s="9" t="n">
        <v>4</v>
      </c>
      <c r="P48" s="9" t="n">
        <v>4</v>
      </c>
      <c r="Q48" s="9" t="n">
        <v>5</v>
      </c>
      <c r="R48" s="8" t="n">
        <f aca="false">SUM(B48:Q48)</f>
        <v>61</v>
      </c>
      <c r="S48" s="8" t="str">
        <f aca="false">IF(R48&gt;=5_項目分析!$B$6,"高",IF(R48&lt;=5_項目分析!$B$5,"低",""))</f>
        <v/>
      </c>
      <c r="T48" s="8" t="n">
        <f aca="false">R48-B48</f>
        <v>58</v>
      </c>
      <c r="U48" s="8" t="n">
        <f aca="false">R48-C48</f>
        <v>58</v>
      </c>
      <c r="V48" s="8" t="n">
        <f aca="false">R48-D48</f>
        <v>57</v>
      </c>
      <c r="W48" s="8" t="n">
        <f aca="false">R48-E48</f>
        <v>57</v>
      </c>
      <c r="X48" s="8" t="n">
        <f aca="false">R48-F48</f>
        <v>57</v>
      </c>
      <c r="Y48" s="8" t="n">
        <f aca="false">R48-G48</f>
        <v>57</v>
      </c>
      <c r="Z48" s="8" t="n">
        <f aca="false">R48-H48</f>
        <v>58</v>
      </c>
      <c r="AA48" s="8" t="n">
        <f aca="false">R48-I48</f>
        <v>57</v>
      </c>
      <c r="AB48" s="8" t="n">
        <f aca="false">R48-J48</f>
        <v>58</v>
      </c>
      <c r="AC48" s="8" t="n">
        <f aca="false">R48-K48</f>
        <v>57</v>
      </c>
      <c r="AD48" s="8" t="n">
        <f aca="false">R48-L48</f>
        <v>57</v>
      </c>
      <c r="AE48" s="8" t="n">
        <f aca="false">R48-M48</f>
        <v>57</v>
      </c>
      <c r="AF48" s="8" t="n">
        <f aca="false">R48-N48</f>
        <v>57</v>
      </c>
      <c r="AG48" s="8" t="n">
        <f aca="false">R48-O48</f>
        <v>57</v>
      </c>
      <c r="AH48" s="8" t="n">
        <f aca="false">R48-P48</f>
        <v>57</v>
      </c>
      <c r="AI48" s="8" t="n">
        <f aca="false">R48-Q48</f>
        <v>56</v>
      </c>
    </row>
    <row r="49" customFormat="false" ht="15" hidden="false" customHeight="false" outlineLevel="0" collapsed="false">
      <c r="A49" s="7" t="s">
        <v>135</v>
      </c>
      <c r="B49" s="9" t="n">
        <v>3</v>
      </c>
      <c r="C49" s="9" t="n">
        <v>3</v>
      </c>
      <c r="D49" s="9" t="n">
        <v>3</v>
      </c>
      <c r="E49" s="9" t="n">
        <v>4</v>
      </c>
      <c r="F49" s="9" t="n">
        <v>3</v>
      </c>
      <c r="G49" s="9" t="n">
        <v>3</v>
      </c>
      <c r="H49" s="9" t="n">
        <v>4</v>
      </c>
      <c r="I49" s="9" t="n">
        <v>4</v>
      </c>
      <c r="J49" s="9" t="n">
        <v>5</v>
      </c>
      <c r="K49" s="9" t="n">
        <v>4</v>
      </c>
      <c r="L49" s="9" t="n">
        <v>3</v>
      </c>
      <c r="M49" s="9" t="n">
        <v>4</v>
      </c>
      <c r="N49" s="9" t="n">
        <v>4</v>
      </c>
      <c r="O49" s="9" t="n">
        <v>4</v>
      </c>
      <c r="P49" s="9" t="n">
        <v>4</v>
      </c>
      <c r="Q49" s="9" t="n">
        <v>5</v>
      </c>
      <c r="R49" s="8" t="n">
        <f aca="false">SUM(B49:Q49)</f>
        <v>60</v>
      </c>
      <c r="S49" s="8" t="str">
        <f aca="false">IF(R49&gt;=5_項目分析!$B$6,"高",IF(R49&lt;=5_項目分析!$B$5,"低",""))</f>
        <v/>
      </c>
      <c r="T49" s="8" t="n">
        <f aca="false">R49-B49</f>
        <v>57</v>
      </c>
      <c r="U49" s="8" t="n">
        <f aca="false">R49-C49</f>
        <v>57</v>
      </c>
      <c r="V49" s="8" t="n">
        <f aca="false">R49-D49</f>
        <v>57</v>
      </c>
      <c r="W49" s="8" t="n">
        <f aca="false">R49-E49</f>
        <v>56</v>
      </c>
      <c r="X49" s="8" t="n">
        <f aca="false">R49-F49</f>
        <v>57</v>
      </c>
      <c r="Y49" s="8" t="n">
        <f aca="false">R49-G49</f>
        <v>57</v>
      </c>
      <c r="Z49" s="8" t="n">
        <f aca="false">R49-H49</f>
        <v>56</v>
      </c>
      <c r="AA49" s="8" t="n">
        <f aca="false">R49-I49</f>
        <v>56</v>
      </c>
      <c r="AB49" s="8" t="n">
        <f aca="false">R49-J49</f>
        <v>55</v>
      </c>
      <c r="AC49" s="8" t="n">
        <f aca="false">R49-K49</f>
        <v>56</v>
      </c>
      <c r="AD49" s="8" t="n">
        <f aca="false">R49-L49</f>
        <v>57</v>
      </c>
      <c r="AE49" s="8" t="n">
        <f aca="false">R49-M49</f>
        <v>56</v>
      </c>
      <c r="AF49" s="8" t="n">
        <f aca="false">R49-N49</f>
        <v>56</v>
      </c>
      <c r="AG49" s="8" t="n">
        <f aca="false">R49-O49</f>
        <v>56</v>
      </c>
      <c r="AH49" s="8" t="n">
        <f aca="false">R49-P49</f>
        <v>56</v>
      </c>
      <c r="AI49" s="8" t="n">
        <f aca="false">R49-Q49</f>
        <v>55</v>
      </c>
    </row>
    <row r="50" customFormat="false" ht="15" hidden="false" customHeight="false" outlineLevel="0" collapsed="false">
      <c r="A50" s="7" t="s">
        <v>136</v>
      </c>
      <c r="B50" s="9" t="n">
        <v>4</v>
      </c>
      <c r="C50" s="9" t="n">
        <v>4</v>
      </c>
      <c r="D50" s="9" t="n">
        <v>4</v>
      </c>
      <c r="E50" s="9" t="n">
        <v>5</v>
      </c>
      <c r="F50" s="9" t="n">
        <v>5</v>
      </c>
      <c r="G50" s="9" t="n">
        <v>5</v>
      </c>
      <c r="H50" s="9" t="n">
        <v>4</v>
      </c>
      <c r="I50" s="9" t="n">
        <v>5</v>
      </c>
      <c r="J50" s="9" t="n">
        <v>4</v>
      </c>
      <c r="K50" s="9" t="n">
        <v>4</v>
      </c>
      <c r="L50" s="9" t="n">
        <v>5</v>
      </c>
      <c r="M50" s="9" t="n">
        <v>5</v>
      </c>
      <c r="N50" s="9" t="n">
        <v>5</v>
      </c>
      <c r="O50" s="9" t="n">
        <v>5</v>
      </c>
      <c r="P50" s="9" t="n">
        <v>4</v>
      </c>
      <c r="Q50" s="9" t="n">
        <v>4</v>
      </c>
      <c r="R50" s="8" t="n">
        <f aca="false">SUM(B50:Q50)</f>
        <v>72</v>
      </c>
      <c r="S50" s="8" t="str">
        <f aca="false">IF(R50&gt;=5_項目分析!$B$6,"高",IF(R50&lt;=5_項目分析!$B$5,"低",""))</f>
        <v>高</v>
      </c>
      <c r="T50" s="8" t="n">
        <f aca="false">R50-B50</f>
        <v>68</v>
      </c>
      <c r="U50" s="8" t="n">
        <f aca="false">R50-C50</f>
        <v>68</v>
      </c>
      <c r="V50" s="8" t="n">
        <f aca="false">R50-D50</f>
        <v>68</v>
      </c>
      <c r="W50" s="8" t="n">
        <f aca="false">R50-E50</f>
        <v>67</v>
      </c>
      <c r="X50" s="8" t="n">
        <f aca="false">R50-F50</f>
        <v>67</v>
      </c>
      <c r="Y50" s="8" t="n">
        <f aca="false">R50-G50</f>
        <v>67</v>
      </c>
      <c r="Z50" s="8" t="n">
        <f aca="false">R50-H50</f>
        <v>68</v>
      </c>
      <c r="AA50" s="8" t="n">
        <f aca="false">R50-I50</f>
        <v>67</v>
      </c>
      <c r="AB50" s="8" t="n">
        <f aca="false">R50-J50</f>
        <v>68</v>
      </c>
      <c r="AC50" s="8" t="n">
        <f aca="false">R50-K50</f>
        <v>68</v>
      </c>
      <c r="AD50" s="8" t="n">
        <f aca="false">R50-L50</f>
        <v>67</v>
      </c>
      <c r="AE50" s="8" t="n">
        <f aca="false">R50-M50</f>
        <v>67</v>
      </c>
      <c r="AF50" s="8" t="n">
        <f aca="false">R50-N50</f>
        <v>67</v>
      </c>
      <c r="AG50" s="8" t="n">
        <f aca="false">R50-O50</f>
        <v>67</v>
      </c>
      <c r="AH50" s="8" t="n">
        <f aca="false">R50-P50</f>
        <v>68</v>
      </c>
      <c r="AI50" s="8" t="n">
        <f aca="false">R50-Q50</f>
        <v>68</v>
      </c>
    </row>
    <row r="51" customFormat="false" ht="15" hidden="false" customHeight="false" outlineLevel="0" collapsed="false">
      <c r="A51" s="7" t="s">
        <v>137</v>
      </c>
      <c r="B51" s="9" t="n">
        <v>2</v>
      </c>
      <c r="C51" s="9" t="n">
        <v>3</v>
      </c>
      <c r="D51" s="9" t="n">
        <v>4</v>
      </c>
      <c r="E51" s="9" t="n">
        <v>3</v>
      </c>
      <c r="F51" s="9" t="n">
        <v>3</v>
      </c>
      <c r="G51" s="9" t="n">
        <v>3</v>
      </c>
      <c r="H51" s="9" t="n">
        <v>3</v>
      </c>
      <c r="I51" s="9" t="n">
        <v>2</v>
      </c>
      <c r="J51" s="9" t="n">
        <v>1</v>
      </c>
      <c r="K51" s="9" t="n">
        <v>2</v>
      </c>
      <c r="L51" s="9" t="n">
        <v>3</v>
      </c>
      <c r="M51" s="9" t="n">
        <v>4</v>
      </c>
      <c r="N51" s="9" t="n">
        <v>2</v>
      </c>
      <c r="O51" s="9" t="n">
        <v>2</v>
      </c>
      <c r="P51" s="9" t="n">
        <v>3</v>
      </c>
      <c r="Q51" s="9" t="n">
        <v>5</v>
      </c>
      <c r="R51" s="8" t="n">
        <f aca="false">SUM(B51:Q51)</f>
        <v>45</v>
      </c>
      <c r="S51" s="8" t="str">
        <f aca="false">IF(R51&gt;=5_項目分析!$B$6,"高",IF(R51&lt;=5_項目分析!$B$5,"低",""))</f>
        <v>低</v>
      </c>
      <c r="T51" s="8" t="n">
        <f aca="false">R51-B51</f>
        <v>43</v>
      </c>
      <c r="U51" s="8" t="n">
        <f aca="false">R51-C51</f>
        <v>42</v>
      </c>
      <c r="V51" s="8" t="n">
        <f aca="false">R51-D51</f>
        <v>41</v>
      </c>
      <c r="W51" s="8" t="n">
        <f aca="false">R51-E51</f>
        <v>42</v>
      </c>
      <c r="X51" s="8" t="n">
        <f aca="false">R51-F51</f>
        <v>42</v>
      </c>
      <c r="Y51" s="8" t="n">
        <f aca="false">R51-G51</f>
        <v>42</v>
      </c>
      <c r="Z51" s="8" t="n">
        <f aca="false">R51-H51</f>
        <v>42</v>
      </c>
      <c r="AA51" s="8" t="n">
        <f aca="false">R51-I51</f>
        <v>43</v>
      </c>
      <c r="AB51" s="8" t="n">
        <f aca="false">R51-J51</f>
        <v>44</v>
      </c>
      <c r="AC51" s="8" t="n">
        <f aca="false">R51-K51</f>
        <v>43</v>
      </c>
      <c r="AD51" s="8" t="n">
        <f aca="false">R51-L51</f>
        <v>42</v>
      </c>
      <c r="AE51" s="8" t="n">
        <f aca="false">R51-M51</f>
        <v>41</v>
      </c>
      <c r="AF51" s="8" t="n">
        <f aca="false">R51-N51</f>
        <v>43</v>
      </c>
      <c r="AG51" s="8" t="n">
        <f aca="false">R51-O51</f>
        <v>43</v>
      </c>
      <c r="AH51" s="8" t="n">
        <f aca="false">R51-P51</f>
        <v>42</v>
      </c>
      <c r="AI51" s="8" t="n">
        <f aca="false">R51-Q51</f>
        <v>40</v>
      </c>
    </row>
    <row r="52" customFormat="false" ht="15" hidden="false" customHeight="false" outlineLevel="0" collapsed="false">
      <c r="A52" s="7" t="s">
        <v>138</v>
      </c>
      <c r="B52" s="9" t="n">
        <v>4</v>
      </c>
      <c r="C52" s="9" t="n">
        <v>5</v>
      </c>
      <c r="D52" s="9" t="n">
        <v>5</v>
      </c>
      <c r="E52" s="9" t="n">
        <v>5</v>
      </c>
      <c r="F52" s="9" t="n">
        <v>5</v>
      </c>
      <c r="G52" s="9" t="n">
        <v>5</v>
      </c>
      <c r="H52" s="9" t="n">
        <v>5</v>
      </c>
      <c r="I52" s="9" t="n">
        <v>5</v>
      </c>
      <c r="J52" s="9" t="n">
        <v>4</v>
      </c>
      <c r="K52" s="9" t="n">
        <v>5</v>
      </c>
      <c r="L52" s="9" t="n">
        <v>5</v>
      </c>
      <c r="M52" s="9" t="n">
        <v>5</v>
      </c>
      <c r="N52" s="9" t="n">
        <v>5</v>
      </c>
      <c r="O52" s="9" t="n">
        <v>5</v>
      </c>
      <c r="P52" s="9" t="n">
        <v>4</v>
      </c>
      <c r="Q52" s="9" t="n">
        <v>5</v>
      </c>
      <c r="R52" s="8" t="n">
        <f aca="false">SUM(B52:Q52)</f>
        <v>77</v>
      </c>
      <c r="S52" s="8" t="str">
        <f aca="false">IF(R52&gt;=5_項目分析!$B$6,"高",IF(R52&lt;=5_項目分析!$B$5,"低",""))</f>
        <v>高</v>
      </c>
      <c r="T52" s="8" t="n">
        <f aca="false">R52-B52</f>
        <v>73</v>
      </c>
      <c r="U52" s="8" t="n">
        <f aca="false">R52-C52</f>
        <v>72</v>
      </c>
      <c r="V52" s="8" t="n">
        <f aca="false">R52-D52</f>
        <v>72</v>
      </c>
      <c r="W52" s="8" t="n">
        <f aca="false">R52-E52</f>
        <v>72</v>
      </c>
      <c r="X52" s="8" t="n">
        <f aca="false">R52-F52</f>
        <v>72</v>
      </c>
      <c r="Y52" s="8" t="n">
        <f aca="false">R52-G52</f>
        <v>72</v>
      </c>
      <c r="Z52" s="8" t="n">
        <f aca="false">R52-H52</f>
        <v>72</v>
      </c>
      <c r="AA52" s="8" t="n">
        <f aca="false">R52-I52</f>
        <v>72</v>
      </c>
      <c r="AB52" s="8" t="n">
        <f aca="false">R52-J52</f>
        <v>73</v>
      </c>
      <c r="AC52" s="8" t="n">
        <f aca="false">R52-K52</f>
        <v>72</v>
      </c>
      <c r="AD52" s="8" t="n">
        <f aca="false">R52-L52</f>
        <v>72</v>
      </c>
      <c r="AE52" s="8" t="n">
        <f aca="false">R52-M52</f>
        <v>72</v>
      </c>
      <c r="AF52" s="8" t="n">
        <f aca="false">R52-N52</f>
        <v>72</v>
      </c>
      <c r="AG52" s="8" t="n">
        <f aca="false">R52-O52</f>
        <v>72</v>
      </c>
      <c r="AH52" s="8" t="n">
        <f aca="false">R52-P52</f>
        <v>73</v>
      </c>
      <c r="AI52" s="8" t="n">
        <f aca="false">R52-Q52</f>
        <v>72</v>
      </c>
    </row>
    <row r="53" customFormat="false" ht="15" hidden="false" customHeight="false" outlineLevel="0" collapsed="false">
      <c r="A53" s="7" t="s">
        <v>139</v>
      </c>
      <c r="B53" s="9" t="n">
        <v>3</v>
      </c>
      <c r="C53" s="9" t="n">
        <v>5</v>
      </c>
      <c r="D53" s="9" t="n">
        <v>4</v>
      </c>
      <c r="E53" s="9" t="n">
        <v>4</v>
      </c>
      <c r="F53" s="9" t="n">
        <v>4</v>
      </c>
      <c r="G53" s="9" t="n">
        <v>4</v>
      </c>
      <c r="H53" s="9" t="n">
        <v>4</v>
      </c>
      <c r="I53" s="9" t="n">
        <v>4</v>
      </c>
      <c r="J53" s="9" t="n">
        <v>2</v>
      </c>
      <c r="K53" s="9" t="n">
        <v>4</v>
      </c>
      <c r="L53" s="9" t="n">
        <v>5</v>
      </c>
      <c r="M53" s="9" t="n">
        <v>3</v>
      </c>
      <c r="N53" s="9" t="n">
        <v>4</v>
      </c>
      <c r="O53" s="9" t="n">
        <v>4</v>
      </c>
      <c r="P53" s="9" t="n">
        <v>4</v>
      </c>
      <c r="Q53" s="9" t="n">
        <v>5</v>
      </c>
      <c r="R53" s="8" t="n">
        <f aca="false">SUM(B53:Q53)</f>
        <v>63</v>
      </c>
      <c r="S53" s="8" t="str">
        <f aca="false">IF(R53&gt;=5_項目分析!$B$6,"高",IF(R53&lt;=5_項目分析!$B$5,"低",""))</f>
        <v/>
      </c>
      <c r="T53" s="8" t="n">
        <f aca="false">R53-B53</f>
        <v>60</v>
      </c>
      <c r="U53" s="8" t="n">
        <f aca="false">R53-C53</f>
        <v>58</v>
      </c>
      <c r="V53" s="8" t="n">
        <f aca="false">R53-D53</f>
        <v>59</v>
      </c>
      <c r="W53" s="8" t="n">
        <f aca="false">R53-E53</f>
        <v>59</v>
      </c>
      <c r="X53" s="8" t="n">
        <f aca="false">R53-F53</f>
        <v>59</v>
      </c>
      <c r="Y53" s="8" t="n">
        <f aca="false">R53-G53</f>
        <v>59</v>
      </c>
      <c r="Z53" s="8" t="n">
        <f aca="false">R53-H53</f>
        <v>59</v>
      </c>
      <c r="AA53" s="8" t="n">
        <f aca="false">R53-I53</f>
        <v>59</v>
      </c>
      <c r="AB53" s="8" t="n">
        <f aca="false">R53-J53</f>
        <v>61</v>
      </c>
      <c r="AC53" s="8" t="n">
        <f aca="false">R53-K53</f>
        <v>59</v>
      </c>
      <c r="AD53" s="8" t="n">
        <f aca="false">R53-L53</f>
        <v>58</v>
      </c>
      <c r="AE53" s="8" t="n">
        <f aca="false">R53-M53</f>
        <v>60</v>
      </c>
      <c r="AF53" s="8" t="n">
        <f aca="false">R53-N53</f>
        <v>59</v>
      </c>
      <c r="AG53" s="8" t="n">
        <f aca="false">R53-O53</f>
        <v>59</v>
      </c>
      <c r="AH53" s="8" t="n">
        <f aca="false">R53-P53</f>
        <v>59</v>
      </c>
      <c r="AI53" s="8" t="n">
        <f aca="false">R53-Q53</f>
        <v>58</v>
      </c>
    </row>
    <row r="54" customFormat="false" ht="15" hidden="false" customHeight="false" outlineLevel="0" collapsed="false">
      <c r="A54" s="7" t="s">
        <v>140</v>
      </c>
      <c r="B54" s="9" t="n">
        <v>3</v>
      </c>
      <c r="C54" s="9" t="n">
        <v>3</v>
      </c>
      <c r="D54" s="9" t="n">
        <v>3</v>
      </c>
      <c r="E54" s="9" t="n">
        <v>3</v>
      </c>
      <c r="F54" s="9" t="n">
        <v>3</v>
      </c>
      <c r="G54" s="9" t="n">
        <v>4</v>
      </c>
      <c r="H54" s="9" t="n">
        <v>1</v>
      </c>
      <c r="I54" s="9" t="n">
        <v>4</v>
      </c>
      <c r="J54" s="9" t="n">
        <v>2</v>
      </c>
      <c r="K54" s="9" t="n">
        <v>3</v>
      </c>
      <c r="L54" s="9" t="n">
        <v>4</v>
      </c>
      <c r="M54" s="9" t="n">
        <v>3</v>
      </c>
      <c r="N54" s="9" t="n">
        <v>3</v>
      </c>
      <c r="O54" s="9" t="n">
        <v>2</v>
      </c>
      <c r="P54" s="9" t="n">
        <v>3</v>
      </c>
      <c r="Q54" s="9" t="n">
        <v>3</v>
      </c>
      <c r="R54" s="8" t="n">
        <f aca="false">SUM(B54:Q54)</f>
        <v>47</v>
      </c>
      <c r="S54" s="8" t="str">
        <f aca="false">IF(R54&gt;=5_項目分析!$B$6,"高",IF(R54&lt;=5_項目分析!$B$5,"低",""))</f>
        <v>低</v>
      </c>
      <c r="T54" s="8" t="n">
        <f aca="false">R54-B54</f>
        <v>44</v>
      </c>
      <c r="U54" s="8" t="n">
        <f aca="false">R54-C54</f>
        <v>44</v>
      </c>
      <c r="V54" s="8" t="n">
        <f aca="false">R54-D54</f>
        <v>44</v>
      </c>
      <c r="W54" s="8" t="n">
        <f aca="false">R54-E54</f>
        <v>44</v>
      </c>
      <c r="X54" s="8" t="n">
        <f aca="false">R54-F54</f>
        <v>44</v>
      </c>
      <c r="Y54" s="8" t="n">
        <f aca="false">R54-G54</f>
        <v>43</v>
      </c>
      <c r="Z54" s="8" t="n">
        <f aca="false">R54-H54</f>
        <v>46</v>
      </c>
      <c r="AA54" s="8" t="n">
        <f aca="false">R54-I54</f>
        <v>43</v>
      </c>
      <c r="AB54" s="8" t="n">
        <f aca="false">R54-J54</f>
        <v>45</v>
      </c>
      <c r="AC54" s="8" t="n">
        <f aca="false">R54-K54</f>
        <v>44</v>
      </c>
      <c r="AD54" s="8" t="n">
        <f aca="false">R54-L54</f>
        <v>43</v>
      </c>
      <c r="AE54" s="8" t="n">
        <f aca="false">R54-M54</f>
        <v>44</v>
      </c>
      <c r="AF54" s="8" t="n">
        <f aca="false">R54-N54</f>
        <v>44</v>
      </c>
      <c r="AG54" s="8" t="n">
        <f aca="false">R54-O54</f>
        <v>45</v>
      </c>
      <c r="AH54" s="8" t="n">
        <f aca="false">R54-P54</f>
        <v>44</v>
      </c>
      <c r="AI54" s="8" t="n">
        <f aca="false">R54-Q54</f>
        <v>44</v>
      </c>
    </row>
    <row r="55" customFormat="false" ht="15" hidden="false" customHeight="false" outlineLevel="0" collapsed="false">
      <c r="A55" s="7" t="s">
        <v>141</v>
      </c>
      <c r="B55" s="9" t="n">
        <v>4</v>
      </c>
      <c r="C55" s="9" t="n">
        <v>2</v>
      </c>
      <c r="D55" s="9" t="n">
        <v>2</v>
      </c>
      <c r="E55" s="9" t="n">
        <v>3</v>
      </c>
      <c r="F55" s="9" t="n">
        <v>3</v>
      </c>
      <c r="G55" s="9" t="n">
        <v>4</v>
      </c>
      <c r="H55" s="9" t="n">
        <v>4</v>
      </c>
      <c r="I55" s="9" t="n">
        <v>4</v>
      </c>
      <c r="J55" s="9" t="n">
        <v>4</v>
      </c>
      <c r="K55" s="9" t="n">
        <v>4</v>
      </c>
      <c r="L55" s="9" t="n">
        <v>4</v>
      </c>
      <c r="M55" s="9" t="n">
        <v>5</v>
      </c>
      <c r="N55" s="9" t="n">
        <v>4</v>
      </c>
      <c r="O55" s="9" t="n">
        <v>3</v>
      </c>
      <c r="P55" s="9" t="n">
        <v>4</v>
      </c>
      <c r="Q55" s="9" t="n">
        <v>5</v>
      </c>
      <c r="R55" s="8" t="n">
        <f aca="false">SUM(B55:Q55)</f>
        <v>59</v>
      </c>
      <c r="S55" s="8" t="str">
        <f aca="false">IF(R55&gt;=5_項目分析!$B$6,"高",IF(R55&lt;=5_項目分析!$B$5,"低",""))</f>
        <v/>
      </c>
      <c r="T55" s="8" t="n">
        <f aca="false">R55-B55</f>
        <v>55</v>
      </c>
      <c r="U55" s="8" t="n">
        <f aca="false">R55-C55</f>
        <v>57</v>
      </c>
      <c r="V55" s="8" t="n">
        <f aca="false">R55-D55</f>
        <v>57</v>
      </c>
      <c r="W55" s="8" t="n">
        <f aca="false">R55-E55</f>
        <v>56</v>
      </c>
      <c r="X55" s="8" t="n">
        <f aca="false">R55-F55</f>
        <v>56</v>
      </c>
      <c r="Y55" s="8" t="n">
        <f aca="false">R55-G55</f>
        <v>55</v>
      </c>
      <c r="Z55" s="8" t="n">
        <f aca="false">R55-H55</f>
        <v>55</v>
      </c>
      <c r="AA55" s="8" t="n">
        <f aca="false">R55-I55</f>
        <v>55</v>
      </c>
      <c r="AB55" s="8" t="n">
        <f aca="false">R55-J55</f>
        <v>55</v>
      </c>
      <c r="AC55" s="8" t="n">
        <f aca="false">R55-K55</f>
        <v>55</v>
      </c>
      <c r="AD55" s="8" t="n">
        <f aca="false">R55-L55</f>
        <v>55</v>
      </c>
      <c r="AE55" s="8" t="n">
        <f aca="false">R55-M55</f>
        <v>54</v>
      </c>
      <c r="AF55" s="8" t="n">
        <f aca="false">R55-N55</f>
        <v>55</v>
      </c>
      <c r="AG55" s="8" t="n">
        <f aca="false">R55-O55</f>
        <v>56</v>
      </c>
      <c r="AH55" s="8" t="n">
        <f aca="false">R55-P55</f>
        <v>55</v>
      </c>
      <c r="AI55" s="8" t="n">
        <f aca="false">R55-Q55</f>
        <v>54</v>
      </c>
    </row>
    <row r="56" customFormat="false" ht="15" hidden="false" customHeight="false" outlineLevel="0" collapsed="false">
      <c r="A56" s="7" t="s">
        <v>142</v>
      </c>
      <c r="B56" s="9" t="n">
        <v>3</v>
      </c>
      <c r="C56" s="9" t="n">
        <v>3</v>
      </c>
      <c r="D56" s="9" t="n">
        <v>3</v>
      </c>
      <c r="E56" s="9" t="n">
        <v>3</v>
      </c>
      <c r="F56" s="9" t="n">
        <v>4</v>
      </c>
      <c r="G56" s="9" t="n">
        <v>5</v>
      </c>
      <c r="H56" s="9" t="n">
        <v>4</v>
      </c>
      <c r="I56" s="9" t="n">
        <v>4</v>
      </c>
      <c r="J56" s="9" t="n">
        <v>3</v>
      </c>
      <c r="K56" s="9" t="n">
        <v>3</v>
      </c>
      <c r="L56" s="9" t="n">
        <v>3</v>
      </c>
      <c r="M56" s="9" t="n">
        <v>3</v>
      </c>
      <c r="N56" s="9" t="n">
        <v>3</v>
      </c>
      <c r="O56" s="9" t="n">
        <v>4</v>
      </c>
      <c r="P56" s="9" t="n">
        <v>3</v>
      </c>
      <c r="Q56" s="9" t="n">
        <v>5</v>
      </c>
      <c r="R56" s="8" t="n">
        <f aca="false">SUM(B56:Q56)</f>
        <v>56</v>
      </c>
      <c r="S56" s="8" t="str">
        <f aca="false">IF(R56&gt;=5_項目分析!$B$6,"高",IF(R56&lt;=5_項目分析!$B$5,"低",""))</f>
        <v>低</v>
      </c>
      <c r="T56" s="8" t="n">
        <f aca="false">R56-B56</f>
        <v>53</v>
      </c>
      <c r="U56" s="8" t="n">
        <f aca="false">R56-C56</f>
        <v>53</v>
      </c>
      <c r="V56" s="8" t="n">
        <f aca="false">R56-D56</f>
        <v>53</v>
      </c>
      <c r="W56" s="8" t="n">
        <f aca="false">R56-E56</f>
        <v>53</v>
      </c>
      <c r="X56" s="8" t="n">
        <f aca="false">R56-F56</f>
        <v>52</v>
      </c>
      <c r="Y56" s="8" t="n">
        <f aca="false">R56-G56</f>
        <v>51</v>
      </c>
      <c r="Z56" s="8" t="n">
        <f aca="false">R56-H56</f>
        <v>52</v>
      </c>
      <c r="AA56" s="8" t="n">
        <f aca="false">R56-I56</f>
        <v>52</v>
      </c>
      <c r="AB56" s="8" t="n">
        <f aca="false">R56-J56</f>
        <v>53</v>
      </c>
      <c r="AC56" s="8" t="n">
        <f aca="false">R56-K56</f>
        <v>53</v>
      </c>
      <c r="AD56" s="8" t="n">
        <f aca="false">R56-L56</f>
        <v>53</v>
      </c>
      <c r="AE56" s="8" t="n">
        <f aca="false">R56-M56</f>
        <v>53</v>
      </c>
      <c r="AF56" s="8" t="n">
        <f aca="false">R56-N56</f>
        <v>53</v>
      </c>
      <c r="AG56" s="8" t="n">
        <f aca="false">R56-O56</f>
        <v>52</v>
      </c>
      <c r="AH56" s="8" t="n">
        <f aca="false">R56-P56</f>
        <v>53</v>
      </c>
      <c r="AI56" s="8" t="n">
        <f aca="false">R56-Q56</f>
        <v>51</v>
      </c>
    </row>
    <row r="57" customFormat="false" ht="15" hidden="false" customHeight="false" outlineLevel="0" collapsed="false">
      <c r="A57" s="7" t="s">
        <v>143</v>
      </c>
      <c r="B57" s="9" t="n">
        <v>5</v>
      </c>
      <c r="C57" s="9" t="n">
        <v>4</v>
      </c>
      <c r="D57" s="9" t="n">
        <v>5</v>
      </c>
      <c r="E57" s="9" t="n">
        <v>4</v>
      </c>
      <c r="F57" s="9" t="n">
        <v>4</v>
      </c>
      <c r="G57" s="9" t="n">
        <v>3</v>
      </c>
      <c r="H57" s="9" t="n">
        <v>4</v>
      </c>
      <c r="I57" s="9" t="n">
        <v>4</v>
      </c>
      <c r="J57" s="9" t="n">
        <v>5</v>
      </c>
      <c r="K57" s="9" t="n">
        <v>3</v>
      </c>
      <c r="L57" s="9" t="n">
        <v>4</v>
      </c>
      <c r="M57" s="9" t="n">
        <v>4</v>
      </c>
      <c r="N57" s="9" t="n">
        <v>4</v>
      </c>
      <c r="O57" s="9" t="n">
        <v>5</v>
      </c>
      <c r="P57" s="9" t="n">
        <v>4</v>
      </c>
      <c r="Q57" s="9" t="n">
        <v>5</v>
      </c>
      <c r="R57" s="8" t="n">
        <f aca="false">SUM(B57:Q57)</f>
        <v>67</v>
      </c>
      <c r="S57" s="8" t="str">
        <f aca="false">IF(R57&gt;=5_項目分析!$B$6,"高",IF(R57&lt;=5_項目分析!$B$5,"低",""))</f>
        <v>高</v>
      </c>
      <c r="T57" s="8" t="n">
        <f aca="false">R57-B57</f>
        <v>62</v>
      </c>
      <c r="U57" s="8" t="n">
        <f aca="false">R57-C57</f>
        <v>63</v>
      </c>
      <c r="V57" s="8" t="n">
        <f aca="false">R57-D57</f>
        <v>62</v>
      </c>
      <c r="W57" s="8" t="n">
        <f aca="false">R57-E57</f>
        <v>63</v>
      </c>
      <c r="X57" s="8" t="n">
        <f aca="false">R57-F57</f>
        <v>63</v>
      </c>
      <c r="Y57" s="8" t="n">
        <f aca="false">R57-G57</f>
        <v>64</v>
      </c>
      <c r="Z57" s="8" t="n">
        <f aca="false">R57-H57</f>
        <v>63</v>
      </c>
      <c r="AA57" s="8" t="n">
        <f aca="false">R57-I57</f>
        <v>63</v>
      </c>
      <c r="AB57" s="8" t="n">
        <f aca="false">R57-J57</f>
        <v>62</v>
      </c>
      <c r="AC57" s="8" t="n">
        <f aca="false">R57-K57</f>
        <v>64</v>
      </c>
      <c r="AD57" s="8" t="n">
        <f aca="false">R57-L57</f>
        <v>63</v>
      </c>
      <c r="AE57" s="8" t="n">
        <f aca="false">R57-M57</f>
        <v>63</v>
      </c>
      <c r="AF57" s="8" t="n">
        <f aca="false">R57-N57</f>
        <v>63</v>
      </c>
      <c r="AG57" s="8" t="n">
        <f aca="false">R57-O57</f>
        <v>62</v>
      </c>
      <c r="AH57" s="8" t="n">
        <f aca="false">R57-P57</f>
        <v>63</v>
      </c>
      <c r="AI57" s="8" t="n">
        <f aca="false">R57-Q57</f>
        <v>62</v>
      </c>
    </row>
    <row r="58" customFormat="false" ht="15" hidden="false" customHeight="false" outlineLevel="0" collapsed="false">
      <c r="A58" s="7" t="s">
        <v>144</v>
      </c>
      <c r="B58" s="9" t="n">
        <v>3</v>
      </c>
      <c r="C58" s="9" t="n">
        <v>3</v>
      </c>
      <c r="D58" s="9" t="n">
        <v>2</v>
      </c>
      <c r="E58" s="9" t="n">
        <v>2</v>
      </c>
      <c r="F58" s="9" t="n">
        <v>4</v>
      </c>
      <c r="G58" s="9" t="n">
        <v>5</v>
      </c>
      <c r="H58" s="9" t="n">
        <v>5</v>
      </c>
      <c r="I58" s="9" t="n">
        <v>5</v>
      </c>
      <c r="J58" s="9" t="n">
        <v>3</v>
      </c>
      <c r="K58" s="9" t="n">
        <v>5</v>
      </c>
      <c r="L58" s="9" t="n">
        <v>5</v>
      </c>
      <c r="M58" s="9" t="n">
        <v>5</v>
      </c>
      <c r="N58" s="9" t="n">
        <v>5</v>
      </c>
      <c r="O58" s="9" t="n">
        <v>4</v>
      </c>
      <c r="P58" s="9" t="n">
        <v>3</v>
      </c>
      <c r="Q58" s="9" t="n">
        <v>5</v>
      </c>
      <c r="R58" s="8" t="n">
        <f aca="false">SUM(B58:Q58)</f>
        <v>64</v>
      </c>
      <c r="S58" s="8" t="str">
        <f aca="false">IF(R58&gt;=5_項目分析!$B$6,"高",IF(R58&lt;=5_項目分析!$B$5,"低",""))</f>
        <v/>
      </c>
      <c r="T58" s="8" t="n">
        <f aca="false">R58-B58</f>
        <v>61</v>
      </c>
      <c r="U58" s="8" t="n">
        <f aca="false">R58-C58</f>
        <v>61</v>
      </c>
      <c r="V58" s="8" t="n">
        <f aca="false">R58-D58</f>
        <v>62</v>
      </c>
      <c r="W58" s="8" t="n">
        <f aca="false">R58-E58</f>
        <v>62</v>
      </c>
      <c r="X58" s="8" t="n">
        <f aca="false">R58-F58</f>
        <v>60</v>
      </c>
      <c r="Y58" s="8" t="n">
        <f aca="false">R58-G58</f>
        <v>59</v>
      </c>
      <c r="Z58" s="8" t="n">
        <f aca="false">R58-H58</f>
        <v>59</v>
      </c>
      <c r="AA58" s="8" t="n">
        <f aca="false">R58-I58</f>
        <v>59</v>
      </c>
      <c r="AB58" s="8" t="n">
        <f aca="false">R58-J58</f>
        <v>61</v>
      </c>
      <c r="AC58" s="8" t="n">
        <f aca="false">R58-K58</f>
        <v>59</v>
      </c>
      <c r="AD58" s="8" t="n">
        <f aca="false">R58-L58</f>
        <v>59</v>
      </c>
      <c r="AE58" s="8" t="n">
        <f aca="false">R58-M58</f>
        <v>59</v>
      </c>
      <c r="AF58" s="8" t="n">
        <f aca="false">R58-N58</f>
        <v>59</v>
      </c>
      <c r="AG58" s="8" t="n">
        <f aca="false">R58-O58</f>
        <v>60</v>
      </c>
      <c r="AH58" s="8" t="n">
        <f aca="false">R58-P58</f>
        <v>61</v>
      </c>
      <c r="AI58" s="8" t="n">
        <f aca="false">R58-Q58</f>
        <v>59</v>
      </c>
    </row>
    <row r="59" customFormat="false" ht="15" hidden="false" customHeight="false" outlineLevel="0" collapsed="false">
      <c r="A59" s="7" t="s">
        <v>145</v>
      </c>
      <c r="B59" s="9" t="n">
        <v>4</v>
      </c>
      <c r="C59" s="9" t="n">
        <v>4</v>
      </c>
      <c r="D59" s="9" t="n">
        <v>4</v>
      </c>
      <c r="E59" s="9" t="n">
        <v>5</v>
      </c>
      <c r="F59" s="9" t="n">
        <v>4</v>
      </c>
      <c r="G59" s="9" t="n">
        <v>5</v>
      </c>
      <c r="H59" s="9" t="n">
        <v>5</v>
      </c>
      <c r="I59" s="9" t="n">
        <v>5</v>
      </c>
      <c r="J59" s="9" t="n">
        <v>4</v>
      </c>
      <c r="K59" s="9" t="n">
        <v>5</v>
      </c>
      <c r="L59" s="9" t="n">
        <v>5</v>
      </c>
      <c r="M59" s="9" t="n">
        <v>5</v>
      </c>
      <c r="N59" s="9" t="n">
        <v>5</v>
      </c>
      <c r="O59" s="9" t="n">
        <v>4</v>
      </c>
      <c r="P59" s="9" t="n">
        <v>4</v>
      </c>
      <c r="Q59" s="9" t="n">
        <v>5</v>
      </c>
      <c r="R59" s="8" t="n">
        <f aca="false">SUM(B59:Q59)</f>
        <v>73</v>
      </c>
      <c r="S59" s="8" t="str">
        <f aca="false">IF(R59&gt;=5_項目分析!$B$6,"高",IF(R59&lt;=5_項目分析!$B$5,"低",""))</f>
        <v>高</v>
      </c>
      <c r="T59" s="8" t="n">
        <f aca="false">R59-B59</f>
        <v>69</v>
      </c>
      <c r="U59" s="8" t="n">
        <f aca="false">R59-C59</f>
        <v>69</v>
      </c>
      <c r="V59" s="8" t="n">
        <f aca="false">R59-D59</f>
        <v>69</v>
      </c>
      <c r="W59" s="8" t="n">
        <f aca="false">R59-E59</f>
        <v>68</v>
      </c>
      <c r="X59" s="8" t="n">
        <f aca="false">R59-F59</f>
        <v>69</v>
      </c>
      <c r="Y59" s="8" t="n">
        <f aca="false">R59-G59</f>
        <v>68</v>
      </c>
      <c r="Z59" s="8" t="n">
        <f aca="false">R59-H59</f>
        <v>68</v>
      </c>
      <c r="AA59" s="8" t="n">
        <f aca="false">R59-I59</f>
        <v>68</v>
      </c>
      <c r="AB59" s="8" t="n">
        <f aca="false">R59-J59</f>
        <v>69</v>
      </c>
      <c r="AC59" s="8" t="n">
        <f aca="false">R59-K59</f>
        <v>68</v>
      </c>
      <c r="AD59" s="8" t="n">
        <f aca="false">R59-L59</f>
        <v>68</v>
      </c>
      <c r="AE59" s="8" t="n">
        <f aca="false">R59-M59</f>
        <v>68</v>
      </c>
      <c r="AF59" s="8" t="n">
        <f aca="false">R59-N59</f>
        <v>68</v>
      </c>
      <c r="AG59" s="8" t="n">
        <f aca="false">R59-O59</f>
        <v>69</v>
      </c>
      <c r="AH59" s="8" t="n">
        <f aca="false">R59-P59</f>
        <v>69</v>
      </c>
      <c r="AI59" s="8" t="n">
        <f aca="false">R59-Q59</f>
        <v>68</v>
      </c>
    </row>
    <row r="60" customFormat="false" ht="15" hidden="false" customHeight="false" outlineLevel="0" collapsed="false">
      <c r="A60" s="7" t="s">
        <v>146</v>
      </c>
      <c r="B60" s="9" t="n">
        <v>5</v>
      </c>
      <c r="C60" s="9" t="n">
        <v>5</v>
      </c>
      <c r="D60" s="9" t="n">
        <v>5</v>
      </c>
      <c r="E60" s="9" t="n">
        <v>5</v>
      </c>
      <c r="F60" s="9" t="n">
        <v>5</v>
      </c>
      <c r="G60" s="9" t="n">
        <v>5</v>
      </c>
      <c r="H60" s="9" t="n">
        <v>5</v>
      </c>
      <c r="I60" s="9" t="n">
        <v>5</v>
      </c>
      <c r="J60" s="9" t="n">
        <v>2</v>
      </c>
      <c r="K60" s="9" t="n">
        <v>5</v>
      </c>
      <c r="L60" s="9" t="n">
        <v>5</v>
      </c>
      <c r="M60" s="9" t="n">
        <v>5</v>
      </c>
      <c r="N60" s="9" t="n">
        <v>5</v>
      </c>
      <c r="O60" s="9" t="n">
        <v>5</v>
      </c>
      <c r="P60" s="9" t="n">
        <v>5</v>
      </c>
      <c r="Q60" s="9" t="n">
        <v>5</v>
      </c>
      <c r="R60" s="8" t="n">
        <f aca="false">SUM(B60:Q60)</f>
        <v>77</v>
      </c>
      <c r="S60" s="8" t="str">
        <f aca="false">IF(R60&gt;=5_項目分析!$B$6,"高",IF(R60&lt;=5_項目分析!$B$5,"低",""))</f>
        <v>高</v>
      </c>
      <c r="T60" s="8" t="n">
        <f aca="false">R60-B60</f>
        <v>72</v>
      </c>
      <c r="U60" s="8" t="n">
        <f aca="false">R60-C60</f>
        <v>72</v>
      </c>
      <c r="V60" s="8" t="n">
        <f aca="false">R60-D60</f>
        <v>72</v>
      </c>
      <c r="W60" s="8" t="n">
        <f aca="false">R60-E60</f>
        <v>72</v>
      </c>
      <c r="X60" s="8" t="n">
        <f aca="false">R60-F60</f>
        <v>72</v>
      </c>
      <c r="Y60" s="8" t="n">
        <f aca="false">R60-G60</f>
        <v>72</v>
      </c>
      <c r="Z60" s="8" t="n">
        <f aca="false">R60-H60</f>
        <v>72</v>
      </c>
      <c r="AA60" s="8" t="n">
        <f aca="false">R60-I60</f>
        <v>72</v>
      </c>
      <c r="AB60" s="8" t="n">
        <f aca="false">R60-J60</f>
        <v>75</v>
      </c>
      <c r="AC60" s="8" t="n">
        <f aca="false">R60-K60</f>
        <v>72</v>
      </c>
      <c r="AD60" s="8" t="n">
        <f aca="false">R60-L60</f>
        <v>72</v>
      </c>
      <c r="AE60" s="8" t="n">
        <f aca="false">R60-M60</f>
        <v>72</v>
      </c>
      <c r="AF60" s="8" t="n">
        <f aca="false">R60-N60</f>
        <v>72</v>
      </c>
      <c r="AG60" s="8" t="n">
        <f aca="false">R60-O60</f>
        <v>72</v>
      </c>
      <c r="AH60" s="8" t="n">
        <f aca="false">R60-P60</f>
        <v>72</v>
      </c>
      <c r="AI60" s="8" t="n">
        <f aca="false">R60-Q60</f>
        <v>72</v>
      </c>
    </row>
    <row r="61" customFormat="false" ht="15" hidden="false" customHeight="false" outlineLevel="0" collapsed="false">
      <c r="A61" s="7" t="s">
        <v>147</v>
      </c>
      <c r="B61" s="9" t="n">
        <v>4</v>
      </c>
      <c r="C61" s="9" t="n">
        <v>3</v>
      </c>
      <c r="D61" s="9" t="n">
        <v>4</v>
      </c>
      <c r="E61" s="9" t="n">
        <v>3</v>
      </c>
      <c r="F61" s="9" t="n">
        <v>3</v>
      </c>
      <c r="G61" s="9" t="n">
        <v>4</v>
      </c>
      <c r="H61" s="9" t="n">
        <v>3</v>
      </c>
      <c r="I61" s="9" t="n">
        <v>5</v>
      </c>
      <c r="J61" s="9" t="n">
        <v>2</v>
      </c>
      <c r="K61" s="9" t="n">
        <v>5</v>
      </c>
      <c r="L61" s="9" t="n">
        <v>4</v>
      </c>
      <c r="M61" s="9" t="n">
        <v>4</v>
      </c>
      <c r="N61" s="9" t="n">
        <v>3</v>
      </c>
      <c r="O61" s="9" t="n">
        <v>3</v>
      </c>
      <c r="P61" s="9" t="n">
        <v>3</v>
      </c>
      <c r="Q61" s="9" t="n">
        <v>3</v>
      </c>
      <c r="R61" s="8" t="n">
        <f aca="false">SUM(B61:Q61)</f>
        <v>56</v>
      </c>
      <c r="S61" s="8" t="str">
        <f aca="false">IF(R61&gt;=5_項目分析!$B$6,"高",IF(R61&lt;=5_項目分析!$B$5,"低",""))</f>
        <v>低</v>
      </c>
      <c r="T61" s="8" t="n">
        <f aca="false">R61-B61</f>
        <v>52</v>
      </c>
      <c r="U61" s="8" t="n">
        <f aca="false">R61-C61</f>
        <v>53</v>
      </c>
      <c r="V61" s="8" t="n">
        <f aca="false">R61-D61</f>
        <v>52</v>
      </c>
      <c r="W61" s="8" t="n">
        <f aca="false">R61-E61</f>
        <v>53</v>
      </c>
      <c r="X61" s="8" t="n">
        <f aca="false">R61-F61</f>
        <v>53</v>
      </c>
      <c r="Y61" s="8" t="n">
        <f aca="false">R61-G61</f>
        <v>52</v>
      </c>
      <c r="Z61" s="8" t="n">
        <f aca="false">R61-H61</f>
        <v>53</v>
      </c>
      <c r="AA61" s="8" t="n">
        <f aca="false">R61-I61</f>
        <v>51</v>
      </c>
      <c r="AB61" s="8" t="n">
        <f aca="false">R61-J61</f>
        <v>54</v>
      </c>
      <c r="AC61" s="8" t="n">
        <f aca="false">R61-K61</f>
        <v>51</v>
      </c>
      <c r="AD61" s="8" t="n">
        <f aca="false">R61-L61</f>
        <v>52</v>
      </c>
      <c r="AE61" s="8" t="n">
        <f aca="false">R61-M61</f>
        <v>52</v>
      </c>
      <c r="AF61" s="8" t="n">
        <f aca="false">R61-N61</f>
        <v>53</v>
      </c>
      <c r="AG61" s="8" t="n">
        <f aca="false">R61-O61</f>
        <v>53</v>
      </c>
      <c r="AH61" s="8" t="n">
        <f aca="false">R61-P61</f>
        <v>53</v>
      </c>
      <c r="AI61" s="8" t="n">
        <f aca="false">R61-Q61</f>
        <v>53</v>
      </c>
    </row>
    <row r="62" customFormat="false" ht="15" hidden="false" customHeight="false" outlineLevel="0" collapsed="false">
      <c r="A62" s="7" t="s">
        <v>148</v>
      </c>
      <c r="B62" s="9" t="n">
        <v>1</v>
      </c>
      <c r="C62" s="9" t="n">
        <v>2</v>
      </c>
      <c r="D62" s="9" t="n">
        <v>2</v>
      </c>
      <c r="E62" s="9" t="n">
        <v>1</v>
      </c>
      <c r="F62" s="9" t="n">
        <v>2</v>
      </c>
      <c r="G62" s="9" t="n">
        <v>2</v>
      </c>
      <c r="H62" s="9" t="n">
        <v>1</v>
      </c>
      <c r="I62" s="9" t="n">
        <v>3</v>
      </c>
      <c r="J62" s="9" t="n">
        <v>4</v>
      </c>
      <c r="K62" s="9" t="n">
        <v>2</v>
      </c>
      <c r="L62" s="9" t="n">
        <v>2</v>
      </c>
      <c r="M62" s="9" t="n">
        <v>1</v>
      </c>
      <c r="N62" s="9" t="n">
        <v>2</v>
      </c>
      <c r="O62" s="9" t="n">
        <v>1</v>
      </c>
      <c r="P62" s="9" t="n">
        <v>3</v>
      </c>
      <c r="Q62" s="9" t="n">
        <v>5</v>
      </c>
      <c r="R62" s="8" t="n">
        <f aca="false">SUM(B62:Q62)</f>
        <v>34</v>
      </c>
      <c r="S62" s="8" t="str">
        <f aca="false">IF(R62&gt;=5_項目分析!$B$6,"高",IF(R62&lt;=5_項目分析!$B$5,"低",""))</f>
        <v>低</v>
      </c>
      <c r="T62" s="8" t="n">
        <f aca="false">R62-B62</f>
        <v>33</v>
      </c>
      <c r="U62" s="8" t="n">
        <f aca="false">R62-C62</f>
        <v>32</v>
      </c>
      <c r="V62" s="8" t="n">
        <f aca="false">R62-D62</f>
        <v>32</v>
      </c>
      <c r="W62" s="8" t="n">
        <f aca="false">R62-E62</f>
        <v>33</v>
      </c>
      <c r="X62" s="8" t="n">
        <f aca="false">R62-F62</f>
        <v>32</v>
      </c>
      <c r="Y62" s="8" t="n">
        <f aca="false">R62-G62</f>
        <v>32</v>
      </c>
      <c r="Z62" s="8" t="n">
        <f aca="false">R62-H62</f>
        <v>33</v>
      </c>
      <c r="AA62" s="8" t="n">
        <f aca="false">R62-I62</f>
        <v>31</v>
      </c>
      <c r="AB62" s="8" t="n">
        <f aca="false">R62-J62</f>
        <v>30</v>
      </c>
      <c r="AC62" s="8" t="n">
        <f aca="false">R62-K62</f>
        <v>32</v>
      </c>
      <c r="AD62" s="8" t="n">
        <f aca="false">R62-L62</f>
        <v>32</v>
      </c>
      <c r="AE62" s="8" t="n">
        <f aca="false">R62-M62</f>
        <v>33</v>
      </c>
      <c r="AF62" s="8" t="n">
        <f aca="false">R62-N62</f>
        <v>32</v>
      </c>
      <c r="AG62" s="8" t="n">
        <f aca="false">R62-O62</f>
        <v>33</v>
      </c>
      <c r="AH62" s="8" t="n">
        <f aca="false">R62-P62</f>
        <v>31</v>
      </c>
      <c r="AI62" s="8" t="n">
        <f aca="false">R62-Q62</f>
        <v>29</v>
      </c>
    </row>
    <row r="63" customFormat="false" ht="15" hidden="false" customHeight="false" outlineLevel="0" collapsed="false">
      <c r="A63" s="7" t="s">
        <v>149</v>
      </c>
      <c r="B63" s="9" t="n">
        <v>4</v>
      </c>
      <c r="C63" s="9" t="n">
        <v>5</v>
      </c>
      <c r="D63" s="9" t="n">
        <v>4</v>
      </c>
      <c r="E63" s="9" t="n">
        <v>4</v>
      </c>
      <c r="F63" s="9" t="n">
        <v>4</v>
      </c>
      <c r="G63" s="9" t="n">
        <v>5</v>
      </c>
      <c r="H63" s="9" t="n">
        <v>4</v>
      </c>
      <c r="I63" s="9" t="n">
        <v>4</v>
      </c>
      <c r="J63" s="9" t="n">
        <v>3</v>
      </c>
      <c r="K63" s="9" t="n">
        <v>4</v>
      </c>
      <c r="L63" s="9" t="n">
        <v>5</v>
      </c>
      <c r="M63" s="9" t="n">
        <v>5</v>
      </c>
      <c r="N63" s="9" t="n">
        <v>5</v>
      </c>
      <c r="O63" s="9" t="n">
        <v>5</v>
      </c>
      <c r="P63" s="9" t="n">
        <v>5</v>
      </c>
      <c r="Q63" s="9" t="n">
        <v>5</v>
      </c>
      <c r="R63" s="8" t="n">
        <f aca="false">SUM(B63:Q63)</f>
        <v>71</v>
      </c>
      <c r="S63" s="8" t="str">
        <f aca="false">IF(R63&gt;=5_項目分析!$B$6,"高",IF(R63&lt;=5_項目分析!$B$5,"低",""))</f>
        <v>高</v>
      </c>
      <c r="T63" s="8" t="n">
        <f aca="false">R63-B63</f>
        <v>67</v>
      </c>
      <c r="U63" s="8" t="n">
        <f aca="false">R63-C63</f>
        <v>66</v>
      </c>
      <c r="V63" s="8" t="n">
        <f aca="false">R63-D63</f>
        <v>67</v>
      </c>
      <c r="W63" s="8" t="n">
        <f aca="false">R63-E63</f>
        <v>67</v>
      </c>
      <c r="X63" s="8" t="n">
        <f aca="false">R63-F63</f>
        <v>67</v>
      </c>
      <c r="Y63" s="8" t="n">
        <f aca="false">R63-G63</f>
        <v>66</v>
      </c>
      <c r="Z63" s="8" t="n">
        <f aca="false">R63-H63</f>
        <v>67</v>
      </c>
      <c r="AA63" s="8" t="n">
        <f aca="false">R63-I63</f>
        <v>67</v>
      </c>
      <c r="AB63" s="8" t="n">
        <f aca="false">R63-J63</f>
        <v>68</v>
      </c>
      <c r="AC63" s="8" t="n">
        <f aca="false">R63-K63</f>
        <v>67</v>
      </c>
      <c r="AD63" s="8" t="n">
        <f aca="false">R63-L63</f>
        <v>66</v>
      </c>
      <c r="AE63" s="8" t="n">
        <f aca="false">R63-M63</f>
        <v>66</v>
      </c>
      <c r="AF63" s="8" t="n">
        <f aca="false">R63-N63</f>
        <v>66</v>
      </c>
      <c r="AG63" s="8" t="n">
        <f aca="false">R63-O63</f>
        <v>66</v>
      </c>
      <c r="AH63" s="8" t="n">
        <f aca="false">R63-P63</f>
        <v>66</v>
      </c>
      <c r="AI63" s="8" t="n">
        <f aca="false">R63-Q63</f>
        <v>66</v>
      </c>
    </row>
    <row r="64" customFormat="false" ht="15" hidden="false" customHeight="false" outlineLevel="0" collapsed="false">
      <c r="A64" s="7" t="s">
        <v>150</v>
      </c>
      <c r="B64" s="9" t="n">
        <v>4</v>
      </c>
      <c r="C64" s="9" t="n">
        <v>3</v>
      </c>
      <c r="D64" s="9" t="n">
        <v>3</v>
      </c>
      <c r="E64" s="9" t="n">
        <v>3</v>
      </c>
      <c r="F64" s="9" t="n">
        <v>3</v>
      </c>
      <c r="G64" s="9" t="n">
        <v>3</v>
      </c>
      <c r="H64" s="9" t="n">
        <v>4</v>
      </c>
      <c r="I64" s="9" t="n">
        <v>3</v>
      </c>
      <c r="J64" s="9" t="n">
        <v>4</v>
      </c>
      <c r="K64" s="9" t="n">
        <v>4</v>
      </c>
      <c r="L64" s="9" t="n">
        <v>5</v>
      </c>
      <c r="M64" s="9" t="n">
        <v>4</v>
      </c>
      <c r="N64" s="9" t="n">
        <v>3</v>
      </c>
      <c r="O64" s="9" t="n">
        <v>4</v>
      </c>
      <c r="P64" s="9" t="n">
        <v>3</v>
      </c>
      <c r="Q64" s="9" t="n">
        <v>5</v>
      </c>
      <c r="R64" s="8" t="n">
        <f aca="false">SUM(B64:Q64)</f>
        <v>58</v>
      </c>
      <c r="S64" s="8" t="str">
        <f aca="false">IF(R64&gt;=5_項目分析!$B$6,"高",IF(R64&lt;=5_項目分析!$B$5,"低",""))</f>
        <v/>
      </c>
      <c r="T64" s="8" t="n">
        <f aca="false">R64-B64</f>
        <v>54</v>
      </c>
      <c r="U64" s="8" t="n">
        <f aca="false">R64-C64</f>
        <v>55</v>
      </c>
      <c r="V64" s="8" t="n">
        <f aca="false">R64-D64</f>
        <v>55</v>
      </c>
      <c r="W64" s="8" t="n">
        <f aca="false">R64-E64</f>
        <v>55</v>
      </c>
      <c r="X64" s="8" t="n">
        <f aca="false">R64-F64</f>
        <v>55</v>
      </c>
      <c r="Y64" s="8" t="n">
        <f aca="false">R64-G64</f>
        <v>55</v>
      </c>
      <c r="Z64" s="8" t="n">
        <f aca="false">R64-H64</f>
        <v>54</v>
      </c>
      <c r="AA64" s="8" t="n">
        <f aca="false">R64-I64</f>
        <v>55</v>
      </c>
      <c r="AB64" s="8" t="n">
        <f aca="false">R64-J64</f>
        <v>54</v>
      </c>
      <c r="AC64" s="8" t="n">
        <f aca="false">R64-K64</f>
        <v>54</v>
      </c>
      <c r="AD64" s="8" t="n">
        <f aca="false">R64-L64</f>
        <v>53</v>
      </c>
      <c r="AE64" s="8" t="n">
        <f aca="false">R64-M64</f>
        <v>54</v>
      </c>
      <c r="AF64" s="8" t="n">
        <f aca="false">R64-N64</f>
        <v>55</v>
      </c>
      <c r="AG64" s="8" t="n">
        <f aca="false">R64-O64</f>
        <v>54</v>
      </c>
      <c r="AH64" s="8" t="n">
        <f aca="false">R64-P64</f>
        <v>55</v>
      </c>
      <c r="AI64" s="8" t="n">
        <f aca="false">R64-Q64</f>
        <v>53</v>
      </c>
    </row>
    <row r="65" customFormat="false" ht="15" hidden="false" customHeight="false" outlineLevel="0" collapsed="false">
      <c r="A65" s="7" t="s">
        <v>151</v>
      </c>
      <c r="B65" s="9" t="n">
        <v>5</v>
      </c>
      <c r="C65" s="9" t="n">
        <v>5</v>
      </c>
      <c r="D65" s="9" t="n">
        <v>5</v>
      </c>
      <c r="E65" s="9" t="n">
        <v>5</v>
      </c>
      <c r="F65" s="9" t="n">
        <v>5</v>
      </c>
      <c r="G65" s="9" t="n">
        <v>5</v>
      </c>
      <c r="H65" s="9" t="n">
        <v>4</v>
      </c>
      <c r="I65" s="9" t="n">
        <v>5</v>
      </c>
      <c r="J65" s="9" t="n">
        <v>4</v>
      </c>
      <c r="K65" s="9" t="n">
        <v>5</v>
      </c>
      <c r="L65" s="9" t="n">
        <v>5</v>
      </c>
      <c r="M65" s="9" t="n">
        <v>5</v>
      </c>
      <c r="N65" s="9" t="n">
        <v>4</v>
      </c>
      <c r="O65" s="9" t="n">
        <v>4</v>
      </c>
      <c r="P65" s="9" t="n">
        <v>5</v>
      </c>
      <c r="Q65" s="9" t="n">
        <v>5</v>
      </c>
      <c r="R65" s="8" t="n">
        <f aca="false">SUM(B65:Q65)</f>
        <v>76</v>
      </c>
      <c r="S65" s="8" t="str">
        <f aca="false">IF(R65&gt;=5_項目分析!$B$6,"高",IF(R65&lt;=5_項目分析!$B$5,"低",""))</f>
        <v>高</v>
      </c>
      <c r="T65" s="8" t="n">
        <f aca="false">R65-B65</f>
        <v>71</v>
      </c>
      <c r="U65" s="8" t="n">
        <f aca="false">R65-C65</f>
        <v>71</v>
      </c>
      <c r="V65" s="8" t="n">
        <f aca="false">R65-D65</f>
        <v>71</v>
      </c>
      <c r="W65" s="8" t="n">
        <f aca="false">R65-E65</f>
        <v>71</v>
      </c>
      <c r="X65" s="8" t="n">
        <f aca="false">R65-F65</f>
        <v>71</v>
      </c>
      <c r="Y65" s="8" t="n">
        <f aca="false">R65-G65</f>
        <v>71</v>
      </c>
      <c r="Z65" s="8" t="n">
        <f aca="false">R65-H65</f>
        <v>72</v>
      </c>
      <c r="AA65" s="8" t="n">
        <f aca="false">R65-I65</f>
        <v>71</v>
      </c>
      <c r="AB65" s="8" t="n">
        <f aca="false">R65-J65</f>
        <v>72</v>
      </c>
      <c r="AC65" s="8" t="n">
        <f aca="false">R65-K65</f>
        <v>71</v>
      </c>
      <c r="AD65" s="8" t="n">
        <f aca="false">R65-L65</f>
        <v>71</v>
      </c>
      <c r="AE65" s="8" t="n">
        <f aca="false">R65-M65</f>
        <v>71</v>
      </c>
      <c r="AF65" s="8" t="n">
        <f aca="false">R65-N65</f>
        <v>72</v>
      </c>
      <c r="AG65" s="8" t="n">
        <f aca="false">R65-O65</f>
        <v>72</v>
      </c>
      <c r="AH65" s="8" t="n">
        <f aca="false">R65-P65</f>
        <v>71</v>
      </c>
      <c r="AI65" s="8" t="n">
        <f aca="false">R65-Q65</f>
        <v>71</v>
      </c>
    </row>
    <row r="66" customFormat="false" ht="15" hidden="false" customHeight="false" outlineLevel="0" collapsed="false">
      <c r="A66" s="7" t="s">
        <v>152</v>
      </c>
      <c r="B66" s="9" t="n">
        <v>4</v>
      </c>
      <c r="C66" s="9" t="n">
        <v>4</v>
      </c>
      <c r="D66" s="9" t="n">
        <v>4</v>
      </c>
      <c r="E66" s="9" t="n">
        <v>3</v>
      </c>
      <c r="F66" s="9" t="n">
        <v>3</v>
      </c>
      <c r="G66" s="9" t="n">
        <v>4</v>
      </c>
      <c r="H66" s="9" t="n">
        <v>4</v>
      </c>
      <c r="I66" s="9" t="n">
        <v>2</v>
      </c>
      <c r="J66" s="9" t="n">
        <v>4</v>
      </c>
      <c r="K66" s="9" t="n">
        <v>2</v>
      </c>
      <c r="L66" s="9" t="n">
        <v>4</v>
      </c>
      <c r="M66" s="9" t="n">
        <v>2</v>
      </c>
      <c r="N66" s="9" t="n">
        <v>3</v>
      </c>
      <c r="O66" s="9" t="n">
        <v>2</v>
      </c>
      <c r="P66" s="9" t="n">
        <v>4</v>
      </c>
      <c r="Q66" s="9" t="n">
        <v>5</v>
      </c>
      <c r="R66" s="8" t="n">
        <f aca="false">SUM(B66:Q66)</f>
        <v>54</v>
      </c>
      <c r="S66" s="8" t="str">
        <f aca="false">IF(R66&gt;=5_項目分析!$B$6,"高",IF(R66&lt;=5_項目分析!$B$5,"低",""))</f>
        <v>低</v>
      </c>
      <c r="T66" s="8" t="n">
        <f aca="false">R66-B66</f>
        <v>50</v>
      </c>
      <c r="U66" s="8" t="n">
        <f aca="false">R66-C66</f>
        <v>50</v>
      </c>
      <c r="V66" s="8" t="n">
        <f aca="false">R66-D66</f>
        <v>50</v>
      </c>
      <c r="W66" s="8" t="n">
        <f aca="false">R66-E66</f>
        <v>51</v>
      </c>
      <c r="X66" s="8" t="n">
        <f aca="false">R66-F66</f>
        <v>51</v>
      </c>
      <c r="Y66" s="8" t="n">
        <f aca="false">R66-G66</f>
        <v>50</v>
      </c>
      <c r="Z66" s="8" t="n">
        <f aca="false">R66-H66</f>
        <v>50</v>
      </c>
      <c r="AA66" s="8" t="n">
        <f aca="false">R66-I66</f>
        <v>52</v>
      </c>
      <c r="AB66" s="8" t="n">
        <f aca="false">R66-J66</f>
        <v>50</v>
      </c>
      <c r="AC66" s="8" t="n">
        <f aca="false">R66-K66</f>
        <v>52</v>
      </c>
      <c r="AD66" s="8" t="n">
        <f aca="false">R66-L66</f>
        <v>50</v>
      </c>
      <c r="AE66" s="8" t="n">
        <f aca="false">R66-M66</f>
        <v>52</v>
      </c>
      <c r="AF66" s="8" t="n">
        <f aca="false">R66-N66</f>
        <v>51</v>
      </c>
      <c r="AG66" s="8" t="n">
        <f aca="false">R66-O66</f>
        <v>52</v>
      </c>
      <c r="AH66" s="8" t="n">
        <f aca="false">R66-P66</f>
        <v>50</v>
      </c>
      <c r="AI66" s="8" t="n">
        <f aca="false">R66-Q66</f>
        <v>49</v>
      </c>
    </row>
    <row r="67" customFormat="false" ht="15" hidden="false" customHeight="false" outlineLevel="0" collapsed="false">
      <c r="A67" s="7" t="s">
        <v>153</v>
      </c>
      <c r="B67" s="9" t="n">
        <v>3</v>
      </c>
      <c r="C67" s="9" t="n">
        <v>3</v>
      </c>
      <c r="D67" s="9" t="n">
        <v>3</v>
      </c>
      <c r="E67" s="9" t="n">
        <v>4</v>
      </c>
      <c r="F67" s="9" t="n">
        <v>3</v>
      </c>
      <c r="G67" s="9" t="n">
        <v>4</v>
      </c>
      <c r="H67" s="9" t="n">
        <v>3</v>
      </c>
      <c r="I67" s="9" t="n">
        <v>2</v>
      </c>
      <c r="J67" s="9" t="n">
        <v>3</v>
      </c>
      <c r="K67" s="9" t="n">
        <v>3</v>
      </c>
      <c r="L67" s="9" t="n">
        <v>2</v>
      </c>
      <c r="M67" s="9" t="n">
        <v>3</v>
      </c>
      <c r="N67" s="9" t="n">
        <v>3</v>
      </c>
      <c r="O67" s="9" t="n">
        <v>4</v>
      </c>
      <c r="P67" s="9" t="n">
        <v>3</v>
      </c>
      <c r="Q67" s="9" t="n">
        <v>5</v>
      </c>
      <c r="R67" s="8" t="n">
        <f aca="false">SUM(B67:Q67)</f>
        <v>51</v>
      </c>
      <c r="S67" s="8" t="str">
        <f aca="false">IF(R67&gt;=5_項目分析!$B$6,"高",IF(R67&lt;=5_項目分析!$B$5,"低",""))</f>
        <v>低</v>
      </c>
      <c r="T67" s="8" t="n">
        <f aca="false">R67-B67</f>
        <v>48</v>
      </c>
      <c r="U67" s="8" t="n">
        <f aca="false">R67-C67</f>
        <v>48</v>
      </c>
      <c r="V67" s="8" t="n">
        <f aca="false">R67-D67</f>
        <v>48</v>
      </c>
      <c r="W67" s="8" t="n">
        <f aca="false">R67-E67</f>
        <v>47</v>
      </c>
      <c r="X67" s="8" t="n">
        <f aca="false">R67-F67</f>
        <v>48</v>
      </c>
      <c r="Y67" s="8" t="n">
        <f aca="false">R67-G67</f>
        <v>47</v>
      </c>
      <c r="Z67" s="8" t="n">
        <f aca="false">R67-H67</f>
        <v>48</v>
      </c>
      <c r="AA67" s="8" t="n">
        <f aca="false">R67-I67</f>
        <v>49</v>
      </c>
      <c r="AB67" s="8" t="n">
        <f aca="false">R67-J67</f>
        <v>48</v>
      </c>
      <c r="AC67" s="8" t="n">
        <f aca="false">R67-K67</f>
        <v>48</v>
      </c>
      <c r="AD67" s="8" t="n">
        <f aca="false">R67-L67</f>
        <v>49</v>
      </c>
      <c r="AE67" s="8" t="n">
        <f aca="false">R67-M67</f>
        <v>48</v>
      </c>
      <c r="AF67" s="8" t="n">
        <f aca="false">R67-N67</f>
        <v>48</v>
      </c>
      <c r="AG67" s="8" t="n">
        <f aca="false">R67-O67</f>
        <v>47</v>
      </c>
      <c r="AH67" s="8" t="n">
        <f aca="false">R67-P67</f>
        <v>48</v>
      </c>
      <c r="AI67" s="8" t="n">
        <f aca="false">R67-Q67</f>
        <v>46</v>
      </c>
    </row>
    <row r="68" customFormat="false" ht="15" hidden="false" customHeight="false" outlineLevel="0" collapsed="false">
      <c r="A68" s="7" t="s">
        <v>154</v>
      </c>
      <c r="B68" s="9" t="n">
        <v>3</v>
      </c>
      <c r="C68" s="9" t="n">
        <v>3</v>
      </c>
      <c r="D68" s="9" t="n">
        <v>4</v>
      </c>
      <c r="E68" s="9" t="n">
        <v>4</v>
      </c>
      <c r="F68" s="9" t="n">
        <v>3</v>
      </c>
      <c r="G68" s="9" t="n">
        <v>5</v>
      </c>
      <c r="H68" s="9" t="n">
        <v>4</v>
      </c>
      <c r="I68" s="9" t="n">
        <v>4</v>
      </c>
      <c r="J68" s="9" t="n">
        <v>3</v>
      </c>
      <c r="K68" s="9" t="n">
        <v>4</v>
      </c>
      <c r="L68" s="9" t="n">
        <v>4</v>
      </c>
      <c r="M68" s="9" t="n">
        <v>4</v>
      </c>
      <c r="N68" s="9" t="n">
        <v>4</v>
      </c>
      <c r="O68" s="9" t="n">
        <v>4</v>
      </c>
      <c r="P68" s="9" t="n">
        <v>5</v>
      </c>
      <c r="Q68" s="9" t="n">
        <v>5</v>
      </c>
      <c r="R68" s="8" t="n">
        <f aca="false">SUM(B68:Q68)</f>
        <v>63</v>
      </c>
      <c r="S68" s="8" t="str">
        <f aca="false">IF(R68&gt;=5_項目分析!$B$6,"高",IF(R68&lt;=5_項目分析!$B$5,"低",""))</f>
        <v/>
      </c>
      <c r="T68" s="8" t="n">
        <f aca="false">R68-B68</f>
        <v>60</v>
      </c>
      <c r="U68" s="8" t="n">
        <f aca="false">R68-C68</f>
        <v>60</v>
      </c>
      <c r="V68" s="8" t="n">
        <f aca="false">R68-D68</f>
        <v>59</v>
      </c>
      <c r="W68" s="8" t="n">
        <f aca="false">R68-E68</f>
        <v>59</v>
      </c>
      <c r="X68" s="8" t="n">
        <f aca="false">R68-F68</f>
        <v>60</v>
      </c>
      <c r="Y68" s="8" t="n">
        <f aca="false">R68-G68</f>
        <v>58</v>
      </c>
      <c r="Z68" s="8" t="n">
        <f aca="false">R68-H68</f>
        <v>59</v>
      </c>
      <c r="AA68" s="8" t="n">
        <f aca="false">R68-I68</f>
        <v>59</v>
      </c>
      <c r="AB68" s="8" t="n">
        <f aca="false">R68-J68</f>
        <v>60</v>
      </c>
      <c r="AC68" s="8" t="n">
        <f aca="false">R68-K68</f>
        <v>59</v>
      </c>
      <c r="AD68" s="8" t="n">
        <f aca="false">R68-L68</f>
        <v>59</v>
      </c>
      <c r="AE68" s="8" t="n">
        <f aca="false">R68-M68</f>
        <v>59</v>
      </c>
      <c r="AF68" s="8" t="n">
        <f aca="false">R68-N68</f>
        <v>59</v>
      </c>
      <c r="AG68" s="8" t="n">
        <f aca="false">R68-O68</f>
        <v>59</v>
      </c>
      <c r="AH68" s="8" t="n">
        <f aca="false">R68-P68</f>
        <v>58</v>
      </c>
      <c r="AI68" s="8" t="n">
        <f aca="false">R68-Q68</f>
        <v>58</v>
      </c>
    </row>
    <row r="69" customFormat="false" ht="15" hidden="false" customHeight="false" outlineLevel="0" collapsed="false">
      <c r="A69" s="7" t="s">
        <v>155</v>
      </c>
      <c r="B69" s="9" t="n">
        <v>3</v>
      </c>
      <c r="C69" s="9" t="n">
        <v>1</v>
      </c>
      <c r="D69" s="9" t="n">
        <v>3</v>
      </c>
      <c r="E69" s="9" t="n">
        <v>3</v>
      </c>
      <c r="F69" s="9" t="n">
        <v>2</v>
      </c>
      <c r="G69" s="9" t="n">
        <v>1</v>
      </c>
      <c r="H69" s="9" t="n">
        <v>3</v>
      </c>
      <c r="I69" s="9" t="n">
        <v>1</v>
      </c>
      <c r="J69" s="9" t="n">
        <v>3</v>
      </c>
      <c r="K69" s="9" t="n">
        <v>2</v>
      </c>
      <c r="L69" s="9" t="n">
        <v>3</v>
      </c>
      <c r="M69" s="9" t="n">
        <v>4</v>
      </c>
      <c r="N69" s="9" t="n">
        <v>3</v>
      </c>
      <c r="O69" s="9" t="n">
        <v>4</v>
      </c>
      <c r="P69" s="9" t="n">
        <v>4</v>
      </c>
      <c r="Q69" s="9" t="n">
        <v>5</v>
      </c>
      <c r="R69" s="8" t="n">
        <f aca="false">SUM(B69:Q69)</f>
        <v>45</v>
      </c>
      <c r="S69" s="8" t="str">
        <f aca="false">IF(R69&gt;=5_項目分析!$B$6,"高",IF(R69&lt;=5_項目分析!$B$5,"低",""))</f>
        <v>低</v>
      </c>
      <c r="T69" s="8" t="n">
        <f aca="false">R69-B69</f>
        <v>42</v>
      </c>
      <c r="U69" s="8" t="n">
        <f aca="false">R69-C69</f>
        <v>44</v>
      </c>
      <c r="V69" s="8" t="n">
        <f aca="false">R69-D69</f>
        <v>42</v>
      </c>
      <c r="W69" s="8" t="n">
        <f aca="false">R69-E69</f>
        <v>42</v>
      </c>
      <c r="X69" s="8" t="n">
        <f aca="false">R69-F69</f>
        <v>43</v>
      </c>
      <c r="Y69" s="8" t="n">
        <f aca="false">R69-G69</f>
        <v>44</v>
      </c>
      <c r="Z69" s="8" t="n">
        <f aca="false">R69-H69</f>
        <v>42</v>
      </c>
      <c r="AA69" s="8" t="n">
        <f aca="false">R69-I69</f>
        <v>44</v>
      </c>
      <c r="AB69" s="8" t="n">
        <f aca="false">R69-J69</f>
        <v>42</v>
      </c>
      <c r="AC69" s="8" t="n">
        <f aca="false">R69-K69</f>
        <v>43</v>
      </c>
      <c r="AD69" s="8" t="n">
        <f aca="false">R69-L69</f>
        <v>42</v>
      </c>
      <c r="AE69" s="8" t="n">
        <f aca="false">R69-M69</f>
        <v>41</v>
      </c>
      <c r="AF69" s="8" t="n">
        <f aca="false">R69-N69</f>
        <v>42</v>
      </c>
      <c r="AG69" s="8" t="n">
        <f aca="false">R69-O69</f>
        <v>41</v>
      </c>
      <c r="AH69" s="8" t="n">
        <f aca="false">R69-P69</f>
        <v>41</v>
      </c>
      <c r="AI69" s="8" t="n">
        <f aca="false">R69-Q69</f>
        <v>40</v>
      </c>
    </row>
    <row r="70" customFormat="false" ht="15" hidden="false" customHeight="false" outlineLevel="0" collapsed="false">
      <c r="A70" s="7" t="s">
        <v>156</v>
      </c>
      <c r="B70" s="9" t="n">
        <v>4</v>
      </c>
      <c r="C70" s="9" t="n">
        <v>3</v>
      </c>
      <c r="D70" s="9" t="n">
        <v>3</v>
      </c>
      <c r="E70" s="9" t="n">
        <v>4</v>
      </c>
      <c r="F70" s="9" t="n">
        <v>4</v>
      </c>
      <c r="G70" s="9" t="n">
        <v>4</v>
      </c>
      <c r="H70" s="9" t="n">
        <v>3</v>
      </c>
      <c r="I70" s="9" t="n">
        <v>4</v>
      </c>
      <c r="J70" s="9" t="n">
        <v>4</v>
      </c>
      <c r="K70" s="9" t="n">
        <v>2</v>
      </c>
      <c r="L70" s="9" t="n">
        <v>4</v>
      </c>
      <c r="M70" s="9" t="n">
        <v>5</v>
      </c>
      <c r="N70" s="9" t="n">
        <v>3</v>
      </c>
      <c r="O70" s="9" t="n">
        <v>4</v>
      </c>
      <c r="P70" s="9" t="n">
        <v>3</v>
      </c>
      <c r="Q70" s="9" t="n">
        <v>5</v>
      </c>
      <c r="R70" s="8" t="n">
        <f aca="false">SUM(B70:Q70)</f>
        <v>59</v>
      </c>
      <c r="S70" s="8" t="str">
        <f aca="false">IF(R70&gt;=5_項目分析!$B$6,"高",IF(R70&lt;=5_項目分析!$B$5,"低",""))</f>
        <v/>
      </c>
      <c r="T70" s="8" t="n">
        <f aca="false">R70-B70</f>
        <v>55</v>
      </c>
      <c r="U70" s="8" t="n">
        <f aca="false">R70-C70</f>
        <v>56</v>
      </c>
      <c r="V70" s="8" t="n">
        <f aca="false">R70-D70</f>
        <v>56</v>
      </c>
      <c r="W70" s="8" t="n">
        <f aca="false">R70-E70</f>
        <v>55</v>
      </c>
      <c r="X70" s="8" t="n">
        <f aca="false">R70-F70</f>
        <v>55</v>
      </c>
      <c r="Y70" s="8" t="n">
        <f aca="false">R70-G70</f>
        <v>55</v>
      </c>
      <c r="Z70" s="8" t="n">
        <f aca="false">R70-H70</f>
        <v>56</v>
      </c>
      <c r="AA70" s="8" t="n">
        <f aca="false">R70-I70</f>
        <v>55</v>
      </c>
      <c r="AB70" s="8" t="n">
        <f aca="false">R70-J70</f>
        <v>55</v>
      </c>
      <c r="AC70" s="8" t="n">
        <f aca="false">R70-K70</f>
        <v>57</v>
      </c>
      <c r="AD70" s="8" t="n">
        <f aca="false">R70-L70</f>
        <v>55</v>
      </c>
      <c r="AE70" s="8" t="n">
        <f aca="false">R70-M70</f>
        <v>54</v>
      </c>
      <c r="AF70" s="8" t="n">
        <f aca="false">R70-N70</f>
        <v>56</v>
      </c>
      <c r="AG70" s="8" t="n">
        <f aca="false">R70-O70</f>
        <v>55</v>
      </c>
      <c r="AH70" s="8" t="n">
        <f aca="false">R70-P70</f>
        <v>56</v>
      </c>
      <c r="AI70" s="8" t="n">
        <f aca="false">R70-Q70</f>
        <v>54</v>
      </c>
    </row>
    <row r="71" customFormat="false" ht="15" hidden="false" customHeight="false" outlineLevel="0" collapsed="false">
      <c r="A71" s="7" t="s">
        <v>157</v>
      </c>
      <c r="B71" s="9" t="n">
        <v>4</v>
      </c>
      <c r="C71" s="9" t="n">
        <v>3</v>
      </c>
      <c r="D71" s="9" t="n">
        <v>3</v>
      </c>
      <c r="E71" s="9" t="n">
        <v>2</v>
      </c>
      <c r="F71" s="9" t="n">
        <v>3</v>
      </c>
      <c r="G71" s="9" t="n">
        <v>3</v>
      </c>
      <c r="H71" s="9" t="n">
        <v>3</v>
      </c>
      <c r="I71" s="9" t="n">
        <v>4</v>
      </c>
      <c r="J71" s="9" t="n">
        <v>4</v>
      </c>
      <c r="K71" s="9" t="n">
        <v>2</v>
      </c>
      <c r="L71" s="9" t="n">
        <v>3</v>
      </c>
      <c r="M71" s="9" t="n">
        <v>3</v>
      </c>
      <c r="N71" s="9" t="n">
        <v>2</v>
      </c>
      <c r="O71" s="9" t="n">
        <v>3</v>
      </c>
      <c r="P71" s="9" t="n">
        <v>3</v>
      </c>
      <c r="Q71" s="9" t="n">
        <v>5</v>
      </c>
      <c r="R71" s="8" t="n">
        <f aca="false">SUM(B71:Q71)</f>
        <v>50</v>
      </c>
      <c r="S71" s="8" t="str">
        <f aca="false">IF(R71&gt;=5_項目分析!$B$6,"高",IF(R71&lt;=5_項目分析!$B$5,"低",""))</f>
        <v>低</v>
      </c>
      <c r="T71" s="8" t="n">
        <f aca="false">R71-B71</f>
        <v>46</v>
      </c>
      <c r="U71" s="8" t="n">
        <f aca="false">R71-C71</f>
        <v>47</v>
      </c>
      <c r="V71" s="8" t="n">
        <f aca="false">R71-D71</f>
        <v>47</v>
      </c>
      <c r="W71" s="8" t="n">
        <f aca="false">R71-E71</f>
        <v>48</v>
      </c>
      <c r="X71" s="8" t="n">
        <f aca="false">R71-F71</f>
        <v>47</v>
      </c>
      <c r="Y71" s="8" t="n">
        <f aca="false">R71-G71</f>
        <v>47</v>
      </c>
      <c r="Z71" s="8" t="n">
        <f aca="false">R71-H71</f>
        <v>47</v>
      </c>
      <c r="AA71" s="8" t="n">
        <f aca="false">R71-I71</f>
        <v>46</v>
      </c>
      <c r="AB71" s="8" t="n">
        <f aca="false">R71-J71</f>
        <v>46</v>
      </c>
      <c r="AC71" s="8" t="n">
        <f aca="false">R71-K71</f>
        <v>48</v>
      </c>
      <c r="AD71" s="8" t="n">
        <f aca="false">R71-L71</f>
        <v>47</v>
      </c>
      <c r="AE71" s="8" t="n">
        <f aca="false">R71-M71</f>
        <v>47</v>
      </c>
      <c r="AF71" s="8" t="n">
        <f aca="false">R71-N71</f>
        <v>48</v>
      </c>
      <c r="AG71" s="8" t="n">
        <f aca="false">R71-O71</f>
        <v>47</v>
      </c>
      <c r="AH71" s="8" t="n">
        <f aca="false">R71-P71</f>
        <v>47</v>
      </c>
      <c r="AI71" s="8" t="n">
        <f aca="false">R71-Q71</f>
        <v>45</v>
      </c>
    </row>
    <row r="72" customFormat="false" ht="15" hidden="false" customHeight="false" outlineLevel="0" collapsed="false">
      <c r="A72" s="7" t="s">
        <v>158</v>
      </c>
      <c r="B72" s="9" t="n">
        <v>4</v>
      </c>
      <c r="C72" s="9" t="n">
        <v>3</v>
      </c>
      <c r="D72" s="9" t="n">
        <v>3</v>
      </c>
      <c r="E72" s="9" t="n">
        <v>3</v>
      </c>
      <c r="F72" s="9" t="n">
        <v>5</v>
      </c>
      <c r="G72" s="9" t="n">
        <v>5</v>
      </c>
      <c r="H72" s="9" t="n">
        <v>5</v>
      </c>
      <c r="I72" s="9" t="n">
        <v>4</v>
      </c>
      <c r="J72" s="9" t="n">
        <v>3</v>
      </c>
      <c r="K72" s="9" t="n">
        <v>4</v>
      </c>
      <c r="L72" s="9" t="n">
        <v>5</v>
      </c>
      <c r="M72" s="9" t="n">
        <v>5</v>
      </c>
      <c r="N72" s="9" t="n">
        <v>5</v>
      </c>
      <c r="O72" s="9" t="n">
        <v>4</v>
      </c>
      <c r="P72" s="9" t="n">
        <v>5</v>
      </c>
      <c r="Q72" s="9" t="n">
        <v>4</v>
      </c>
      <c r="R72" s="8" t="n">
        <f aca="false">SUM(B72:Q72)</f>
        <v>67</v>
      </c>
      <c r="S72" s="8" t="str">
        <f aca="false">IF(R72&gt;=5_項目分析!$B$6,"高",IF(R72&lt;=5_項目分析!$B$5,"低",""))</f>
        <v>高</v>
      </c>
      <c r="T72" s="8" t="n">
        <f aca="false">R72-B72</f>
        <v>63</v>
      </c>
      <c r="U72" s="8" t="n">
        <f aca="false">R72-C72</f>
        <v>64</v>
      </c>
      <c r="V72" s="8" t="n">
        <f aca="false">R72-D72</f>
        <v>64</v>
      </c>
      <c r="W72" s="8" t="n">
        <f aca="false">R72-E72</f>
        <v>64</v>
      </c>
      <c r="X72" s="8" t="n">
        <f aca="false">R72-F72</f>
        <v>62</v>
      </c>
      <c r="Y72" s="8" t="n">
        <f aca="false">R72-G72</f>
        <v>62</v>
      </c>
      <c r="Z72" s="8" t="n">
        <f aca="false">R72-H72</f>
        <v>62</v>
      </c>
      <c r="AA72" s="8" t="n">
        <f aca="false">R72-I72</f>
        <v>63</v>
      </c>
      <c r="AB72" s="8" t="n">
        <f aca="false">R72-J72</f>
        <v>64</v>
      </c>
      <c r="AC72" s="8" t="n">
        <f aca="false">R72-K72</f>
        <v>63</v>
      </c>
      <c r="AD72" s="8" t="n">
        <f aca="false">R72-L72</f>
        <v>62</v>
      </c>
      <c r="AE72" s="8" t="n">
        <f aca="false">R72-M72</f>
        <v>62</v>
      </c>
      <c r="AF72" s="8" t="n">
        <f aca="false">R72-N72</f>
        <v>62</v>
      </c>
      <c r="AG72" s="8" t="n">
        <f aca="false">R72-O72</f>
        <v>63</v>
      </c>
      <c r="AH72" s="8" t="n">
        <f aca="false">R72-P72</f>
        <v>62</v>
      </c>
      <c r="AI72" s="8" t="n">
        <f aca="false">R72-Q72</f>
        <v>63</v>
      </c>
    </row>
    <row r="73" customFormat="false" ht="15" hidden="false" customHeight="false" outlineLevel="0" collapsed="false">
      <c r="A73" s="7" t="s">
        <v>159</v>
      </c>
      <c r="B73" s="9" t="n">
        <v>4</v>
      </c>
      <c r="C73" s="9" t="n">
        <v>4</v>
      </c>
      <c r="D73" s="9" t="n">
        <v>3</v>
      </c>
      <c r="E73" s="9" t="n">
        <v>4</v>
      </c>
      <c r="F73" s="9" t="n">
        <v>2</v>
      </c>
      <c r="G73" s="9" t="n">
        <v>4</v>
      </c>
      <c r="H73" s="9" t="n">
        <v>1</v>
      </c>
      <c r="I73" s="9" t="n">
        <v>4</v>
      </c>
      <c r="J73" s="9" t="n">
        <v>5</v>
      </c>
      <c r="K73" s="9" t="n">
        <v>4</v>
      </c>
      <c r="L73" s="9" t="n">
        <v>3</v>
      </c>
      <c r="M73" s="9" t="n">
        <v>3</v>
      </c>
      <c r="N73" s="9" t="n">
        <v>4</v>
      </c>
      <c r="O73" s="9" t="n">
        <v>3</v>
      </c>
      <c r="P73" s="9" t="n">
        <v>5</v>
      </c>
      <c r="Q73" s="9" t="n">
        <v>5</v>
      </c>
      <c r="R73" s="8" t="n">
        <f aca="false">SUM(B73:Q73)</f>
        <v>58</v>
      </c>
      <c r="S73" s="8" t="str">
        <f aca="false">IF(R73&gt;=5_項目分析!$B$6,"高",IF(R73&lt;=5_項目分析!$B$5,"低",""))</f>
        <v/>
      </c>
      <c r="T73" s="8" t="n">
        <f aca="false">R73-B73</f>
        <v>54</v>
      </c>
      <c r="U73" s="8" t="n">
        <f aca="false">R73-C73</f>
        <v>54</v>
      </c>
      <c r="V73" s="8" t="n">
        <f aca="false">R73-D73</f>
        <v>55</v>
      </c>
      <c r="W73" s="8" t="n">
        <f aca="false">R73-E73</f>
        <v>54</v>
      </c>
      <c r="X73" s="8" t="n">
        <f aca="false">R73-F73</f>
        <v>56</v>
      </c>
      <c r="Y73" s="8" t="n">
        <f aca="false">R73-G73</f>
        <v>54</v>
      </c>
      <c r="Z73" s="8" t="n">
        <f aca="false">R73-H73</f>
        <v>57</v>
      </c>
      <c r="AA73" s="8" t="n">
        <f aca="false">R73-I73</f>
        <v>54</v>
      </c>
      <c r="AB73" s="8" t="n">
        <f aca="false">R73-J73</f>
        <v>53</v>
      </c>
      <c r="AC73" s="8" t="n">
        <f aca="false">R73-K73</f>
        <v>54</v>
      </c>
      <c r="AD73" s="8" t="n">
        <f aca="false">R73-L73</f>
        <v>55</v>
      </c>
      <c r="AE73" s="8" t="n">
        <f aca="false">R73-M73</f>
        <v>55</v>
      </c>
      <c r="AF73" s="8" t="n">
        <f aca="false">R73-N73</f>
        <v>54</v>
      </c>
      <c r="AG73" s="8" t="n">
        <f aca="false">R73-O73</f>
        <v>55</v>
      </c>
      <c r="AH73" s="8" t="n">
        <f aca="false">R73-P73</f>
        <v>53</v>
      </c>
      <c r="AI73" s="8" t="n">
        <f aca="false">R73-Q73</f>
        <v>53</v>
      </c>
    </row>
    <row r="74" customFormat="false" ht="15" hidden="false" customHeight="false" outlineLevel="0" collapsed="false">
      <c r="A74" s="7" t="s">
        <v>160</v>
      </c>
      <c r="B74" s="9" t="n">
        <v>5</v>
      </c>
      <c r="C74" s="9" t="n">
        <v>4</v>
      </c>
      <c r="D74" s="9" t="n">
        <v>3</v>
      </c>
      <c r="E74" s="9" t="n">
        <v>4</v>
      </c>
      <c r="F74" s="9" t="n">
        <v>4</v>
      </c>
      <c r="G74" s="9" t="n">
        <v>3</v>
      </c>
      <c r="H74" s="9" t="n">
        <v>3</v>
      </c>
      <c r="I74" s="9" t="n">
        <v>3</v>
      </c>
      <c r="J74" s="9" t="n">
        <v>3</v>
      </c>
      <c r="K74" s="9" t="n">
        <v>3</v>
      </c>
      <c r="L74" s="9" t="n">
        <v>3</v>
      </c>
      <c r="M74" s="9" t="n">
        <v>4</v>
      </c>
      <c r="N74" s="9" t="n">
        <v>4</v>
      </c>
      <c r="O74" s="9" t="n">
        <v>4</v>
      </c>
      <c r="P74" s="9" t="n">
        <v>4</v>
      </c>
      <c r="Q74" s="9" t="n">
        <v>5</v>
      </c>
      <c r="R74" s="8" t="n">
        <f aca="false">SUM(B74:Q74)</f>
        <v>59</v>
      </c>
      <c r="S74" s="8" t="str">
        <f aca="false">IF(R74&gt;=5_項目分析!$B$6,"高",IF(R74&lt;=5_項目分析!$B$5,"低",""))</f>
        <v/>
      </c>
      <c r="T74" s="8" t="n">
        <f aca="false">R74-B74</f>
        <v>54</v>
      </c>
      <c r="U74" s="8" t="n">
        <f aca="false">R74-C74</f>
        <v>55</v>
      </c>
      <c r="V74" s="8" t="n">
        <f aca="false">R74-D74</f>
        <v>56</v>
      </c>
      <c r="W74" s="8" t="n">
        <f aca="false">R74-E74</f>
        <v>55</v>
      </c>
      <c r="X74" s="8" t="n">
        <f aca="false">R74-F74</f>
        <v>55</v>
      </c>
      <c r="Y74" s="8" t="n">
        <f aca="false">R74-G74</f>
        <v>56</v>
      </c>
      <c r="Z74" s="8" t="n">
        <f aca="false">R74-H74</f>
        <v>56</v>
      </c>
      <c r="AA74" s="8" t="n">
        <f aca="false">R74-I74</f>
        <v>56</v>
      </c>
      <c r="AB74" s="8" t="n">
        <f aca="false">R74-J74</f>
        <v>56</v>
      </c>
      <c r="AC74" s="8" t="n">
        <f aca="false">R74-K74</f>
        <v>56</v>
      </c>
      <c r="AD74" s="8" t="n">
        <f aca="false">R74-L74</f>
        <v>56</v>
      </c>
      <c r="AE74" s="8" t="n">
        <f aca="false">R74-M74</f>
        <v>55</v>
      </c>
      <c r="AF74" s="8" t="n">
        <f aca="false">R74-N74</f>
        <v>55</v>
      </c>
      <c r="AG74" s="8" t="n">
        <f aca="false">R74-O74</f>
        <v>55</v>
      </c>
      <c r="AH74" s="8" t="n">
        <f aca="false">R74-P74</f>
        <v>55</v>
      </c>
      <c r="AI74" s="8" t="n">
        <f aca="false">R74-Q74</f>
        <v>54</v>
      </c>
    </row>
    <row r="75" customFormat="false" ht="15" hidden="false" customHeight="false" outlineLevel="0" collapsed="false">
      <c r="A75" s="7" t="s">
        <v>161</v>
      </c>
      <c r="B75" s="9" t="n">
        <v>4</v>
      </c>
      <c r="C75" s="9" t="n">
        <v>4</v>
      </c>
      <c r="D75" s="9" t="n">
        <v>4</v>
      </c>
      <c r="E75" s="9" t="n">
        <v>4</v>
      </c>
      <c r="F75" s="9" t="n">
        <v>3</v>
      </c>
      <c r="G75" s="9" t="n">
        <v>3</v>
      </c>
      <c r="H75" s="9" t="n">
        <v>4</v>
      </c>
      <c r="I75" s="9" t="n">
        <v>4</v>
      </c>
      <c r="J75" s="9" t="n">
        <v>3</v>
      </c>
      <c r="K75" s="9" t="n">
        <v>4</v>
      </c>
      <c r="L75" s="9" t="n">
        <v>3</v>
      </c>
      <c r="M75" s="9" t="n">
        <v>3</v>
      </c>
      <c r="N75" s="9" t="n">
        <v>3</v>
      </c>
      <c r="O75" s="9" t="n">
        <v>3</v>
      </c>
      <c r="P75" s="9" t="n">
        <v>2</v>
      </c>
      <c r="Q75" s="9" t="n">
        <v>5</v>
      </c>
      <c r="R75" s="8" t="n">
        <f aca="false">SUM(B75:Q75)</f>
        <v>56</v>
      </c>
      <c r="S75" s="8" t="str">
        <f aca="false">IF(R75&gt;=5_項目分析!$B$6,"高",IF(R75&lt;=5_項目分析!$B$5,"低",""))</f>
        <v>低</v>
      </c>
      <c r="T75" s="8" t="n">
        <f aca="false">R75-B75</f>
        <v>52</v>
      </c>
      <c r="U75" s="8" t="n">
        <f aca="false">R75-C75</f>
        <v>52</v>
      </c>
      <c r="V75" s="8" t="n">
        <f aca="false">R75-D75</f>
        <v>52</v>
      </c>
      <c r="W75" s="8" t="n">
        <f aca="false">R75-E75</f>
        <v>52</v>
      </c>
      <c r="X75" s="8" t="n">
        <f aca="false">R75-F75</f>
        <v>53</v>
      </c>
      <c r="Y75" s="8" t="n">
        <f aca="false">R75-G75</f>
        <v>53</v>
      </c>
      <c r="Z75" s="8" t="n">
        <f aca="false">R75-H75</f>
        <v>52</v>
      </c>
      <c r="AA75" s="8" t="n">
        <f aca="false">R75-I75</f>
        <v>52</v>
      </c>
      <c r="AB75" s="8" t="n">
        <f aca="false">R75-J75</f>
        <v>53</v>
      </c>
      <c r="AC75" s="8" t="n">
        <f aca="false">R75-K75</f>
        <v>52</v>
      </c>
      <c r="AD75" s="8" t="n">
        <f aca="false">R75-L75</f>
        <v>53</v>
      </c>
      <c r="AE75" s="8" t="n">
        <f aca="false">R75-M75</f>
        <v>53</v>
      </c>
      <c r="AF75" s="8" t="n">
        <f aca="false">R75-N75</f>
        <v>53</v>
      </c>
      <c r="AG75" s="8" t="n">
        <f aca="false">R75-O75</f>
        <v>53</v>
      </c>
      <c r="AH75" s="8" t="n">
        <f aca="false">R75-P75</f>
        <v>54</v>
      </c>
      <c r="AI75" s="8" t="n">
        <f aca="false">R75-Q75</f>
        <v>51</v>
      </c>
    </row>
    <row r="76" customFormat="false" ht="15" hidden="false" customHeight="false" outlineLevel="0" collapsed="false">
      <c r="A76" s="7" t="s">
        <v>162</v>
      </c>
      <c r="B76" s="9" t="n">
        <v>4</v>
      </c>
      <c r="C76" s="9" t="n">
        <v>3</v>
      </c>
      <c r="D76" s="9" t="n">
        <v>5</v>
      </c>
      <c r="E76" s="9" t="n">
        <v>4</v>
      </c>
      <c r="F76" s="9" t="n">
        <v>5</v>
      </c>
      <c r="G76" s="9" t="n">
        <v>3</v>
      </c>
      <c r="H76" s="9" t="n">
        <v>3</v>
      </c>
      <c r="I76" s="9" t="n">
        <v>3</v>
      </c>
      <c r="J76" s="9" t="n">
        <v>1</v>
      </c>
      <c r="K76" s="9" t="n">
        <v>3</v>
      </c>
      <c r="L76" s="9" t="n">
        <v>3</v>
      </c>
      <c r="M76" s="9" t="n">
        <v>2</v>
      </c>
      <c r="N76" s="9" t="n">
        <v>3</v>
      </c>
      <c r="O76" s="9" t="n">
        <v>4</v>
      </c>
      <c r="P76" s="9" t="n">
        <v>4</v>
      </c>
      <c r="Q76" s="9" t="n">
        <v>5</v>
      </c>
      <c r="R76" s="8" t="n">
        <f aca="false">SUM(B76:Q76)</f>
        <v>55</v>
      </c>
      <c r="S76" s="8" t="str">
        <f aca="false">IF(R76&gt;=5_項目分析!$B$6,"高",IF(R76&lt;=5_項目分析!$B$5,"低",""))</f>
        <v>低</v>
      </c>
      <c r="T76" s="8" t="n">
        <f aca="false">R76-B76</f>
        <v>51</v>
      </c>
      <c r="U76" s="8" t="n">
        <f aca="false">R76-C76</f>
        <v>52</v>
      </c>
      <c r="V76" s="8" t="n">
        <f aca="false">R76-D76</f>
        <v>50</v>
      </c>
      <c r="W76" s="8" t="n">
        <f aca="false">R76-E76</f>
        <v>51</v>
      </c>
      <c r="X76" s="8" t="n">
        <f aca="false">R76-F76</f>
        <v>50</v>
      </c>
      <c r="Y76" s="8" t="n">
        <f aca="false">R76-G76</f>
        <v>52</v>
      </c>
      <c r="Z76" s="8" t="n">
        <f aca="false">R76-H76</f>
        <v>52</v>
      </c>
      <c r="AA76" s="8" t="n">
        <f aca="false">R76-I76</f>
        <v>52</v>
      </c>
      <c r="AB76" s="8" t="n">
        <f aca="false">R76-J76</f>
        <v>54</v>
      </c>
      <c r="AC76" s="8" t="n">
        <f aca="false">R76-K76</f>
        <v>52</v>
      </c>
      <c r="AD76" s="8" t="n">
        <f aca="false">R76-L76</f>
        <v>52</v>
      </c>
      <c r="AE76" s="8" t="n">
        <f aca="false">R76-M76</f>
        <v>53</v>
      </c>
      <c r="AF76" s="8" t="n">
        <f aca="false">R76-N76</f>
        <v>52</v>
      </c>
      <c r="AG76" s="8" t="n">
        <f aca="false">R76-O76</f>
        <v>51</v>
      </c>
      <c r="AH76" s="8" t="n">
        <f aca="false">R76-P76</f>
        <v>51</v>
      </c>
      <c r="AI76" s="8" t="n">
        <f aca="false">R76-Q76</f>
        <v>50</v>
      </c>
    </row>
    <row r="77" customFormat="false" ht="15" hidden="false" customHeight="false" outlineLevel="0" collapsed="false">
      <c r="A77" s="7" t="s">
        <v>163</v>
      </c>
      <c r="B77" s="9" t="n">
        <v>5</v>
      </c>
      <c r="C77" s="9" t="n">
        <v>5</v>
      </c>
      <c r="D77" s="9" t="n">
        <v>4</v>
      </c>
      <c r="E77" s="9" t="n">
        <v>4</v>
      </c>
      <c r="F77" s="9" t="n">
        <v>4</v>
      </c>
      <c r="G77" s="9" t="n">
        <v>4</v>
      </c>
      <c r="H77" s="9" t="n">
        <v>4</v>
      </c>
      <c r="I77" s="9" t="n">
        <v>4</v>
      </c>
      <c r="J77" s="9" t="n">
        <v>3</v>
      </c>
      <c r="K77" s="9" t="n">
        <v>4</v>
      </c>
      <c r="L77" s="9" t="n">
        <v>5</v>
      </c>
      <c r="M77" s="9" t="n">
        <v>4</v>
      </c>
      <c r="N77" s="9" t="n">
        <v>5</v>
      </c>
      <c r="O77" s="9" t="n">
        <v>4</v>
      </c>
      <c r="P77" s="9" t="n">
        <v>3</v>
      </c>
      <c r="Q77" s="9" t="n">
        <v>5</v>
      </c>
      <c r="R77" s="8" t="n">
        <f aca="false">SUM(B77:Q77)</f>
        <v>67</v>
      </c>
      <c r="S77" s="8" t="str">
        <f aca="false">IF(R77&gt;=5_項目分析!$B$6,"高",IF(R77&lt;=5_項目分析!$B$5,"低",""))</f>
        <v>高</v>
      </c>
      <c r="T77" s="8" t="n">
        <f aca="false">R77-B77</f>
        <v>62</v>
      </c>
      <c r="U77" s="8" t="n">
        <f aca="false">R77-C77</f>
        <v>62</v>
      </c>
      <c r="V77" s="8" t="n">
        <f aca="false">R77-D77</f>
        <v>63</v>
      </c>
      <c r="W77" s="8" t="n">
        <f aca="false">R77-E77</f>
        <v>63</v>
      </c>
      <c r="X77" s="8" t="n">
        <f aca="false">R77-F77</f>
        <v>63</v>
      </c>
      <c r="Y77" s="8" t="n">
        <f aca="false">R77-G77</f>
        <v>63</v>
      </c>
      <c r="Z77" s="8" t="n">
        <f aca="false">R77-H77</f>
        <v>63</v>
      </c>
      <c r="AA77" s="8" t="n">
        <f aca="false">R77-I77</f>
        <v>63</v>
      </c>
      <c r="AB77" s="8" t="n">
        <f aca="false">R77-J77</f>
        <v>64</v>
      </c>
      <c r="AC77" s="8" t="n">
        <f aca="false">R77-K77</f>
        <v>63</v>
      </c>
      <c r="AD77" s="8" t="n">
        <f aca="false">R77-L77</f>
        <v>62</v>
      </c>
      <c r="AE77" s="8" t="n">
        <f aca="false">R77-M77</f>
        <v>63</v>
      </c>
      <c r="AF77" s="8" t="n">
        <f aca="false">R77-N77</f>
        <v>62</v>
      </c>
      <c r="AG77" s="8" t="n">
        <f aca="false">R77-O77</f>
        <v>63</v>
      </c>
      <c r="AH77" s="8" t="n">
        <f aca="false">R77-P77</f>
        <v>64</v>
      </c>
      <c r="AI77" s="8" t="n">
        <f aca="false">R77-Q77</f>
        <v>62</v>
      </c>
    </row>
    <row r="78" customFormat="false" ht="15" hidden="false" customHeight="false" outlineLevel="0" collapsed="false">
      <c r="A78" s="7" t="s">
        <v>164</v>
      </c>
      <c r="B78" s="9" t="n">
        <v>3</v>
      </c>
      <c r="C78" s="9" t="n">
        <v>3</v>
      </c>
      <c r="D78" s="9" t="n">
        <v>3</v>
      </c>
      <c r="E78" s="9" t="n">
        <v>3</v>
      </c>
      <c r="F78" s="9" t="n">
        <v>3</v>
      </c>
      <c r="G78" s="9" t="n">
        <v>3</v>
      </c>
      <c r="H78" s="9" t="n">
        <v>2</v>
      </c>
      <c r="I78" s="9" t="n">
        <v>4</v>
      </c>
      <c r="J78" s="9" t="n">
        <v>3</v>
      </c>
      <c r="K78" s="9" t="n">
        <v>1</v>
      </c>
      <c r="L78" s="9" t="n">
        <v>2</v>
      </c>
      <c r="M78" s="9" t="n">
        <v>2</v>
      </c>
      <c r="N78" s="9" t="n">
        <v>4</v>
      </c>
      <c r="O78" s="9" t="n">
        <v>3</v>
      </c>
      <c r="P78" s="9" t="n">
        <v>4</v>
      </c>
      <c r="Q78" s="9" t="n">
        <v>5</v>
      </c>
      <c r="R78" s="8" t="n">
        <f aca="false">SUM(B78:Q78)</f>
        <v>48</v>
      </c>
      <c r="S78" s="8" t="str">
        <f aca="false">IF(R78&gt;=5_項目分析!$B$6,"高",IF(R78&lt;=5_項目分析!$B$5,"低",""))</f>
        <v>低</v>
      </c>
      <c r="T78" s="8" t="n">
        <f aca="false">R78-B78</f>
        <v>45</v>
      </c>
      <c r="U78" s="8" t="n">
        <f aca="false">R78-C78</f>
        <v>45</v>
      </c>
      <c r="V78" s="8" t="n">
        <f aca="false">R78-D78</f>
        <v>45</v>
      </c>
      <c r="W78" s="8" t="n">
        <f aca="false">R78-E78</f>
        <v>45</v>
      </c>
      <c r="X78" s="8" t="n">
        <f aca="false">R78-F78</f>
        <v>45</v>
      </c>
      <c r="Y78" s="8" t="n">
        <f aca="false">R78-G78</f>
        <v>45</v>
      </c>
      <c r="Z78" s="8" t="n">
        <f aca="false">R78-H78</f>
        <v>46</v>
      </c>
      <c r="AA78" s="8" t="n">
        <f aca="false">R78-I78</f>
        <v>44</v>
      </c>
      <c r="AB78" s="8" t="n">
        <f aca="false">R78-J78</f>
        <v>45</v>
      </c>
      <c r="AC78" s="8" t="n">
        <f aca="false">R78-K78</f>
        <v>47</v>
      </c>
      <c r="AD78" s="8" t="n">
        <f aca="false">R78-L78</f>
        <v>46</v>
      </c>
      <c r="AE78" s="8" t="n">
        <f aca="false">R78-M78</f>
        <v>46</v>
      </c>
      <c r="AF78" s="8" t="n">
        <f aca="false">R78-N78</f>
        <v>44</v>
      </c>
      <c r="AG78" s="8" t="n">
        <f aca="false">R78-O78</f>
        <v>45</v>
      </c>
      <c r="AH78" s="8" t="n">
        <f aca="false">R78-P78</f>
        <v>44</v>
      </c>
      <c r="AI78" s="8" t="n">
        <f aca="false">R78-Q78</f>
        <v>43</v>
      </c>
    </row>
    <row r="79" customFormat="false" ht="15" hidden="false" customHeight="false" outlineLevel="0" collapsed="false">
      <c r="A79" s="7" t="s">
        <v>165</v>
      </c>
      <c r="B79" s="9" t="n">
        <v>4</v>
      </c>
      <c r="C79" s="9" t="n">
        <v>4</v>
      </c>
      <c r="D79" s="9" t="n">
        <v>4</v>
      </c>
      <c r="E79" s="9" t="n">
        <v>5</v>
      </c>
      <c r="F79" s="9" t="n">
        <v>5</v>
      </c>
      <c r="G79" s="9" t="n">
        <v>2</v>
      </c>
      <c r="H79" s="9" t="n">
        <v>2</v>
      </c>
      <c r="I79" s="9" t="n">
        <v>4</v>
      </c>
      <c r="J79" s="9" t="n">
        <v>4</v>
      </c>
      <c r="K79" s="9" t="n">
        <v>3</v>
      </c>
      <c r="L79" s="9" t="n">
        <v>5</v>
      </c>
      <c r="M79" s="9" t="n">
        <v>4</v>
      </c>
      <c r="N79" s="9" t="n">
        <v>5</v>
      </c>
      <c r="O79" s="9" t="n">
        <v>5</v>
      </c>
      <c r="P79" s="9" t="n">
        <v>5</v>
      </c>
      <c r="Q79" s="9" t="n">
        <v>5</v>
      </c>
      <c r="R79" s="8" t="n">
        <f aca="false">SUM(B79:Q79)</f>
        <v>66</v>
      </c>
      <c r="S79" s="8" t="str">
        <f aca="false">IF(R79&gt;=5_項目分析!$B$6,"高",IF(R79&lt;=5_項目分析!$B$5,"低",""))</f>
        <v>高</v>
      </c>
      <c r="T79" s="8" t="n">
        <f aca="false">R79-B79</f>
        <v>62</v>
      </c>
      <c r="U79" s="8" t="n">
        <f aca="false">R79-C79</f>
        <v>62</v>
      </c>
      <c r="V79" s="8" t="n">
        <f aca="false">R79-D79</f>
        <v>62</v>
      </c>
      <c r="W79" s="8" t="n">
        <f aca="false">R79-E79</f>
        <v>61</v>
      </c>
      <c r="X79" s="8" t="n">
        <f aca="false">R79-F79</f>
        <v>61</v>
      </c>
      <c r="Y79" s="8" t="n">
        <f aca="false">R79-G79</f>
        <v>64</v>
      </c>
      <c r="Z79" s="8" t="n">
        <f aca="false">R79-H79</f>
        <v>64</v>
      </c>
      <c r="AA79" s="8" t="n">
        <f aca="false">R79-I79</f>
        <v>62</v>
      </c>
      <c r="AB79" s="8" t="n">
        <f aca="false">R79-J79</f>
        <v>62</v>
      </c>
      <c r="AC79" s="8" t="n">
        <f aca="false">R79-K79</f>
        <v>63</v>
      </c>
      <c r="AD79" s="8" t="n">
        <f aca="false">R79-L79</f>
        <v>61</v>
      </c>
      <c r="AE79" s="8" t="n">
        <f aca="false">R79-M79</f>
        <v>62</v>
      </c>
      <c r="AF79" s="8" t="n">
        <f aca="false">R79-N79</f>
        <v>61</v>
      </c>
      <c r="AG79" s="8" t="n">
        <f aca="false">R79-O79</f>
        <v>61</v>
      </c>
      <c r="AH79" s="8" t="n">
        <f aca="false">R79-P79</f>
        <v>61</v>
      </c>
      <c r="AI79" s="8" t="n">
        <f aca="false">R79-Q79</f>
        <v>61</v>
      </c>
    </row>
    <row r="80" customFormat="false" ht="15" hidden="false" customHeight="false" outlineLevel="0" collapsed="false">
      <c r="A80" s="7" t="s">
        <v>166</v>
      </c>
      <c r="B80" s="9" t="n">
        <v>2</v>
      </c>
      <c r="C80" s="9" t="n">
        <v>3</v>
      </c>
      <c r="D80" s="9" t="n">
        <v>2</v>
      </c>
      <c r="E80" s="9" t="n">
        <v>3</v>
      </c>
      <c r="F80" s="9" t="n">
        <v>1</v>
      </c>
      <c r="G80" s="9" t="n">
        <v>4</v>
      </c>
      <c r="H80" s="9" t="n">
        <v>4</v>
      </c>
      <c r="I80" s="9" t="n">
        <v>4</v>
      </c>
      <c r="J80" s="9" t="n">
        <v>4</v>
      </c>
      <c r="K80" s="9" t="n">
        <v>4</v>
      </c>
      <c r="L80" s="9" t="n">
        <v>2</v>
      </c>
      <c r="M80" s="9" t="n">
        <v>3</v>
      </c>
      <c r="N80" s="9" t="n">
        <v>2</v>
      </c>
      <c r="O80" s="9" t="n">
        <v>4</v>
      </c>
      <c r="P80" s="9" t="n">
        <v>4</v>
      </c>
      <c r="Q80" s="9" t="n">
        <v>5</v>
      </c>
      <c r="R80" s="8" t="n">
        <f aca="false">SUM(B80:Q80)</f>
        <v>51</v>
      </c>
      <c r="S80" s="8" t="str">
        <f aca="false">IF(R80&gt;=5_項目分析!$B$6,"高",IF(R80&lt;=5_項目分析!$B$5,"低",""))</f>
        <v>低</v>
      </c>
      <c r="T80" s="8" t="n">
        <f aca="false">R80-B80</f>
        <v>49</v>
      </c>
      <c r="U80" s="8" t="n">
        <f aca="false">R80-C80</f>
        <v>48</v>
      </c>
      <c r="V80" s="8" t="n">
        <f aca="false">R80-D80</f>
        <v>49</v>
      </c>
      <c r="W80" s="8" t="n">
        <f aca="false">R80-E80</f>
        <v>48</v>
      </c>
      <c r="X80" s="8" t="n">
        <f aca="false">R80-F80</f>
        <v>50</v>
      </c>
      <c r="Y80" s="8" t="n">
        <f aca="false">R80-G80</f>
        <v>47</v>
      </c>
      <c r="Z80" s="8" t="n">
        <f aca="false">R80-H80</f>
        <v>47</v>
      </c>
      <c r="AA80" s="8" t="n">
        <f aca="false">R80-I80</f>
        <v>47</v>
      </c>
      <c r="AB80" s="8" t="n">
        <f aca="false">R80-J80</f>
        <v>47</v>
      </c>
      <c r="AC80" s="8" t="n">
        <f aca="false">R80-K80</f>
        <v>47</v>
      </c>
      <c r="AD80" s="8" t="n">
        <f aca="false">R80-L80</f>
        <v>49</v>
      </c>
      <c r="AE80" s="8" t="n">
        <f aca="false">R80-M80</f>
        <v>48</v>
      </c>
      <c r="AF80" s="8" t="n">
        <f aca="false">R80-N80</f>
        <v>49</v>
      </c>
      <c r="AG80" s="8" t="n">
        <f aca="false">R80-O80</f>
        <v>47</v>
      </c>
      <c r="AH80" s="8" t="n">
        <f aca="false">R80-P80</f>
        <v>47</v>
      </c>
      <c r="AI80" s="8" t="n">
        <f aca="false">R80-Q80</f>
        <v>46</v>
      </c>
    </row>
    <row r="81" customFormat="false" ht="15" hidden="false" customHeight="false" outlineLevel="0" collapsed="false">
      <c r="A81" s="7" t="s">
        <v>167</v>
      </c>
      <c r="B81" s="9" t="n">
        <v>3</v>
      </c>
      <c r="C81" s="9" t="n">
        <v>2</v>
      </c>
      <c r="D81" s="9" t="n">
        <v>2</v>
      </c>
      <c r="E81" s="9" t="n">
        <v>3</v>
      </c>
      <c r="F81" s="9" t="n">
        <v>3</v>
      </c>
      <c r="G81" s="9" t="n">
        <v>5</v>
      </c>
      <c r="H81" s="9" t="n">
        <v>4</v>
      </c>
      <c r="I81" s="9" t="n">
        <v>5</v>
      </c>
      <c r="J81" s="9" t="n">
        <v>5</v>
      </c>
      <c r="K81" s="9" t="n">
        <v>3</v>
      </c>
      <c r="L81" s="9" t="n">
        <v>3</v>
      </c>
      <c r="M81" s="9" t="n">
        <v>3</v>
      </c>
      <c r="N81" s="9" t="n">
        <v>3</v>
      </c>
      <c r="O81" s="9" t="n">
        <v>5</v>
      </c>
      <c r="P81" s="9" t="n">
        <v>5</v>
      </c>
      <c r="Q81" s="9" t="n">
        <v>5</v>
      </c>
      <c r="R81" s="8" t="n">
        <f aca="false">SUM(B81:Q81)</f>
        <v>59</v>
      </c>
      <c r="S81" s="8" t="str">
        <f aca="false">IF(R81&gt;=5_項目分析!$B$6,"高",IF(R81&lt;=5_項目分析!$B$5,"低",""))</f>
        <v/>
      </c>
      <c r="T81" s="8" t="n">
        <f aca="false">R81-B81</f>
        <v>56</v>
      </c>
      <c r="U81" s="8" t="n">
        <f aca="false">R81-C81</f>
        <v>57</v>
      </c>
      <c r="V81" s="8" t="n">
        <f aca="false">R81-D81</f>
        <v>57</v>
      </c>
      <c r="W81" s="8" t="n">
        <f aca="false">R81-E81</f>
        <v>56</v>
      </c>
      <c r="X81" s="8" t="n">
        <f aca="false">R81-F81</f>
        <v>56</v>
      </c>
      <c r="Y81" s="8" t="n">
        <f aca="false">R81-G81</f>
        <v>54</v>
      </c>
      <c r="Z81" s="8" t="n">
        <f aca="false">R81-H81</f>
        <v>55</v>
      </c>
      <c r="AA81" s="8" t="n">
        <f aca="false">R81-I81</f>
        <v>54</v>
      </c>
      <c r="AB81" s="8" t="n">
        <f aca="false">R81-J81</f>
        <v>54</v>
      </c>
      <c r="AC81" s="8" t="n">
        <f aca="false">R81-K81</f>
        <v>56</v>
      </c>
      <c r="AD81" s="8" t="n">
        <f aca="false">R81-L81</f>
        <v>56</v>
      </c>
      <c r="AE81" s="8" t="n">
        <f aca="false">R81-M81</f>
        <v>56</v>
      </c>
      <c r="AF81" s="8" t="n">
        <f aca="false">R81-N81</f>
        <v>56</v>
      </c>
      <c r="AG81" s="8" t="n">
        <f aca="false">R81-O81</f>
        <v>54</v>
      </c>
      <c r="AH81" s="8" t="n">
        <f aca="false">R81-P81</f>
        <v>54</v>
      </c>
      <c r="AI81" s="8" t="n">
        <f aca="false">R81-Q81</f>
        <v>54</v>
      </c>
    </row>
    <row r="82" customFormat="false" ht="15" hidden="false" customHeight="false" outlineLevel="0" collapsed="false">
      <c r="A82" s="7" t="s">
        <v>168</v>
      </c>
      <c r="B82" s="9" t="n">
        <v>3</v>
      </c>
      <c r="C82" s="9" t="n">
        <v>5</v>
      </c>
      <c r="D82" s="9" t="n">
        <v>4</v>
      </c>
      <c r="E82" s="9" t="n">
        <v>4</v>
      </c>
      <c r="F82" s="9" t="n">
        <v>5</v>
      </c>
      <c r="G82" s="9" t="n">
        <v>4</v>
      </c>
      <c r="H82" s="9" t="n">
        <v>4</v>
      </c>
      <c r="I82" s="9" t="n">
        <v>3</v>
      </c>
      <c r="J82" s="9" t="n">
        <v>4</v>
      </c>
      <c r="K82" s="9" t="n">
        <v>4</v>
      </c>
      <c r="L82" s="9" t="n">
        <v>4</v>
      </c>
      <c r="M82" s="9" t="n">
        <v>4</v>
      </c>
      <c r="N82" s="9" t="n">
        <v>5</v>
      </c>
      <c r="O82" s="9" t="n">
        <v>4</v>
      </c>
      <c r="P82" s="9" t="n">
        <v>2</v>
      </c>
      <c r="Q82" s="9" t="n">
        <v>5</v>
      </c>
      <c r="R82" s="8" t="n">
        <f aca="false">SUM(B82:Q82)</f>
        <v>64</v>
      </c>
      <c r="S82" s="8" t="str">
        <f aca="false">IF(R82&gt;=5_項目分析!$B$6,"高",IF(R82&lt;=5_項目分析!$B$5,"低",""))</f>
        <v/>
      </c>
      <c r="T82" s="8" t="n">
        <f aca="false">R82-B82</f>
        <v>61</v>
      </c>
      <c r="U82" s="8" t="n">
        <f aca="false">R82-C82</f>
        <v>59</v>
      </c>
      <c r="V82" s="8" t="n">
        <f aca="false">R82-D82</f>
        <v>60</v>
      </c>
      <c r="W82" s="8" t="n">
        <f aca="false">R82-E82</f>
        <v>60</v>
      </c>
      <c r="X82" s="8" t="n">
        <f aca="false">R82-F82</f>
        <v>59</v>
      </c>
      <c r="Y82" s="8" t="n">
        <f aca="false">R82-G82</f>
        <v>60</v>
      </c>
      <c r="Z82" s="8" t="n">
        <f aca="false">R82-H82</f>
        <v>60</v>
      </c>
      <c r="AA82" s="8" t="n">
        <f aca="false">R82-I82</f>
        <v>61</v>
      </c>
      <c r="AB82" s="8" t="n">
        <f aca="false">R82-J82</f>
        <v>60</v>
      </c>
      <c r="AC82" s="8" t="n">
        <f aca="false">R82-K82</f>
        <v>60</v>
      </c>
      <c r="AD82" s="8" t="n">
        <f aca="false">R82-L82</f>
        <v>60</v>
      </c>
      <c r="AE82" s="8" t="n">
        <f aca="false">R82-M82</f>
        <v>60</v>
      </c>
      <c r="AF82" s="8" t="n">
        <f aca="false">R82-N82</f>
        <v>59</v>
      </c>
      <c r="AG82" s="8" t="n">
        <f aca="false">R82-O82</f>
        <v>60</v>
      </c>
      <c r="AH82" s="8" t="n">
        <f aca="false">R82-P82</f>
        <v>62</v>
      </c>
      <c r="AI82" s="8" t="n">
        <f aca="false">R82-Q82</f>
        <v>59</v>
      </c>
    </row>
    <row r="83" customFormat="false" ht="15" hidden="false" customHeight="false" outlineLevel="0" collapsed="false">
      <c r="A83" s="7" t="s">
        <v>169</v>
      </c>
      <c r="B83" s="9" t="n">
        <v>5</v>
      </c>
      <c r="C83" s="9" t="n">
        <v>4</v>
      </c>
      <c r="D83" s="9" t="n">
        <v>4</v>
      </c>
      <c r="E83" s="9" t="n">
        <v>5</v>
      </c>
      <c r="F83" s="9" t="n">
        <v>5</v>
      </c>
      <c r="G83" s="9" t="n">
        <v>4</v>
      </c>
      <c r="H83" s="9" t="n">
        <v>4</v>
      </c>
      <c r="I83" s="9" t="n">
        <v>5</v>
      </c>
      <c r="J83" s="9" t="n">
        <v>3</v>
      </c>
      <c r="K83" s="9" t="n">
        <v>4</v>
      </c>
      <c r="L83" s="9" t="n">
        <v>5</v>
      </c>
      <c r="M83" s="9" t="n">
        <v>5</v>
      </c>
      <c r="N83" s="9" t="n">
        <v>5</v>
      </c>
      <c r="O83" s="9" t="n">
        <v>5</v>
      </c>
      <c r="P83" s="9" t="n">
        <v>5</v>
      </c>
      <c r="Q83" s="9" t="n">
        <v>4</v>
      </c>
      <c r="R83" s="8" t="n">
        <f aca="false">SUM(B83:Q83)</f>
        <v>72</v>
      </c>
      <c r="S83" s="8" t="str">
        <f aca="false">IF(R83&gt;=5_項目分析!$B$6,"高",IF(R83&lt;=5_項目分析!$B$5,"低",""))</f>
        <v>高</v>
      </c>
      <c r="T83" s="8" t="n">
        <f aca="false">R83-B83</f>
        <v>67</v>
      </c>
      <c r="U83" s="8" t="n">
        <f aca="false">R83-C83</f>
        <v>68</v>
      </c>
      <c r="V83" s="8" t="n">
        <f aca="false">R83-D83</f>
        <v>68</v>
      </c>
      <c r="W83" s="8" t="n">
        <f aca="false">R83-E83</f>
        <v>67</v>
      </c>
      <c r="X83" s="8" t="n">
        <f aca="false">R83-F83</f>
        <v>67</v>
      </c>
      <c r="Y83" s="8" t="n">
        <f aca="false">R83-G83</f>
        <v>68</v>
      </c>
      <c r="Z83" s="8" t="n">
        <f aca="false">R83-H83</f>
        <v>68</v>
      </c>
      <c r="AA83" s="8" t="n">
        <f aca="false">R83-I83</f>
        <v>67</v>
      </c>
      <c r="AB83" s="8" t="n">
        <f aca="false">R83-J83</f>
        <v>69</v>
      </c>
      <c r="AC83" s="8" t="n">
        <f aca="false">R83-K83</f>
        <v>68</v>
      </c>
      <c r="AD83" s="8" t="n">
        <f aca="false">R83-L83</f>
        <v>67</v>
      </c>
      <c r="AE83" s="8" t="n">
        <f aca="false">R83-M83</f>
        <v>67</v>
      </c>
      <c r="AF83" s="8" t="n">
        <f aca="false">R83-N83</f>
        <v>67</v>
      </c>
      <c r="AG83" s="8" t="n">
        <f aca="false">R83-O83</f>
        <v>67</v>
      </c>
      <c r="AH83" s="8" t="n">
        <f aca="false">R83-P83</f>
        <v>67</v>
      </c>
      <c r="AI83" s="8" t="n">
        <f aca="false">R83-Q83</f>
        <v>68</v>
      </c>
    </row>
    <row r="84" customFormat="false" ht="15" hidden="false" customHeight="false" outlineLevel="0" collapsed="false">
      <c r="A84" s="7" t="s">
        <v>170</v>
      </c>
      <c r="B84" s="9" t="n">
        <v>4</v>
      </c>
      <c r="C84" s="9" t="n">
        <v>5</v>
      </c>
      <c r="D84" s="9" t="n">
        <v>4</v>
      </c>
      <c r="E84" s="9" t="n">
        <v>5</v>
      </c>
      <c r="F84" s="9" t="n">
        <v>5</v>
      </c>
      <c r="G84" s="9" t="n">
        <v>5</v>
      </c>
      <c r="H84" s="9" t="n">
        <v>4</v>
      </c>
      <c r="I84" s="9" t="n">
        <v>4</v>
      </c>
      <c r="J84" s="9" t="n">
        <v>5</v>
      </c>
      <c r="K84" s="9" t="n">
        <v>5</v>
      </c>
      <c r="L84" s="9" t="n">
        <v>5</v>
      </c>
      <c r="M84" s="9" t="n">
        <v>4</v>
      </c>
      <c r="N84" s="9" t="n">
        <v>4</v>
      </c>
      <c r="O84" s="9" t="n">
        <v>4</v>
      </c>
      <c r="P84" s="9" t="n">
        <v>4</v>
      </c>
      <c r="Q84" s="9" t="n">
        <v>4</v>
      </c>
      <c r="R84" s="8" t="n">
        <f aca="false">SUM(B84:Q84)</f>
        <v>71</v>
      </c>
      <c r="S84" s="8" t="str">
        <f aca="false">IF(R84&gt;=5_項目分析!$B$6,"高",IF(R84&lt;=5_項目分析!$B$5,"低",""))</f>
        <v>高</v>
      </c>
      <c r="T84" s="8" t="n">
        <f aca="false">R84-B84</f>
        <v>67</v>
      </c>
      <c r="U84" s="8" t="n">
        <f aca="false">R84-C84</f>
        <v>66</v>
      </c>
      <c r="V84" s="8" t="n">
        <f aca="false">R84-D84</f>
        <v>67</v>
      </c>
      <c r="W84" s="8" t="n">
        <f aca="false">R84-E84</f>
        <v>66</v>
      </c>
      <c r="X84" s="8" t="n">
        <f aca="false">R84-F84</f>
        <v>66</v>
      </c>
      <c r="Y84" s="8" t="n">
        <f aca="false">R84-G84</f>
        <v>66</v>
      </c>
      <c r="Z84" s="8" t="n">
        <f aca="false">R84-H84</f>
        <v>67</v>
      </c>
      <c r="AA84" s="8" t="n">
        <f aca="false">R84-I84</f>
        <v>67</v>
      </c>
      <c r="AB84" s="8" t="n">
        <f aca="false">R84-J84</f>
        <v>66</v>
      </c>
      <c r="AC84" s="8" t="n">
        <f aca="false">R84-K84</f>
        <v>66</v>
      </c>
      <c r="AD84" s="8" t="n">
        <f aca="false">R84-L84</f>
        <v>66</v>
      </c>
      <c r="AE84" s="8" t="n">
        <f aca="false">R84-M84</f>
        <v>67</v>
      </c>
      <c r="AF84" s="8" t="n">
        <f aca="false">R84-N84</f>
        <v>67</v>
      </c>
      <c r="AG84" s="8" t="n">
        <f aca="false">R84-O84</f>
        <v>67</v>
      </c>
      <c r="AH84" s="8" t="n">
        <f aca="false">R84-P84</f>
        <v>67</v>
      </c>
      <c r="AI84" s="8" t="n">
        <f aca="false">R84-Q84</f>
        <v>67</v>
      </c>
    </row>
    <row r="85" customFormat="false" ht="15" hidden="false" customHeight="false" outlineLevel="0" collapsed="false">
      <c r="A85" s="7" t="s">
        <v>171</v>
      </c>
      <c r="B85" s="9" t="n">
        <v>5</v>
      </c>
      <c r="C85" s="9" t="n">
        <v>4</v>
      </c>
      <c r="D85" s="9" t="n">
        <v>3</v>
      </c>
      <c r="E85" s="9" t="n">
        <v>4</v>
      </c>
      <c r="F85" s="9" t="n">
        <v>4</v>
      </c>
      <c r="G85" s="9" t="n">
        <v>4</v>
      </c>
      <c r="H85" s="9" t="n">
        <v>4</v>
      </c>
      <c r="I85" s="9" t="n">
        <v>3</v>
      </c>
      <c r="J85" s="9" t="n">
        <v>5</v>
      </c>
      <c r="K85" s="9" t="n">
        <v>5</v>
      </c>
      <c r="L85" s="9" t="n">
        <v>3</v>
      </c>
      <c r="M85" s="9" t="n">
        <v>3</v>
      </c>
      <c r="N85" s="9" t="n">
        <v>4</v>
      </c>
      <c r="O85" s="9" t="n">
        <v>3</v>
      </c>
      <c r="P85" s="9" t="n">
        <v>3</v>
      </c>
      <c r="Q85" s="9" t="n">
        <v>4</v>
      </c>
      <c r="R85" s="8" t="n">
        <f aca="false">SUM(B85:Q85)</f>
        <v>61</v>
      </c>
      <c r="S85" s="8" t="str">
        <f aca="false">IF(R85&gt;=5_項目分析!$B$6,"高",IF(R85&lt;=5_項目分析!$B$5,"低",""))</f>
        <v/>
      </c>
      <c r="T85" s="8" t="n">
        <f aca="false">R85-B85</f>
        <v>56</v>
      </c>
      <c r="U85" s="8" t="n">
        <f aca="false">R85-C85</f>
        <v>57</v>
      </c>
      <c r="V85" s="8" t="n">
        <f aca="false">R85-D85</f>
        <v>58</v>
      </c>
      <c r="W85" s="8" t="n">
        <f aca="false">R85-E85</f>
        <v>57</v>
      </c>
      <c r="X85" s="8" t="n">
        <f aca="false">R85-F85</f>
        <v>57</v>
      </c>
      <c r="Y85" s="8" t="n">
        <f aca="false">R85-G85</f>
        <v>57</v>
      </c>
      <c r="Z85" s="8" t="n">
        <f aca="false">R85-H85</f>
        <v>57</v>
      </c>
      <c r="AA85" s="8" t="n">
        <f aca="false">R85-I85</f>
        <v>58</v>
      </c>
      <c r="AB85" s="8" t="n">
        <f aca="false">R85-J85</f>
        <v>56</v>
      </c>
      <c r="AC85" s="8" t="n">
        <f aca="false">R85-K85</f>
        <v>56</v>
      </c>
      <c r="AD85" s="8" t="n">
        <f aca="false">R85-L85</f>
        <v>58</v>
      </c>
      <c r="AE85" s="8" t="n">
        <f aca="false">R85-M85</f>
        <v>58</v>
      </c>
      <c r="AF85" s="8" t="n">
        <f aca="false">R85-N85</f>
        <v>57</v>
      </c>
      <c r="AG85" s="8" t="n">
        <f aca="false">R85-O85</f>
        <v>58</v>
      </c>
      <c r="AH85" s="8" t="n">
        <f aca="false">R85-P85</f>
        <v>58</v>
      </c>
      <c r="AI85" s="8" t="n">
        <f aca="false">R85-Q85</f>
        <v>57</v>
      </c>
    </row>
    <row r="86" customFormat="false" ht="15" hidden="false" customHeight="false" outlineLevel="0" collapsed="false">
      <c r="A86" s="7" t="s">
        <v>172</v>
      </c>
      <c r="B86" s="9" t="n">
        <v>2</v>
      </c>
      <c r="C86" s="9" t="n">
        <v>2</v>
      </c>
      <c r="D86" s="9" t="n">
        <v>3</v>
      </c>
      <c r="E86" s="9" t="n">
        <v>3</v>
      </c>
      <c r="F86" s="9" t="n">
        <v>4</v>
      </c>
      <c r="G86" s="9" t="n">
        <v>4</v>
      </c>
      <c r="H86" s="9" t="n">
        <v>4</v>
      </c>
      <c r="I86" s="9" t="n">
        <v>3</v>
      </c>
      <c r="J86" s="9" t="n">
        <v>5</v>
      </c>
      <c r="K86" s="9" t="n">
        <v>4</v>
      </c>
      <c r="L86" s="9" t="n">
        <v>5</v>
      </c>
      <c r="M86" s="9" t="n">
        <v>4</v>
      </c>
      <c r="N86" s="9" t="n">
        <v>3</v>
      </c>
      <c r="O86" s="9" t="n">
        <v>3</v>
      </c>
      <c r="P86" s="9" t="n">
        <v>5</v>
      </c>
      <c r="Q86" s="9" t="n">
        <v>4</v>
      </c>
      <c r="R86" s="8" t="n">
        <f aca="false">SUM(B86:Q86)</f>
        <v>58</v>
      </c>
      <c r="S86" s="8" t="str">
        <f aca="false">IF(R86&gt;=5_項目分析!$B$6,"高",IF(R86&lt;=5_項目分析!$B$5,"低",""))</f>
        <v/>
      </c>
      <c r="T86" s="8" t="n">
        <f aca="false">R86-B86</f>
        <v>56</v>
      </c>
      <c r="U86" s="8" t="n">
        <f aca="false">R86-C86</f>
        <v>56</v>
      </c>
      <c r="V86" s="8" t="n">
        <f aca="false">R86-D86</f>
        <v>55</v>
      </c>
      <c r="W86" s="8" t="n">
        <f aca="false">R86-E86</f>
        <v>55</v>
      </c>
      <c r="X86" s="8" t="n">
        <f aca="false">R86-F86</f>
        <v>54</v>
      </c>
      <c r="Y86" s="8" t="n">
        <f aca="false">R86-G86</f>
        <v>54</v>
      </c>
      <c r="Z86" s="8" t="n">
        <f aca="false">R86-H86</f>
        <v>54</v>
      </c>
      <c r="AA86" s="8" t="n">
        <f aca="false">R86-I86</f>
        <v>55</v>
      </c>
      <c r="AB86" s="8" t="n">
        <f aca="false">R86-J86</f>
        <v>53</v>
      </c>
      <c r="AC86" s="8" t="n">
        <f aca="false">R86-K86</f>
        <v>54</v>
      </c>
      <c r="AD86" s="8" t="n">
        <f aca="false">R86-L86</f>
        <v>53</v>
      </c>
      <c r="AE86" s="8" t="n">
        <f aca="false">R86-M86</f>
        <v>54</v>
      </c>
      <c r="AF86" s="8" t="n">
        <f aca="false">R86-N86</f>
        <v>55</v>
      </c>
      <c r="AG86" s="8" t="n">
        <f aca="false">R86-O86</f>
        <v>55</v>
      </c>
      <c r="AH86" s="8" t="n">
        <f aca="false">R86-P86</f>
        <v>53</v>
      </c>
      <c r="AI86" s="8" t="n">
        <f aca="false">R86-Q86</f>
        <v>54</v>
      </c>
    </row>
    <row r="87" customFormat="false" ht="15" hidden="false" customHeight="false" outlineLevel="0" collapsed="false">
      <c r="A87" s="7" t="s">
        <v>173</v>
      </c>
      <c r="B87" s="9" t="n">
        <v>4</v>
      </c>
      <c r="C87" s="9" t="n">
        <v>2</v>
      </c>
      <c r="D87" s="9" t="n">
        <v>3</v>
      </c>
      <c r="E87" s="9" t="n">
        <v>4</v>
      </c>
      <c r="F87" s="9" t="n">
        <v>3</v>
      </c>
      <c r="G87" s="9" t="n">
        <v>4</v>
      </c>
      <c r="H87" s="9" t="n">
        <v>4</v>
      </c>
      <c r="I87" s="9" t="n">
        <v>4</v>
      </c>
      <c r="J87" s="9" t="n">
        <v>2</v>
      </c>
      <c r="K87" s="9" t="n">
        <v>3</v>
      </c>
      <c r="L87" s="9" t="n">
        <v>5</v>
      </c>
      <c r="M87" s="9" t="n">
        <v>3</v>
      </c>
      <c r="N87" s="9" t="n">
        <v>4</v>
      </c>
      <c r="O87" s="9" t="n">
        <v>4</v>
      </c>
      <c r="P87" s="9" t="n">
        <v>4</v>
      </c>
      <c r="Q87" s="9" t="n">
        <v>5</v>
      </c>
      <c r="R87" s="8" t="n">
        <f aca="false">SUM(B87:Q87)</f>
        <v>58</v>
      </c>
      <c r="S87" s="8" t="str">
        <f aca="false">IF(R87&gt;=5_項目分析!$B$6,"高",IF(R87&lt;=5_項目分析!$B$5,"低",""))</f>
        <v/>
      </c>
      <c r="T87" s="8" t="n">
        <f aca="false">R87-B87</f>
        <v>54</v>
      </c>
      <c r="U87" s="8" t="n">
        <f aca="false">R87-C87</f>
        <v>56</v>
      </c>
      <c r="V87" s="8" t="n">
        <f aca="false">R87-D87</f>
        <v>55</v>
      </c>
      <c r="W87" s="8" t="n">
        <f aca="false">R87-E87</f>
        <v>54</v>
      </c>
      <c r="X87" s="8" t="n">
        <f aca="false">R87-F87</f>
        <v>55</v>
      </c>
      <c r="Y87" s="8" t="n">
        <f aca="false">R87-G87</f>
        <v>54</v>
      </c>
      <c r="Z87" s="8" t="n">
        <f aca="false">R87-H87</f>
        <v>54</v>
      </c>
      <c r="AA87" s="8" t="n">
        <f aca="false">R87-I87</f>
        <v>54</v>
      </c>
      <c r="AB87" s="8" t="n">
        <f aca="false">R87-J87</f>
        <v>56</v>
      </c>
      <c r="AC87" s="8" t="n">
        <f aca="false">R87-K87</f>
        <v>55</v>
      </c>
      <c r="AD87" s="8" t="n">
        <f aca="false">R87-L87</f>
        <v>53</v>
      </c>
      <c r="AE87" s="8" t="n">
        <f aca="false">R87-M87</f>
        <v>55</v>
      </c>
      <c r="AF87" s="8" t="n">
        <f aca="false">R87-N87</f>
        <v>54</v>
      </c>
      <c r="AG87" s="8" t="n">
        <f aca="false">R87-O87</f>
        <v>54</v>
      </c>
      <c r="AH87" s="8" t="n">
        <f aca="false">R87-P87</f>
        <v>54</v>
      </c>
      <c r="AI87" s="8" t="n">
        <f aca="false">R87-Q87</f>
        <v>53</v>
      </c>
    </row>
    <row r="88" customFormat="false" ht="15" hidden="false" customHeight="false" outlineLevel="0" collapsed="false">
      <c r="A88" s="7" t="s">
        <v>174</v>
      </c>
      <c r="B88" s="9" t="n">
        <v>4</v>
      </c>
      <c r="C88" s="9" t="n">
        <v>2</v>
      </c>
      <c r="D88" s="9" t="n">
        <v>2</v>
      </c>
      <c r="E88" s="9" t="n">
        <v>2</v>
      </c>
      <c r="F88" s="9" t="n">
        <v>2</v>
      </c>
      <c r="G88" s="9" t="n">
        <v>4</v>
      </c>
      <c r="H88" s="9" t="n">
        <v>3</v>
      </c>
      <c r="I88" s="9" t="n">
        <v>4</v>
      </c>
      <c r="J88" s="9" t="n">
        <v>4</v>
      </c>
      <c r="K88" s="9" t="n">
        <v>4</v>
      </c>
      <c r="L88" s="9" t="n">
        <v>3</v>
      </c>
      <c r="M88" s="9" t="n">
        <v>4</v>
      </c>
      <c r="N88" s="9" t="n">
        <v>3</v>
      </c>
      <c r="O88" s="9" t="n">
        <v>3</v>
      </c>
      <c r="P88" s="9" t="n">
        <v>4</v>
      </c>
      <c r="Q88" s="9" t="n">
        <v>5</v>
      </c>
      <c r="R88" s="8" t="n">
        <f aca="false">SUM(B88:Q88)</f>
        <v>53</v>
      </c>
      <c r="S88" s="8" t="str">
        <f aca="false">IF(R88&gt;=5_項目分析!$B$6,"高",IF(R88&lt;=5_項目分析!$B$5,"低",""))</f>
        <v>低</v>
      </c>
      <c r="T88" s="8" t="n">
        <f aca="false">R88-B88</f>
        <v>49</v>
      </c>
      <c r="U88" s="8" t="n">
        <f aca="false">R88-C88</f>
        <v>51</v>
      </c>
      <c r="V88" s="8" t="n">
        <f aca="false">R88-D88</f>
        <v>51</v>
      </c>
      <c r="W88" s="8" t="n">
        <f aca="false">R88-E88</f>
        <v>51</v>
      </c>
      <c r="X88" s="8" t="n">
        <f aca="false">R88-F88</f>
        <v>51</v>
      </c>
      <c r="Y88" s="8" t="n">
        <f aca="false">R88-G88</f>
        <v>49</v>
      </c>
      <c r="Z88" s="8" t="n">
        <f aca="false">R88-H88</f>
        <v>50</v>
      </c>
      <c r="AA88" s="8" t="n">
        <f aca="false">R88-I88</f>
        <v>49</v>
      </c>
      <c r="AB88" s="8" t="n">
        <f aca="false">R88-J88</f>
        <v>49</v>
      </c>
      <c r="AC88" s="8" t="n">
        <f aca="false">R88-K88</f>
        <v>49</v>
      </c>
      <c r="AD88" s="8" t="n">
        <f aca="false">R88-L88</f>
        <v>50</v>
      </c>
      <c r="AE88" s="8" t="n">
        <f aca="false">R88-M88</f>
        <v>49</v>
      </c>
      <c r="AF88" s="8" t="n">
        <f aca="false">R88-N88</f>
        <v>50</v>
      </c>
      <c r="AG88" s="8" t="n">
        <f aca="false">R88-O88</f>
        <v>50</v>
      </c>
      <c r="AH88" s="8" t="n">
        <f aca="false">R88-P88</f>
        <v>49</v>
      </c>
      <c r="AI88" s="8" t="n">
        <f aca="false">R88-Q88</f>
        <v>48</v>
      </c>
    </row>
    <row r="89" customFormat="false" ht="15" hidden="false" customHeight="false" outlineLevel="0" collapsed="false">
      <c r="A89" s="7" t="s">
        <v>175</v>
      </c>
      <c r="B89" s="9" t="n">
        <v>4</v>
      </c>
      <c r="C89" s="9" t="n">
        <v>3</v>
      </c>
      <c r="D89" s="9" t="n">
        <v>4</v>
      </c>
      <c r="E89" s="9" t="n">
        <v>4</v>
      </c>
      <c r="F89" s="9" t="n">
        <v>4</v>
      </c>
      <c r="G89" s="9" t="n">
        <v>3</v>
      </c>
      <c r="H89" s="9" t="n">
        <v>3</v>
      </c>
      <c r="I89" s="9" t="n">
        <v>3</v>
      </c>
      <c r="J89" s="9" t="n">
        <v>2</v>
      </c>
      <c r="K89" s="9" t="n">
        <v>4</v>
      </c>
      <c r="L89" s="9" t="n">
        <v>4</v>
      </c>
      <c r="M89" s="9" t="n">
        <v>4</v>
      </c>
      <c r="N89" s="9" t="n">
        <v>4</v>
      </c>
      <c r="O89" s="9" t="n">
        <v>4</v>
      </c>
      <c r="P89" s="9" t="n">
        <v>4</v>
      </c>
      <c r="Q89" s="9" t="n">
        <v>4</v>
      </c>
      <c r="R89" s="8" t="n">
        <f aca="false">SUM(B89:Q89)</f>
        <v>58</v>
      </c>
      <c r="S89" s="8" t="str">
        <f aca="false">IF(R89&gt;=5_項目分析!$B$6,"高",IF(R89&lt;=5_項目分析!$B$5,"低",""))</f>
        <v/>
      </c>
      <c r="T89" s="8" t="n">
        <f aca="false">R89-B89</f>
        <v>54</v>
      </c>
      <c r="U89" s="8" t="n">
        <f aca="false">R89-C89</f>
        <v>55</v>
      </c>
      <c r="V89" s="8" t="n">
        <f aca="false">R89-D89</f>
        <v>54</v>
      </c>
      <c r="W89" s="8" t="n">
        <f aca="false">R89-E89</f>
        <v>54</v>
      </c>
      <c r="X89" s="8" t="n">
        <f aca="false">R89-F89</f>
        <v>54</v>
      </c>
      <c r="Y89" s="8" t="n">
        <f aca="false">R89-G89</f>
        <v>55</v>
      </c>
      <c r="Z89" s="8" t="n">
        <f aca="false">R89-H89</f>
        <v>55</v>
      </c>
      <c r="AA89" s="8" t="n">
        <f aca="false">R89-I89</f>
        <v>55</v>
      </c>
      <c r="AB89" s="8" t="n">
        <f aca="false">R89-J89</f>
        <v>56</v>
      </c>
      <c r="AC89" s="8" t="n">
        <f aca="false">R89-K89</f>
        <v>54</v>
      </c>
      <c r="AD89" s="8" t="n">
        <f aca="false">R89-L89</f>
        <v>54</v>
      </c>
      <c r="AE89" s="8" t="n">
        <f aca="false">R89-M89</f>
        <v>54</v>
      </c>
      <c r="AF89" s="8" t="n">
        <f aca="false">R89-N89</f>
        <v>54</v>
      </c>
      <c r="AG89" s="8" t="n">
        <f aca="false">R89-O89</f>
        <v>54</v>
      </c>
      <c r="AH89" s="8" t="n">
        <f aca="false">R89-P89</f>
        <v>54</v>
      </c>
      <c r="AI89" s="8" t="n">
        <f aca="false">R89-Q89</f>
        <v>54</v>
      </c>
    </row>
    <row r="90" customFormat="false" ht="15" hidden="false" customHeight="false" outlineLevel="0" collapsed="false">
      <c r="A90" s="7" t="s">
        <v>176</v>
      </c>
      <c r="B90" s="9" t="n">
        <v>4</v>
      </c>
      <c r="C90" s="9" t="n">
        <v>3</v>
      </c>
      <c r="D90" s="9" t="n">
        <v>3</v>
      </c>
      <c r="E90" s="9" t="n">
        <v>4</v>
      </c>
      <c r="F90" s="9" t="n">
        <v>3</v>
      </c>
      <c r="G90" s="9" t="n">
        <v>5</v>
      </c>
      <c r="H90" s="9" t="n">
        <v>4</v>
      </c>
      <c r="I90" s="9" t="n">
        <v>4</v>
      </c>
      <c r="J90" s="9" t="n">
        <v>4</v>
      </c>
      <c r="K90" s="9" t="n">
        <v>4</v>
      </c>
      <c r="L90" s="9" t="n">
        <v>4</v>
      </c>
      <c r="M90" s="9" t="n">
        <v>3</v>
      </c>
      <c r="N90" s="9" t="n">
        <v>4</v>
      </c>
      <c r="O90" s="9" t="n">
        <v>3</v>
      </c>
      <c r="P90" s="9" t="n">
        <v>3</v>
      </c>
      <c r="Q90" s="9" t="n">
        <v>5</v>
      </c>
      <c r="R90" s="8" t="n">
        <f aca="false">SUM(B90:Q90)</f>
        <v>60</v>
      </c>
      <c r="S90" s="8" t="str">
        <f aca="false">IF(R90&gt;=5_項目分析!$B$6,"高",IF(R90&lt;=5_項目分析!$B$5,"低",""))</f>
        <v/>
      </c>
      <c r="T90" s="8" t="n">
        <f aca="false">R90-B90</f>
        <v>56</v>
      </c>
      <c r="U90" s="8" t="n">
        <f aca="false">R90-C90</f>
        <v>57</v>
      </c>
      <c r="V90" s="8" t="n">
        <f aca="false">R90-D90</f>
        <v>57</v>
      </c>
      <c r="W90" s="8" t="n">
        <f aca="false">R90-E90</f>
        <v>56</v>
      </c>
      <c r="X90" s="8" t="n">
        <f aca="false">R90-F90</f>
        <v>57</v>
      </c>
      <c r="Y90" s="8" t="n">
        <f aca="false">R90-G90</f>
        <v>55</v>
      </c>
      <c r="Z90" s="8" t="n">
        <f aca="false">R90-H90</f>
        <v>56</v>
      </c>
      <c r="AA90" s="8" t="n">
        <f aca="false">R90-I90</f>
        <v>56</v>
      </c>
      <c r="AB90" s="8" t="n">
        <f aca="false">R90-J90</f>
        <v>56</v>
      </c>
      <c r="AC90" s="8" t="n">
        <f aca="false">R90-K90</f>
        <v>56</v>
      </c>
      <c r="AD90" s="8" t="n">
        <f aca="false">R90-L90</f>
        <v>56</v>
      </c>
      <c r="AE90" s="8" t="n">
        <f aca="false">R90-M90</f>
        <v>57</v>
      </c>
      <c r="AF90" s="8" t="n">
        <f aca="false">R90-N90</f>
        <v>56</v>
      </c>
      <c r="AG90" s="8" t="n">
        <f aca="false">R90-O90</f>
        <v>57</v>
      </c>
      <c r="AH90" s="8" t="n">
        <f aca="false">R90-P90</f>
        <v>57</v>
      </c>
      <c r="AI90" s="8" t="n">
        <f aca="false">R90-Q90</f>
        <v>55</v>
      </c>
    </row>
    <row r="91" customFormat="false" ht="15" hidden="false" customHeight="false" outlineLevel="0" collapsed="false">
      <c r="A91" s="7" t="s">
        <v>177</v>
      </c>
      <c r="B91" s="9" t="n">
        <v>3</v>
      </c>
      <c r="C91" s="9" t="n">
        <v>5</v>
      </c>
      <c r="D91" s="9" t="n">
        <v>3</v>
      </c>
      <c r="E91" s="9" t="n">
        <v>4</v>
      </c>
      <c r="F91" s="9" t="n">
        <v>4</v>
      </c>
      <c r="G91" s="9" t="n">
        <v>4</v>
      </c>
      <c r="H91" s="9" t="n">
        <v>4</v>
      </c>
      <c r="I91" s="9" t="n">
        <v>3</v>
      </c>
      <c r="J91" s="9" t="n">
        <v>5</v>
      </c>
      <c r="K91" s="9" t="n">
        <v>4</v>
      </c>
      <c r="L91" s="9" t="n">
        <v>4</v>
      </c>
      <c r="M91" s="9" t="n">
        <v>4</v>
      </c>
      <c r="N91" s="9" t="n">
        <v>4</v>
      </c>
      <c r="O91" s="9" t="n">
        <v>5</v>
      </c>
      <c r="P91" s="9" t="n">
        <v>4</v>
      </c>
      <c r="Q91" s="9" t="n">
        <v>5</v>
      </c>
      <c r="R91" s="8" t="n">
        <f aca="false">SUM(B91:Q91)</f>
        <v>65</v>
      </c>
      <c r="S91" s="8" t="str">
        <f aca="false">IF(R91&gt;=5_項目分析!$B$6,"高",IF(R91&lt;=5_項目分析!$B$5,"低",""))</f>
        <v>高</v>
      </c>
      <c r="T91" s="8" t="n">
        <f aca="false">R91-B91</f>
        <v>62</v>
      </c>
      <c r="U91" s="8" t="n">
        <f aca="false">R91-C91</f>
        <v>60</v>
      </c>
      <c r="V91" s="8" t="n">
        <f aca="false">R91-D91</f>
        <v>62</v>
      </c>
      <c r="W91" s="8" t="n">
        <f aca="false">R91-E91</f>
        <v>61</v>
      </c>
      <c r="X91" s="8" t="n">
        <f aca="false">R91-F91</f>
        <v>61</v>
      </c>
      <c r="Y91" s="8" t="n">
        <f aca="false">R91-G91</f>
        <v>61</v>
      </c>
      <c r="Z91" s="8" t="n">
        <f aca="false">R91-H91</f>
        <v>61</v>
      </c>
      <c r="AA91" s="8" t="n">
        <f aca="false">R91-I91</f>
        <v>62</v>
      </c>
      <c r="AB91" s="8" t="n">
        <f aca="false">R91-J91</f>
        <v>60</v>
      </c>
      <c r="AC91" s="8" t="n">
        <f aca="false">R91-K91</f>
        <v>61</v>
      </c>
      <c r="AD91" s="8" t="n">
        <f aca="false">R91-L91</f>
        <v>61</v>
      </c>
      <c r="AE91" s="8" t="n">
        <f aca="false">R91-M91</f>
        <v>61</v>
      </c>
      <c r="AF91" s="8" t="n">
        <f aca="false">R91-N91</f>
        <v>61</v>
      </c>
      <c r="AG91" s="8" t="n">
        <f aca="false">R91-O91</f>
        <v>60</v>
      </c>
      <c r="AH91" s="8" t="n">
        <f aca="false">R91-P91</f>
        <v>61</v>
      </c>
      <c r="AI91" s="8" t="n">
        <f aca="false">R91-Q91</f>
        <v>60</v>
      </c>
    </row>
    <row r="92" customFormat="false" ht="15" hidden="false" customHeight="false" outlineLevel="0" collapsed="false">
      <c r="A92" s="7" t="s">
        <v>178</v>
      </c>
      <c r="B92" s="9" t="n">
        <v>3</v>
      </c>
      <c r="C92" s="9" t="n">
        <v>4</v>
      </c>
      <c r="D92" s="9" t="n">
        <v>4</v>
      </c>
      <c r="E92" s="9" t="n">
        <v>5</v>
      </c>
      <c r="F92" s="9" t="n">
        <v>2</v>
      </c>
      <c r="G92" s="9" t="n">
        <v>4</v>
      </c>
      <c r="H92" s="9" t="n">
        <v>4</v>
      </c>
      <c r="I92" s="9" t="n">
        <v>4</v>
      </c>
      <c r="J92" s="9" t="n">
        <v>1</v>
      </c>
      <c r="K92" s="9" t="n">
        <v>3</v>
      </c>
      <c r="L92" s="9" t="n">
        <v>4</v>
      </c>
      <c r="M92" s="9" t="n">
        <v>2</v>
      </c>
      <c r="N92" s="9" t="n">
        <v>4</v>
      </c>
      <c r="O92" s="9" t="n">
        <v>4</v>
      </c>
      <c r="P92" s="9" t="n">
        <v>5</v>
      </c>
      <c r="Q92" s="9" t="n">
        <v>5</v>
      </c>
      <c r="R92" s="8" t="n">
        <f aca="false">SUM(B92:Q92)</f>
        <v>58</v>
      </c>
      <c r="S92" s="8" t="str">
        <f aca="false">IF(R92&gt;=5_項目分析!$B$6,"高",IF(R92&lt;=5_項目分析!$B$5,"低",""))</f>
        <v/>
      </c>
      <c r="T92" s="8" t="n">
        <f aca="false">R92-B92</f>
        <v>55</v>
      </c>
      <c r="U92" s="8" t="n">
        <f aca="false">R92-C92</f>
        <v>54</v>
      </c>
      <c r="V92" s="8" t="n">
        <f aca="false">R92-D92</f>
        <v>54</v>
      </c>
      <c r="W92" s="8" t="n">
        <f aca="false">R92-E92</f>
        <v>53</v>
      </c>
      <c r="X92" s="8" t="n">
        <f aca="false">R92-F92</f>
        <v>56</v>
      </c>
      <c r="Y92" s="8" t="n">
        <f aca="false">R92-G92</f>
        <v>54</v>
      </c>
      <c r="Z92" s="8" t="n">
        <f aca="false">R92-H92</f>
        <v>54</v>
      </c>
      <c r="AA92" s="8" t="n">
        <f aca="false">R92-I92</f>
        <v>54</v>
      </c>
      <c r="AB92" s="8" t="n">
        <f aca="false">R92-J92</f>
        <v>57</v>
      </c>
      <c r="AC92" s="8" t="n">
        <f aca="false">R92-K92</f>
        <v>55</v>
      </c>
      <c r="AD92" s="8" t="n">
        <f aca="false">R92-L92</f>
        <v>54</v>
      </c>
      <c r="AE92" s="8" t="n">
        <f aca="false">R92-M92</f>
        <v>56</v>
      </c>
      <c r="AF92" s="8" t="n">
        <f aca="false">R92-N92</f>
        <v>54</v>
      </c>
      <c r="AG92" s="8" t="n">
        <f aca="false">R92-O92</f>
        <v>54</v>
      </c>
      <c r="AH92" s="8" t="n">
        <f aca="false">R92-P92</f>
        <v>53</v>
      </c>
      <c r="AI92" s="8" t="n">
        <f aca="false">R92-Q92</f>
        <v>53</v>
      </c>
    </row>
    <row r="93" customFormat="false" ht="15" hidden="false" customHeight="false" outlineLevel="0" collapsed="false">
      <c r="A93" s="7" t="s">
        <v>179</v>
      </c>
      <c r="B93" s="9" t="n">
        <v>4</v>
      </c>
      <c r="C93" s="9" t="n">
        <v>3</v>
      </c>
      <c r="D93" s="9" t="n">
        <v>4</v>
      </c>
      <c r="E93" s="9" t="n">
        <v>3</v>
      </c>
      <c r="F93" s="9" t="n">
        <v>4</v>
      </c>
      <c r="G93" s="9" t="n">
        <v>4</v>
      </c>
      <c r="H93" s="9" t="n">
        <v>4</v>
      </c>
      <c r="I93" s="9" t="n">
        <v>5</v>
      </c>
      <c r="J93" s="9" t="n">
        <v>4</v>
      </c>
      <c r="K93" s="9" t="n">
        <v>4</v>
      </c>
      <c r="L93" s="9" t="n">
        <v>4</v>
      </c>
      <c r="M93" s="9" t="n">
        <v>5</v>
      </c>
      <c r="N93" s="9" t="n">
        <v>5</v>
      </c>
      <c r="O93" s="9" t="n">
        <v>5</v>
      </c>
      <c r="P93" s="9" t="n">
        <v>5</v>
      </c>
      <c r="Q93" s="9" t="n">
        <v>5</v>
      </c>
      <c r="R93" s="8" t="n">
        <f aca="false">SUM(B93:Q93)</f>
        <v>68</v>
      </c>
      <c r="S93" s="8" t="str">
        <f aca="false">IF(R93&gt;=5_項目分析!$B$6,"高",IF(R93&lt;=5_項目分析!$B$5,"低",""))</f>
        <v>高</v>
      </c>
      <c r="T93" s="8" t="n">
        <f aca="false">R93-B93</f>
        <v>64</v>
      </c>
      <c r="U93" s="8" t="n">
        <f aca="false">R93-C93</f>
        <v>65</v>
      </c>
      <c r="V93" s="8" t="n">
        <f aca="false">R93-D93</f>
        <v>64</v>
      </c>
      <c r="W93" s="8" t="n">
        <f aca="false">R93-E93</f>
        <v>65</v>
      </c>
      <c r="X93" s="8" t="n">
        <f aca="false">R93-F93</f>
        <v>64</v>
      </c>
      <c r="Y93" s="8" t="n">
        <f aca="false">R93-G93</f>
        <v>64</v>
      </c>
      <c r="Z93" s="8" t="n">
        <f aca="false">R93-H93</f>
        <v>64</v>
      </c>
      <c r="AA93" s="8" t="n">
        <f aca="false">R93-I93</f>
        <v>63</v>
      </c>
      <c r="AB93" s="8" t="n">
        <f aca="false">R93-J93</f>
        <v>64</v>
      </c>
      <c r="AC93" s="8" t="n">
        <f aca="false">R93-K93</f>
        <v>64</v>
      </c>
      <c r="AD93" s="8" t="n">
        <f aca="false">R93-L93</f>
        <v>64</v>
      </c>
      <c r="AE93" s="8" t="n">
        <f aca="false">R93-M93</f>
        <v>63</v>
      </c>
      <c r="AF93" s="8" t="n">
        <f aca="false">R93-N93</f>
        <v>63</v>
      </c>
      <c r="AG93" s="8" t="n">
        <f aca="false">R93-O93</f>
        <v>63</v>
      </c>
      <c r="AH93" s="8" t="n">
        <f aca="false">R93-P93</f>
        <v>63</v>
      </c>
      <c r="AI93" s="8" t="n">
        <f aca="false">R93-Q93</f>
        <v>63</v>
      </c>
    </row>
    <row r="94" customFormat="false" ht="15" hidden="false" customHeight="false" outlineLevel="0" collapsed="false">
      <c r="A94" s="7" t="s">
        <v>180</v>
      </c>
      <c r="B94" s="9" t="n">
        <v>4</v>
      </c>
      <c r="C94" s="9" t="n">
        <v>3</v>
      </c>
      <c r="D94" s="9" t="n">
        <v>3</v>
      </c>
      <c r="E94" s="9" t="n">
        <v>4</v>
      </c>
      <c r="F94" s="9" t="n">
        <v>4</v>
      </c>
      <c r="G94" s="9" t="n">
        <v>4</v>
      </c>
      <c r="H94" s="9" t="n">
        <v>4</v>
      </c>
      <c r="I94" s="9" t="n">
        <v>2</v>
      </c>
      <c r="J94" s="9" t="n">
        <v>4</v>
      </c>
      <c r="K94" s="9" t="n">
        <v>3</v>
      </c>
      <c r="L94" s="9" t="n">
        <v>4</v>
      </c>
      <c r="M94" s="9" t="n">
        <v>5</v>
      </c>
      <c r="N94" s="9" t="n">
        <v>5</v>
      </c>
      <c r="O94" s="9" t="n">
        <v>5</v>
      </c>
      <c r="P94" s="9" t="n">
        <v>5</v>
      </c>
      <c r="Q94" s="9" t="n">
        <v>5</v>
      </c>
      <c r="R94" s="8" t="n">
        <f aca="false">SUM(B94:Q94)</f>
        <v>64</v>
      </c>
      <c r="S94" s="8" t="str">
        <f aca="false">IF(R94&gt;=5_項目分析!$B$6,"高",IF(R94&lt;=5_項目分析!$B$5,"低",""))</f>
        <v/>
      </c>
      <c r="T94" s="8" t="n">
        <f aca="false">R94-B94</f>
        <v>60</v>
      </c>
      <c r="U94" s="8" t="n">
        <f aca="false">R94-C94</f>
        <v>61</v>
      </c>
      <c r="V94" s="8" t="n">
        <f aca="false">R94-D94</f>
        <v>61</v>
      </c>
      <c r="W94" s="8" t="n">
        <f aca="false">R94-E94</f>
        <v>60</v>
      </c>
      <c r="X94" s="8" t="n">
        <f aca="false">R94-F94</f>
        <v>60</v>
      </c>
      <c r="Y94" s="8" t="n">
        <f aca="false">R94-G94</f>
        <v>60</v>
      </c>
      <c r="Z94" s="8" t="n">
        <f aca="false">R94-H94</f>
        <v>60</v>
      </c>
      <c r="AA94" s="8" t="n">
        <f aca="false">R94-I94</f>
        <v>62</v>
      </c>
      <c r="AB94" s="8" t="n">
        <f aca="false">R94-J94</f>
        <v>60</v>
      </c>
      <c r="AC94" s="8" t="n">
        <f aca="false">R94-K94</f>
        <v>61</v>
      </c>
      <c r="AD94" s="8" t="n">
        <f aca="false">R94-L94</f>
        <v>60</v>
      </c>
      <c r="AE94" s="8" t="n">
        <f aca="false">R94-M94</f>
        <v>59</v>
      </c>
      <c r="AF94" s="8" t="n">
        <f aca="false">R94-N94</f>
        <v>59</v>
      </c>
      <c r="AG94" s="8" t="n">
        <f aca="false">R94-O94</f>
        <v>59</v>
      </c>
      <c r="AH94" s="8" t="n">
        <f aca="false">R94-P94</f>
        <v>59</v>
      </c>
      <c r="AI94" s="8" t="n">
        <f aca="false">R94-Q94</f>
        <v>59</v>
      </c>
    </row>
    <row r="95" customFormat="false" ht="15" hidden="false" customHeight="false" outlineLevel="0" collapsed="false">
      <c r="A95" s="7" t="s">
        <v>181</v>
      </c>
      <c r="B95" s="9" t="n">
        <v>5</v>
      </c>
      <c r="C95" s="9" t="n">
        <v>4</v>
      </c>
      <c r="D95" s="9" t="n">
        <v>5</v>
      </c>
      <c r="E95" s="9" t="n">
        <v>5</v>
      </c>
      <c r="F95" s="9" t="n">
        <v>4</v>
      </c>
      <c r="G95" s="9" t="n">
        <v>3</v>
      </c>
      <c r="H95" s="9" t="n">
        <v>4</v>
      </c>
      <c r="I95" s="9" t="n">
        <v>4</v>
      </c>
      <c r="J95" s="9" t="n">
        <v>3</v>
      </c>
      <c r="K95" s="9" t="n">
        <v>4</v>
      </c>
      <c r="L95" s="9" t="n">
        <v>5</v>
      </c>
      <c r="M95" s="9" t="n">
        <v>4</v>
      </c>
      <c r="N95" s="9" t="n">
        <v>5</v>
      </c>
      <c r="O95" s="9" t="n">
        <v>4</v>
      </c>
      <c r="P95" s="9" t="n">
        <v>4</v>
      </c>
      <c r="Q95" s="9" t="n">
        <v>4</v>
      </c>
      <c r="R95" s="8" t="n">
        <f aca="false">SUM(B95:Q95)</f>
        <v>67</v>
      </c>
      <c r="S95" s="8" t="str">
        <f aca="false">IF(R95&gt;=5_項目分析!$B$6,"高",IF(R95&lt;=5_項目分析!$B$5,"低",""))</f>
        <v>高</v>
      </c>
      <c r="T95" s="8" t="n">
        <f aca="false">R95-B95</f>
        <v>62</v>
      </c>
      <c r="U95" s="8" t="n">
        <f aca="false">R95-C95</f>
        <v>63</v>
      </c>
      <c r="V95" s="8" t="n">
        <f aca="false">R95-D95</f>
        <v>62</v>
      </c>
      <c r="W95" s="8" t="n">
        <f aca="false">R95-E95</f>
        <v>62</v>
      </c>
      <c r="X95" s="8" t="n">
        <f aca="false">R95-F95</f>
        <v>63</v>
      </c>
      <c r="Y95" s="8" t="n">
        <f aca="false">R95-G95</f>
        <v>64</v>
      </c>
      <c r="Z95" s="8" t="n">
        <f aca="false">R95-H95</f>
        <v>63</v>
      </c>
      <c r="AA95" s="8" t="n">
        <f aca="false">R95-I95</f>
        <v>63</v>
      </c>
      <c r="AB95" s="8" t="n">
        <f aca="false">R95-J95</f>
        <v>64</v>
      </c>
      <c r="AC95" s="8" t="n">
        <f aca="false">R95-K95</f>
        <v>63</v>
      </c>
      <c r="AD95" s="8" t="n">
        <f aca="false">R95-L95</f>
        <v>62</v>
      </c>
      <c r="AE95" s="8" t="n">
        <f aca="false">R95-M95</f>
        <v>63</v>
      </c>
      <c r="AF95" s="8" t="n">
        <f aca="false">R95-N95</f>
        <v>62</v>
      </c>
      <c r="AG95" s="8" t="n">
        <f aca="false">R95-O95</f>
        <v>63</v>
      </c>
      <c r="AH95" s="8" t="n">
        <f aca="false">R95-P95</f>
        <v>63</v>
      </c>
      <c r="AI95" s="8" t="n">
        <f aca="false">R95-Q95</f>
        <v>63</v>
      </c>
    </row>
    <row r="96" customFormat="false" ht="15" hidden="false" customHeight="false" outlineLevel="0" collapsed="false">
      <c r="A96" s="7" t="s">
        <v>182</v>
      </c>
      <c r="B96" s="9" t="n">
        <v>2</v>
      </c>
      <c r="C96" s="9" t="n">
        <v>2</v>
      </c>
      <c r="D96" s="9" t="n">
        <v>2</v>
      </c>
      <c r="E96" s="9" t="n">
        <v>1</v>
      </c>
      <c r="F96" s="9" t="n">
        <v>2</v>
      </c>
      <c r="G96" s="9" t="n">
        <v>4</v>
      </c>
      <c r="H96" s="9" t="n">
        <v>4</v>
      </c>
      <c r="I96" s="9" t="n">
        <v>3</v>
      </c>
      <c r="J96" s="9" t="n">
        <v>3</v>
      </c>
      <c r="K96" s="9" t="n">
        <v>2</v>
      </c>
      <c r="L96" s="9" t="n">
        <v>4</v>
      </c>
      <c r="M96" s="9" t="n">
        <v>4</v>
      </c>
      <c r="N96" s="9" t="n">
        <v>4</v>
      </c>
      <c r="O96" s="9" t="n">
        <v>3</v>
      </c>
      <c r="P96" s="9" t="n">
        <v>4</v>
      </c>
      <c r="Q96" s="9" t="n">
        <v>5</v>
      </c>
      <c r="R96" s="8" t="n">
        <f aca="false">SUM(B96:Q96)</f>
        <v>49</v>
      </c>
      <c r="S96" s="8" t="str">
        <f aca="false">IF(R96&gt;=5_項目分析!$B$6,"高",IF(R96&lt;=5_項目分析!$B$5,"低",""))</f>
        <v>低</v>
      </c>
      <c r="T96" s="8" t="n">
        <f aca="false">R96-B96</f>
        <v>47</v>
      </c>
      <c r="U96" s="8" t="n">
        <f aca="false">R96-C96</f>
        <v>47</v>
      </c>
      <c r="V96" s="8" t="n">
        <f aca="false">R96-D96</f>
        <v>47</v>
      </c>
      <c r="W96" s="8" t="n">
        <f aca="false">R96-E96</f>
        <v>48</v>
      </c>
      <c r="X96" s="8" t="n">
        <f aca="false">R96-F96</f>
        <v>47</v>
      </c>
      <c r="Y96" s="8" t="n">
        <f aca="false">R96-G96</f>
        <v>45</v>
      </c>
      <c r="Z96" s="8" t="n">
        <f aca="false">R96-H96</f>
        <v>45</v>
      </c>
      <c r="AA96" s="8" t="n">
        <f aca="false">R96-I96</f>
        <v>46</v>
      </c>
      <c r="AB96" s="8" t="n">
        <f aca="false">R96-J96</f>
        <v>46</v>
      </c>
      <c r="AC96" s="8" t="n">
        <f aca="false">R96-K96</f>
        <v>47</v>
      </c>
      <c r="AD96" s="8" t="n">
        <f aca="false">R96-L96</f>
        <v>45</v>
      </c>
      <c r="AE96" s="8" t="n">
        <f aca="false">R96-M96</f>
        <v>45</v>
      </c>
      <c r="AF96" s="8" t="n">
        <f aca="false">R96-N96</f>
        <v>45</v>
      </c>
      <c r="AG96" s="8" t="n">
        <f aca="false">R96-O96</f>
        <v>46</v>
      </c>
      <c r="AH96" s="8" t="n">
        <f aca="false">R96-P96</f>
        <v>45</v>
      </c>
      <c r="AI96" s="8" t="n">
        <f aca="false">R96-Q96</f>
        <v>44</v>
      </c>
    </row>
    <row r="97" customFormat="false" ht="15" hidden="false" customHeight="false" outlineLevel="0" collapsed="false">
      <c r="A97" s="7" t="s">
        <v>183</v>
      </c>
      <c r="B97" s="9" t="n">
        <v>4</v>
      </c>
      <c r="C97" s="9" t="n">
        <v>5</v>
      </c>
      <c r="D97" s="9" t="n">
        <v>4</v>
      </c>
      <c r="E97" s="9" t="n">
        <v>4</v>
      </c>
      <c r="F97" s="9" t="n">
        <v>4</v>
      </c>
      <c r="G97" s="9" t="n">
        <v>4</v>
      </c>
      <c r="H97" s="9" t="n">
        <v>4</v>
      </c>
      <c r="I97" s="9" t="n">
        <v>4</v>
      </c>
      <c r="J97" s="9" t="n">
        <v>3</v>
      </c>
      <c r="K97" s="9" t="n">
        <v>4</v>
      </c>
      <c r="L97" s="9" t="n">
        <v>4</v>
      </c>
      <c r="M97" s="9" t="n">
        <v>2</v>
      </c>
      <c r="N97" s="9" t="n">
        <v>3</v>
      </c>
      <c r="O97" s="9" t="n">
        <v>4</v>
      </c>
      <c r="P97" s="9" t="n">
        <v>5</v>
      </c>
      <c r="Q97" s="9" t="n">
        <v>3</v>
      </c>
      <c r="R97" s="8" t="n">
        <f aca="false">SUM(B97:Q97)</f>
        <v>61</v>
      </c>
      <c r="S97" s="8" t="str">
        <f aca="false">IF(R97&gt;=5_項目分析!$B$6,"高",IF(R97&lt;=5_項目分析!$B$5,"低",""))</f>
        <v/>
      </c>
      <c r="T97" s="8" t="n">
        <f aca="false">R97-B97</f>
        <v>57</v>
      </c>
      <c r="U97" s="8" t="n">
        <f aca="false">R97-C97</f>
        <v>56</v>
      </c>
      <c r="V97" s="8" t="n">
        <f aca="false">R97-D97</f>
        <v>57</v>
      </c>
      <c r="W97" s="8" t="n">
        <f aca="false">R97-E97</f>
        <v>57</v>
      </c>
      <c r="X97" s="8" t="n">
        <f aca="false">R97-F97</f>
        <v>57</v>
      </c>
      <c r="Y97" s="8" t="n">
        <f aca="false">R97-G97</f>
        <v>57</v>
      </c>
      <c r="Z97" s="8" t="n">
        <f aca="false">R97-H97</f>
        <v>57</v>
      </c>
      <c r="AA97" s="8" t="n">
        <f aca="false">R97-I97</f>
        <v>57</v>
      </c>
      <c r="AB97" s="8" t="n">
        <f aca="false">R97-J97</f>
        <v>58</v>
      </c>
      <c r="AC97" s="8" t="n">
        <f aca="false">R97-K97</f>
        <v>57</v>
      </c>
      <c r="AD97" s="8" t="n">
        <f aca="false">R97-L97</f>
        <v>57</v>
      </c>
      <c r="AE97" s="8" t="n">
        <f aca="false">R97-M97</f>
        <v>59</v>
      </c>
      <c r="AF97" s="8" t="n">
        <f aca="false">R97-N97</f>
        <v>58</v>
      </c>
      <c r="AG97" s="8" t="n">
        <f aca="false">R97-O97</f>
        <v>57</v>
      </c>
      <c r="AH97" s="8" t="n">
        <f aca="false">R97-P97</f>
        <v>56</v>
      </c>
      <c r="AI97" s="8" t="n">
        <f aca="false">R97-Q97</f>
        <v>58</v>
      </c>
    </row>
    <row r="98" customFormat="false" ht="15" hidden="false" customHeight="false" outlineLevel="0" collapsed="false">
      <c r="A98" s="7" t="s">
        <v>184</v>
      </c>
      <c r="B98" s="9" t="n">
        <v>5</v>
      </c>
      <c r="C98" s="9" t="n">
        <v>4</v>
      </c>
      <c r="D98" s="9" t="n">
        <v>5</v>
      </c>
      <c r="E98" s="9" t="n">
        <v>3</v>
      </c>
      <c r="F98" s="9" t="n">
        <v>4</v>
      </c>
      <c r="G98" s="9" t="n">
        <v>3</v>
      </c>
      <c r="H98" s="9" t="n">
        <v>4</v>
      </c>
      <c r="I98" s="9" t="n">
        <v>2</v>
      </c>
      <c r="J98" s="9" t="n">
        <v>4</v>
      </c>
      <c r="K98" s="9" t="n">
        <v>3</v>
      </c>
      <c r="L98" s="9" t="n">
        <v>4</v>
      </c>
      <c r="M98" s="9" t="n">
        <v>3</v>
      </c>
      <c r="N98" s="9" t="n">
        <v>4</v>
      </c>
      <c r="O98" s="9" t="n">
        <v>4</v>
      </c>
      <c r="P98" s="9" t="n">
        <v>2</v>
      </c>
      <c r="Q98" s="9" t="n">
        <v>5</v>
      </c>
      <c r="R98" s="8" t="n">
        <f aca="false">SUM(B98:Q98)</f>
        <v>59</v>
      </c>
      <c r="S98" s="8" t="str">
        <f aca="false">IF(R98&gt;=5_項目分析!$B$6,"高",IF(R98&lt;=5_項目分析!$B$5,"低",""))</f>
        <v/>
      </c>
      <c r="T98" s="8" t="n">
        <f aca="false">R98-B98</f>
        <v>54</v>
      </c>
      <c r="U98" s="8" t="n">
        <f aca="false">R98-C98</f>
        <v>55</v>
      </c>
      <c r="V98" s="8" t="n">
        <f aca="false">R98-D98</f>
        <v>54</v>
      </c>
      <c r="W98" s="8" t="n">
        <f aca="false">R98-E98</f>
        <v>56</v>
      </c>
      <c r="X98" s="8" t="n">
        <f aca="false">R98-F98</f>
        <v>55</v>
      </c>
      <c r="Y98" s="8" t="n">
        <f aca="false">R98-G98</f>
        <v>56</v>
      </c>
      <c r="Z98" s="8" t="n">
        <f aca="false">R98-H98</f>
        <v>55</v>
      </c>
      <c r="AA98" s="8" t="n">
        <f aca="false">R98-I98</f>
        <v>57</v>
      </c>
      <c r="AB98" s="8" t="n">
        <f aca="false">R98-J98</f>
        <v>55</v>
      </c>
      <c r="AC98" s="8" t="n">
        <f aca="false">R98-K98</f>
        <v>56</v>
      </c>
      <c r="AD98" s="8" t="n">
        <f aca="false">R98-L98</f>
        <v>55</v>
      </c>
      <c r="AE98" s="8" t="n">
        <f aca="false">R98-M98</f>
        <v>56</v>
      </c>
      <c r="AF98" s="8" t="n">
        <f aca="false">R98-N98</f>
        <v>55</v>
      </c>
      <c r="AG98" s="8" t="n">
        <f aca="false">R98-O98</f>
        <v>55</v>
      </c>
      <c r="AH98" s="8" t="n">
        <f aca="false">R98-P98</f>
        <v>57</v>
      </c>
      <c r="AI98" s="8" t="n">
        <f aca="false">R98-Q98</f>
        <v>54</v>
      </c>
    </row>
    <row r="99" customFormat="false" ht="15" hidden="false" customHeight="false" outlineLevel="0" collapsed="false">
      <c r="A99" s="7" t="s">
        <v>185</v>
      </c>
      <c r="B99" s="9" t="n">
        <v>3</v>
      </c>
      <c r="C99" s="9" t="n">
        <v>3</v>
      </c>
      <c r="D99" s="9" t="n">
        <v>3</v>
      </c>
      <c r="E99" s="9" t="n">
        <v>3</v>
      </c>
      <c r="F99" s="9" t="n">
        <v>3</v>
      </c>
      <c r="G99" s="9" t="n">
        <v>3</v>
      </c>
      <c r="H99" s="9" t="n">
        <v>4</v>
      </c>
      <c r="I99" s="9" t="n">
        <v>3</v>
      </c>
      <c r="J99" s="9" t="n">
        <v>4</v>
      </c>
      <c r="K99" s="9" t="n">
        <v>3</v>
      </c>
      <c r="L99" s="9" t="n">
        <v>3</v>
      </c>
      <c r="M99" s="9" t="n">
        <v>4</v>
      </c>
      <c r="N99" s="9" t="n">
        <v>5</v>
      </c>
      <c r="O99" s="9" t="n">
        <v>3</v>
      </c>
      <c r="P99" s="9" t="n">
        <v>5</v>
      </c>
      <c r="Q99" s="9" t="n">
        <v>5</v>
      </c>
      <c r="R99" s="8" t="n">
        <f aca="false">SUM(B99:Q99)</f>
        <v>57</v>
      </c>
      <c r="S99" s="8" t="str">
        <f aca="false">IF(R99&gt;=5_項目分析!$B$6,"高",IF(R99&lt;=5_項目分析!$B$5,"低",""))</f>
        <v/>
      </c>
      <c r="T99" s="8" t="n">
        <f aca="false">R99-B99</f>
        <v>54</v>
      </c>
      <c r="U99" s="8" t="n">
        <f aca="false">R99-C99</f>
        <v>54</v>
      </c>
      <c r="V99" s="8" t="n">
        <f aca="false">R99-D99</f>
        <v>54</v>
      </c>
      <c r="W99" s="8" t="n">
        <f aca="false">R99-E99</f>
        <v>54</v>
      </c>
      <c r="X99" s="8" t="n">
        <f aca="false">R99-F99</f>
        <v>54</v>
      </c>
      <c r="Y99" s="8" t="n">
        <f aca="false">R99-G99</f>
        <v>54</v>
      </c>
      <c r="Z99" s="8" t="n">
        <f aca="false">R99-H99</f>
        <v>53</v>
      </c>
      <c r="AA99" s="8" t="n">
        <f aca="false">R99-I99</f>
        <v>54</v>
      </c>
      <c r="AB99" s="8" t="n">
        <f aca="false">R99-J99</f>
        <v>53</v>
      </c>
      <c r="AC99" s="8" t="n">
        <f aca="false">R99-K99</f>
        <v>54</v>
      </c>
      <c r="AD99" s="8" t="n">
        <f aca="false">R99-L99</f>
        <v>54</v>
      </c>
      <c r="AE99" s="8" t="n">
        <f aca="false">R99-M99</f>
        <v>53</v>
      </c>
      <c r="AF99" s="8" t="n">
        <f aca="false">R99-N99</f>
        <v>52</v>
      </c>
      <c r="AG99" s="8" t="n">
        <f aca="false">R99-O99</f>
        <v>54</v>
      </c>
      <c r="AH99" s="8" t="n">
        <f aca="false">R99-P99</f>
        <v>52</v>
      </c>
      <c r="AI99" s="8" t="n">
        <f aca="false">R99-Q99</f>
        <v>52</v>
      </c>
    </row>
    <row r="100" customFormat="false" ht="15" hidden="false" customHeight="false" outlineLevel="0" collapsed="false">
      <c r="A100" s="7" t="s">
        <v>186</v>
      </c>
      <c r="B100" s="9" t="n">
        <v>4</v>
      </c>
      <c r="C100" s="9" t="n">
        <v>4</v>
      </c>
      <c r="D100" s="9" t="n">
        <v>4</v>
      </c>
      <c r="E100" s="9" t="n">
        <v>5</v>
      </c>
      <c r="F100" s="9" t="n">
        <v>3</v>
      </c>
      <c r="G100" s="9" t="n">
        <v>5</v>
      </c>
      <c r="H100" s="9" t="n">
        <v>4</v>
      </c>
      <c r="I100" s="9" t="n">
        <v>5</v>
      </c>
      <c r="J100" s="9" t="n">
        <v>5</v>
      </c>
      <c r="K100" s="9" t="n">
        <v>5</v>
      </c>
      <c r="L100" s="9" t="n">
        <v>3</v>
      </c>
      <c r="M100" s="9" t="n">
        <v>2</v>
      </c>
      <c r="N100" s="9" t="n">
        <v>3</v>
      </c>
      <c r="O100" s="9" t="n">
        <v>1</v>
      </c>
      <c r="P100" s="9" t="n">
        <v>1</v>
      </c>
      <c r="Q100" s="9" t="n">
        <v>5</v>
      </c>
      <c r="R100" s="8" t="n">
        <f aca="false">SUM(B100:Q100)</f>
        <v>59</v>
      </c>
      <c r="S100" s="8" t="str">
        <f aca="false">IF(R100&gt;=5_項目分析!$B$6,"高",IF(R100&lt;=5_項目分析!$B$5,"低",""))</f>
        <v/>
      </c>
      <c r="T100" s="8" t="n">
        <f aca="false">R100-B100</f>
        <v>55</v>
      </c>
      <c r="U100" s="8" t="n">
        <f aca="false">R100-C100</f>
        <v>55</v>
      </c>
      <c r="V100" s="8" t="n">
        <f aca="false">R100-D100</f>
        <v>55</v>
      </c>
      <c r="W100" s="8" t="n">
        <f aca="false">R100-E100</f>
        <v>54</v>
      </c>
      <c r="X100" s="8" t="n">
        <f aca="false">R100-F100</f>
        <v>56</v>
      </c>
      <c r="Y100" s="8" t="n">
        <f aca="false">R100-G100</f>
        <v>54</v>
      </c>
      <c r="Z100" s="8" t="n">
        <f aca="false">R100-H100</f>
        <v>55</v>
      </c>
      <c r="AA100" s="8" t="n">
        <f aca="false">R100-I100</f>
        <v>54</v>
      </c>
      <c r="AB100" s="8" t="n">
        <f aca="false">R100-J100</f>
        <v>54</v>
      </c>
      <c r="AC100" s="8" t="n">
        <f aca="false">R100-K100</f>
        <v>54</v>
      </c>
      <c r="AD100" s="8" t="n">
        <f aca="false">R100-L100</f>
        <v>56</v>
      </c>
      <c r="AE100" s="8" t="n">
        <f aca="false">R100-M100</f>
        <v>57</v>
      </c>
      <c r="AF100" s="8" t="n">
        <f aca="false">R100-N100</f>
        <v>56</v>
      </c>
      <c r="AG100" s="8" t="n">
        <f aca="false">R100-O100</f>
        <v>58</v>
      </c>
      <c r="AH100" s="8" t="n">
        <f aca="false">R100-P100</f>
        <v>58</v>
      </c>
      <c r="AI100" s="8" t="n">
        <f aca="false">R100-Q100</f>
        <v>54</v>
      </c>
    </row>
    <row r="101" customFormat="false" ht="15" hidden="false" customHeight="false" outlineLevel="0" collapsed="false">
      <c r="A101" s="7" t="s">
        <v>187</v>
      </c>
      <c r="B101" s="9" t="n">
        <v>4</v>
      </c>
      <c r="C101" s="9" t="n">
        <v>5</v>
      </c>
      <c r="D101" s="9" t="n">
        <v>4</v>
      </c>
      <c r="E101" s="9" t="n">
        <v>4</v>
      </c>
      <c r="F101" s="9" t="n">
        <v>5</v>
      </c>
      <c r="G101" s="9" t="n">
        <v>3</v>
      </c>
      <c r="H101" s="9" t="n">
        <v>3</v>
      </c>
      <c r="I101" s="9" t="n">
        <v>3</v>
      </c>
      <c r="J101" s="9" t="n">
        <v>3</v>
      </c>
      <c r="K101" s="9" t="n">
        <v>3</v>
      </c>
      <c r="L101" s="9" t="n">
        <v>3</v>
      </c>
      <c r="M101" s="9" t="n">
        <v>4</v>
      </c>
      <c r="N101" s="9" t="n">
        <v>4</v>
      </c>
      <c r="O101" s="9" t="n">
        <v>4</v>
      </c>
      <c r="P101" s="9" t="n">
        <v>3</v>
      </c>
      <c r="Q101" s="9" t="n">
        <v>5</v>
      </c>
      <c r="R101" s="8" t="n">
        <f aca="false">SUM(B101:Q101)</f>
        <v>60</v>
      </c>
      <c r="S101" s="8" t="str">
        <f aca="false">IF(R101&gt;=5_項目分析!$B$6,"高",IF(R101&lt;=5_項目分析!$B$5,"低",""))</f>
        <v/>
      </c>
      <c r="T101" s="8" t="n">
        <f aca="false">R101-B101</f>
        <v>56</v>
      </c>
      <c r="U101" s="8" t="n">
        <f aca="false">R101-C101</f>
        <v>55</v>
      </c>
      <c r="V101" s="8" t="n">
        <f aca="false">R101-D101</f>
        <v>56</v>
      </c>
      <c r="W101" s="8" t="n">
        <f aca="false">R101-E101</f>
        <v>56</v>
      </c>
      <c r="X101" s="8" t="n">
        <f aca="false">R101-F101</f>
        <v>55</v>
      </c>
      <c r="Y101" s="8" t="n">
        <f aca="false">R101-G101</f>
        <v>57</v>
      </c>
      <c r="Z101" s="8" t="n">
        <f aca="false">R101-H101</f>
        <v>57</v>
      </c>
      <c r="AA101" s="8" t="n">
        <f aca="false">R101-I101</f>
        <v>57</v>
      </c>
      <c r="AB101" s="8" t="n">
        <f aca="false">R101-J101</f>
        <v>57</v>
      </c>
      <c r="AC101" s="8" t="n">
        <f aca="false">R101-K101</f>
        <v>57</v>
      </c>
      <c r="AD101" s="8" t="n">
        <f aca="false">R101-L101</f>
        <v>57</v>
      </c>
      <c r="AE101" s="8" t="n">
        <f aca="false">R101-M101</f>
        <v>56</v>
      </c>
      <c r="AF101" s="8" t="n">
        <f aca="false">R101-N101</f>
        <v>56</v>
      </c>
      <c r="AG101" s="8" t="n">
        <f aca="false">R101-O101</f>
        <v>56</v>
      </c>
      <c r="AH101" s="8" t="n">
        <f aca="false">R101-P101</f>
        <v>57</v>
      </c>
      <c r="AI101" s="8" t="n">
        <f aca="false">R101-Q101</f>
        <v>55</v>
      </c>
    </row>
    <row r="102" customFormat="false" ht="15" hidden="false" customHeight="false" outlineLevel="0" collapsed="false">
      <c r="A102" s="7" t="s">
        <v>188</v>
      </c>
      <c r="B102" s="9" t="n">
        <v>4</v>
      </c>
      <c r="C102" s="9" t="n">
        <v>5</v>
      </c>
      <c r="D102" s="9" t="n">
        <v>4</v>
      </c>
      <c r="E102" s="9" t="n">
        <v>4</v>
      </c>
      <c r="F102" s="9" t="n">
        <v>3</v>
      </c>
      <c r="G102" s="9" t="n">
        <v>3</v>
      </c>
      <c r="H102" s="9" t="n">
        <v>3</v>
      </c>
      <c r="I102" s="9" t="n">
        <v>4</v>
      </c>
      <c r="J102" s="9" t="n">
        <v>5</v>
      </c>
      <c r="K102" s="9" t="n">
        <v>4</v>
      </c>
      <c r="L102" s="9" t="n">
        <v>4</v>
      </c>
      <c r="M102" s="9" t="n">
        <v>3</v>
      </c>
      <c r="N102" s="9" t="n">
        <v>4</v>
      </c>
      <c r="O102" s="9" t="n">
        <v>3</v>
      </c>
      <c r="P102" s="9" t="n">
        <v>3</v>
      </c>
      <c r="Q102" s="9" t="n">
        <v>5</v>
      </c>
      <c r="R102" s="8" t="n">
        <f aca="false">SUM(B102:Q102)</f>
        <v>61</v>
      </c>
      <c r="S102" s="8" t="str">
        <f aca="false">IF(R102&gt;=5_項目分析!$B$6,"高",IF(R102&lt;=5_項目分析!$B$5,"低",""))</f>
        <v/>
      </c>
      <c r="T102" s="8" t="n">
        <f aca="false">R102-B102</f>
        <v>57</v>
      </c>
      <c r="U102" s="8" t="n">
        <f aca="false">R102-C102</f>
        <v>56</v>
      </c>
      <c r="V102" s="8" t="n">
        <f aca="false">R102-D102</f>
        <v>57</v>
      </c>
      <c r="W102" s="8" t="n">
        <f aca="false">R102-E102</f>
        <v>57</v>
      </c>
      <c r="X102" s="8" t="n">
        <f aca="false">R102-F102</f>
        <v>58</v>
      </c>
      <c r="Y102" s="8" t="n">
        <f aca="false">R102-G102</f>
        <v>58</v>
      </c>
      <c r="Z102" s="8" t="n">
        <f aca="false">R102-H102</f>
        <v>58</v>
      </c>
      <c r="AA102" s="8" t="n">
        <f aca="false">R102-I102</f>
        <v>57</v>
      </c>
      <c r="AB102" s="8" t="n">
        <f aca="false">R102-J102</f>
        <v>56</v>
      </c>
      <c r="AC102" s="8" t="n">
        <f aca="false">R102-K102</f>
        <v>57</v>
      </c>
      <c r="AD102" s="8" t="n">
        <f aca="false">R102-L102</f>
        <v>57</v>
      </c>
      <c r="AE102" s="8" t="n">
        <f aca="false">R102-M102</f>
        <v>58</v>
      </c>
      <c r="AF102" s="8" t="n">
        <f aca="false">R102-N102</f>
        <v>57</v>
      </c>
      <c r="AG102" s="8" t="n">
        <f aca="false">R102-O102</f>
        <v>58</v>
      </c>
      <c r="AH102" s="8" t="n">
        <f aca="false">R102-P102</f>
        <v>58</v>
      </c>
      <c r="AI102" s="8" t="n">
        <f aca="false">R102-Q102</f>
        <v>56</v>
      </c>
    </row>
    <row r="103" customFormat="false" ht="15" hidden="false" customHeight="false" outlineLevel="0" collapsed="false">
      <c r="A103" s="7" t="s">
        <v>189</v>
      </c>
      <c r="B103" s="9" t="n">
        <v>1</v>
      </c>
      <c r="C103" s="9" t="n">
        <v>1</v>
      </c>
      <c r="D103" s="9" t="n">
        <v>2</v>
      </c>
      <c r="E103" s="9" t="n">
        <v>3</v>
      </c>
      <c r="F103" s="9" t="n">
        <v>2</v>
      </c>
      <c r="G103" s="9" t="n">
        <v>4</v>
      </c>
      <c r="H103" s="9" t="n">
        <v>3</v>
      </c>
      <c r="I103" s="9" t="n">
        <v>2</v>
      </c>
      <c r="J103" s="9" t="n">
        <v>2</v>
      </c>
      <c r="K103" s="9" t="n">
        <v>3</v>
      </c>
      <c r="L103" s="9" t="n">
        <v>2</v>
      </c>
      <c r="M103" s="9" t="n">
        <v>4</v>
      </c>
      <c r="N103" s="9" t="n">
        <v>4</v>
      </c>
      <c r="O103" s="9" t="n">
        <v>3</v>
      </c>
      <c r="P103" s="9" t="n">
        <v>4</v>
      </c>
      <c r="Q103" s="9" t="n">
        <v>5</v>
      </c>
      <c r="R103" s="8" t="n">
        <f aca="false">SUM(B103:Q103)</f>
        <v>45</v>
      </c>
      <c r="S103" s="8" t="str">
        <f aca="false">IF(R103&gt;=5_項目分析!$B$6,"高",IF(R103&lt;=5_項目分析!$B$5,"低",""))</f>
        <v>低</v>
      </c>
      <c r="T103" s="8" t="n">
        <f aca="false">R103-B103</f>
        <v>44</v>
      </c>
      <c r="U103" s="8" t="n">
        <f aca="false">R103-C103</f>
        <v>44</v>
      </c>
      <c r="V103" s="8" t="n">
        <f aca="false">R103-D103</f>
        <v>43</v>
      </c>
      <c r="W103" s="8" t="n">
        <f aca="false">R103-E103</f>
        <v>42</v>
      </c>
      <c r="X103" s="8" t="n">
        <f aca="false">R103-F103</f>
        <v>43</v>
      </c>
      <c r="Y103" s="8" t="n">
        <f aca="false">R103-G103</f>
        <v>41</v>
      </c>
      <c r="Z103" s="8" t="n">
        <f aca="false">R103-H103</f>
        <v>42</v>
      </c>
      <c r="AA103" s="8" t="n">
        <f aca="false">R103-I103</f>
        <v>43</v>
      </c>
      <c r="AB103" s="8" t="n">
        <f aca="false">R103-J103</f>
        <v>43</v>
      </c>
      <c r="AC103" s="8" t="n">
        <f aca="false">R103-K103</f>
        <v>42</v>
      </c>
      <c r="AD103" s="8" t="n">
        <f aca="false">R103-L103</f>
        <v>43</v>
      </c>
      <c r="AE103" s="8" t="n">
        <f aca="false">R103-M103</f>
        <v>41</v>
      </c>
      <c r="AF103" s="8" t="n">
        <f aca="false">R103-N103</f>
        <v>41</v>
      </c>
      <c r="AG103" s="8" t="n">
        <f aca="false">R103-O103</f>
        <v>42</v>
      </c>
      <c r="AH103" s="8" t="n">
        <f aca="false">R103-P103</f>
        <v>41</v>
      </c>
      <c r="AI103" s="8" t="n">
        <f aca="false">R103-Q103</f>
        <v>40</v>
      </c>
    </row>
    <row r="104" customFormat="false" ht="15" hidden="false" customHeight="false" outlineLevel="0" collapsed="false">
      <c r="A104" s="7" t="s">
        <v>190</v>
      </c>
      <c r="B104" s="9" t="n">
        <v>3</v>
      </c>
      <c r="C104" s="9" t="n">
        <v>3</v>
      </c>
      <c r="D104" s="9" t="n">
        <v>3</v>
      </c>
      <c r="E104" s="9" t="n">
        <v>4</v>
      </c>
      <c r="F104" s="9" t="n">
        <v>4</v>
      </c>
      <c r="G104" s="9" t="n">
        <v>5</v>
      </c>
      <c r="H104" s="9" t="n">
        <v>4</v>
      </c>
      <c r="I104" s="9" t="n">
        <v>4</v>
      </c>
      <c r="J104" s="9" t="n">
        <v>2</v>
      </c>
      <c r="K104" s="9" t="n">
        <v>3</v>
      </c>
      <c r="L104" s="9" t="n">
        <v>5</v>
      </c>
      <c r="M104" s="9" t="n">
        <v>5</v>
      </c>
      <c r="N104" s="9" t="n">
        <v>5</v>
      </c>
      <c r="O104" s="9" t="n">
        <v>5</v>
      </c>
      <c r="P104" s="9" t="n">
        <v>5</v>
      </c>
      <c r="Q104" s="9" t="n">
        <v>5</v>
      </c>
      <c r="R104" s="8" t="n">
        <f aca="false">SUM(B104:Q104)</f>
        <v>65</v>
      </c>
      <c r="S104" s="8" t="str">
        <f aca="false">IF(R104&gt;=5_項目分析!$B$6,"高",IF(R104&lt;=5_項目分析!$B$5,"低",""))</f>
        <v>高</v>
      </c>
      <c r="T104" s="8" t="n">
        <f aca="false">R104-B104</f>
        <v>62</v>
      </c>
      <c r="U104" s="8" t="n">
        <f aca="false">R104-C104</f>
        <v>62</v>
      </c>
      <c r="V104" s="8" t="n">
        <f aca="false">R104-D104</f>
        <v>62</v>
      </c>
      <c r="W104" s="8" t="n">
        <f aca="false">R104-E104</f>
        <v>61</v>
      </c>
      <c r="X104" s="8" t="n">
        <f aca="false">R104-F104</f>
        <v>61</v>
      </c>
      <c r="Y104" s="8" t="n">
        <f aca="false">R104-G104</f>
        <v>60</v>
      </c>
      <c r="Z104" s="8" t="n">
        <f aca="false">R104-H104</f>
        <v>61</v>
      </c>
      <c r="AA104" s="8" t="n">
        <f aca="false">R104-I104</f>
        <v>61</v>
      </c>
      <c r="AB104" s="8" t="n">
        <f aca="false">R104-J104</f>
        <v>63</v>
      </c>
      <c r="AC104" s="8" t="n">
        <f aca="false">R104-K104</f>
        <v>62</v>
      </c>
      <c r="AD104" s="8" t="n">
        <f aca="false">R104-L104</f>
        <v>60</v>
      </c>
      <c r="AE104" s="8" t="n">
        <f aca="false">R104-M104</f>
        <v>60</v>
      </c>
      <c r="AF104" s="8" t="n">
        <f aca="false">R104-N104</f>
        <v>60</v>
      </c>
      <c r="AG104" s="8" t="n">
        <f aca="false">R104-O104</f>
        <v>60</v>
      </c>
      <c r="AH104" s="8" t="n">
        <f aca="false">R104-P104</f>
        <v>60</v>
      </c>
      <c r="AI104" s="8" t="n">
        <f aca="false">R104-Q104</f>
        <v>60</v>
      </c>
    </row>
    <row r="105" customFormat="false" ht="15" hidden="false" customHeight="false" outlineLevel="0" collapsed="false">
      <c r="A105" s="7" t="s">
        <v>191</v>
      </c>
      <c r="B105" s="9" t="n">
        <v>5</v>
      </c>
      <c r="C105" s="9" t="n">
        <v>5</v>
      </c>
      <c r="D105" s="9" t="n">
        <v>5</v>
      </c>
      <c r="E105" s="9" t="n">
        <v>4</v>
      </c>
      <c r="F105" s="9" t="n">
        <v>4</v>
      </c>
      <c r="G105" s="9" t="n">
        <v>3</v>
      </c>
      <c r="H105" s="9" t="n">
        <v>3</v>
      </c>
      <c r="I105" s="9" t="n">
        <v>2</v>
      </c>
      <c r="J105" s="9" t="n">
        <v>2</v>
      </c>
      <c r="K105" s="9" t="n">
        <v>3</v>
      </c>
      <c r="L105" s="9" t="n">
        <v>3</v>
      </c>
      <c r="M105" s="9" t="n">
        <v>2</v>
      </c>
      <c r="N105" s="9" t="n">
        <v>3</v>
      </c>
      <c r="O105" s="9" t="n">
        <v>4</v>
      </c>
      <c r="P105" s="9" t="n">
        <v>3</v>
      </c>
      <c r="Q105" s="9" t="n">
        <v>5</v>
      </c>
      <c r="R105" s="8" t="n">
        <f aca="false">SUM(B105:Q105)</f>
        <v>56</v>
      </c>
      <c r="S105" s="8" t="str">
        <f aca="false">IF(R105&gt;=5_項目分析!$B$6,"高",IF(R105&lt;=5_項目分析!$B$5,"低",""))</f>
        <v>低</v>
      </c>
      <c r="T105" s="8" t="n">
        <f aca="false">R105-B105</f>
        <v>51</v>
      </c>
      <c r="U105" s="8" t="n">
        <f aca="false">R105-C105</f>
        <v>51</v>
      </c>
      <c r="V105" s="8" t="n">
        <f aca="false">R105-D105</f>
        <v>51</v>
      </c>
      <c r="W105" s="8" t="n">
        <f aca="false">R105-E105</f>
        <v>52</v>
      </c>
      <c r="X105" s="8" t="n">
        <f aca="false">R105-F105</f>
        <v>52</v>
      </c>
      <c r="Y105" s="8" t="n">
        <f aca="false">R105-G105</f>
        <v>53</v>
      </c>
      <c r="Z105" s="8" t="n">
        <f aca="false">R105-H105</f>
        <v>53</v>
      </c>
      <c r="AA105" s="8" t="n">
        <f aca="false">R105-I105</f>
        <v>54</v>
      </c>
      <c r="AB105" s="8" t="n">
        <f aca="false">R105-J105</f>
        <v>54</v>
      </c>
      <c r="AC105" s="8" t="n">
        <f aca="false">R105-K105</f>
        <v>53</v>
      </c>
      <c r="AD105" s="8" t="n">
        <f aca="false">R105-L105</f>
        <v>53</v>
      </c>
      <c r="AE105" s="8" t="n">
        <f aca="false">R105-M105</f>
        <v>54</v>
      </c>
      <c r="AF105" s="8" t="n">
        <f aca="false">R105-N105</f>
        <v>53</v>
      </c>
      <c r="AG105" s="8" t="n">
        <f aca="false">R105-O105</f>
        <v>52</v>
      </c>
      <c r="AH105" s="8" t="n">
        <f aca="false">R105-P105</f>
        <v>53</v>
      </c>
      <c r="AI105" s="8" t="n">
        <f aca="false">R105-Q105</f>
        <v>51</v>
      </c>
    </row>
    <row r="106" customFormat="false" ht="15" hidden="false" customHeight="false" outlineLevel="0" collapsed="false">
      <c r="A106" s="7" t="s">
        <v>192</v>
      </c>
      <c r="B106" s="9" t="n">
        <v>4</v>
      </c>
      <c r="C106" s="9" t="n">
        <v>4</v>
      </c>
      <c r="D106" s="9" t="n">
        <v>5</v>
      </c>
      <c r="E106" s="9" t="n">
        <v>4</v>
      </c>
      <c r="F106" s="9" t="n">
        <v>4</v>
      </c>
      <c r="G106" s="9" t="n">
        <v>3</v>
      </c>
      <c r="H106" s="9" t="n">
        <v>3</v>
      </c>
      <c r="I106" s="9" t="n">
        <v>2</v>
      </c>
      <c r="J106" s="9" t="n">
        <v>2</v>
      </c>
      <c r="K106" s="9" t="n">
        <v>3</v>
      </c>
      <c r="L106" s="9" t="n">
        <v>2</v>
      </c>
      <c r="M106" s="9" t="n">
        <v>4</v>
      </c>
      <c r="N106" s="9" t="n">
        <v>2</v>
      </c>
      <c r="O106" s="9" t="n">
        <v>2</v>
      </c>
      <c r="P106" s="9" t="n">
        <v>4</v>
      </c>
      <c r="Q106" s="9" t="n">
        <v>5</v>
      </c>
      <c r="R106" s="8" t="n">
        <f aca="false">SUM(B106:Q106)</f>
        <v>53</v>
      </c>
      <c r="S106" s="8" t="str">
        <f aca="false">IF(R106&gt;=5_項目分析!$B$6,"高",IF(R106&lt;=5_項目分析!$B$5,"低",""))</f>
        <v>低</v>
      </c>
      <c r="T106" s="8" t="n">
        <f aca="false">R106-B106</f>
        <v>49</v>
      </c>
      <c r="U106" s="8" t="n">
        <f aca="false">R106-C106</f>
        <v>49</v>
      </c>
      <c r="V106" s="8" t="n">
        <f aca="false">R106-D106</f>
        <v>48</v>
      </c>
      <c r="W106" s="8" t="n">
        <f aca="false">R106-E106</f>
        <v>49</v>
      </c>
      <c r="X106" s="8" t="n">
        <f aca="false">R106-F106</f>
        <v>49</v>
      </c>
      <c r="Y106" s="8" t="n">
        <f aca="false">R106-G106</f>
        <v>50</v>
      </c>
      <c r="Z106" s="8" t="n">
        <f aca="false">R106-H106</f>
        <v>50</v>
      </c>
      <c r="AA106" s="8" t="n">
        <f aca="false">R106-I106</f>
        <v>51</v>
      </c>
      <c r="AB106" s="8" t="n">
        <f aca="false">R106-J106</f>
        <v>51</v>
      </c>
      <c r="AC106" s="8" t="n">
        <f aca="false">R106-K106</f>
        <v>50</v>
      </c>
      <c r="AD106" s="8" t="n">
        <f aca="false">R106-L106</f>
        <v>51</v>
      </c>
      <c r="AE106" s="8" t="n">
        <f aca="false">R106-M106</f>
        <v>49</v>
      </c>
      <c r="AF106" s="8" t="n">
        <f aca="false">R106-N106</f>
        <v>51</v>
      </c>
      <c r="AG106" s="8" t="n">
        <f aca="false">R106-O106</f>
        <v>51</v>
      </c>
      <c r="AH106" s="8" t="n">
        <f aca="false">R106-P106</f>
        <v>49</v>
      </c>
      <c r="AI106" s="8" t="n">
        <f aca="false">R106-Q106</f>
        <v>48</v>
      </c>
    </row>
    <row r="107" customFormat="false" ht="15" hidden="false" customHeight="false" outlineLevel="0" collapsed="false">
      <c r="A107" s="7" t="s">
        <v>193</v>
      </c>
      <c r="B107" s="9" t="n">
        <v>4</v>
      </c>
      <c r="C107" s="9" t="n">
        <v>5</v>
      </c>
      <c r="D107" s="9" t="n">
        <v>3</v>
      </c>
      <c r="E107" s="9" t="n">
        <v>4</v>
      </c>
      <c r="F107" s="9" t="n">
        <v>4</v>
      </c>
      <c r="G107" s="9" t="n">
        <v>4</v>
      </c>
      <c r="H107" s="9" t="n">
        <v>4</v>
      </c>
      <c r="I107" s="9" t="n">
        <v>4</v>
      </c>
      <c r="J107" s="9" t="n">
        <v>3</v>
      </c>
      <c r="K107" s="9" t="n">
        <v>4</v>
      </c>
      <c r="L107" s="9" t="n">
        <v>4</v>
      </c>
      <c r="M107" s="9" t="n">
        <v>4</v>
      </c>
      <c r="N107" s="9" t="n">
        <v>5</v>
      </c>
      <c r="O107" s="9" t="n">
        <v>5</v>
      </c>
      <c r="P107" s="9" t="n">
        <v>4</v>
      </c>
      <c r="Q107" s="9" t="n">
        <v>5</v>
      </c>
      <c r="R107" s="8" t="n">
        <f aca="false">SUM(B107:Q107)</f>
        <v>66</v>
      </c>
      <c r="S107" s="8" t="str">
        <f aca="false">IF(R107&gt;=5_項目分析!$B$6,"高",IF(R107&lt;=5_項目分析!$B$5,"低",""))</f>
        <v>高</v>
      </c>
      <c r="T107" s="8" t="n">
        <f aca="false">R107-B107</f>
        <v>62</v>
      </c>
      <c r="U107" s="8" t="n">
        <f aca="false">R107-C107</f>
        <v>61</v>
      </c>
      <c r="V107" s="8" t="n">
        <f aca="false">R107-D107</f>
        <v>63</v>
      </c>
      <c r="W107" s="8" t="n">
        <f aca="false">R107-E107</f>
        <v>62</v>
      </c>
      <c r="X107" s="8" t="n">
        <f aca="false">R107-F107</f>
        <v>62</v>
      </c>
      <c r="Y107" s="8" t="n">
        <f aca="false">R107-G107</f>
        <v>62</v>
      </c>
      <c r="Z107" s="8" t="n">
        <f aca="false">R107-H107</f>
        <v>62</v>
      </c>
      <c r="AA107" s="8" t="n">
        <f aca="false">R107-I107</f>
        <v>62</v>
      </c>
      <c r="AB107" s="8" t="n">
        <f aca="false">R107-J107</f>
        <v>63</v>
      </c>
      <c r="AC107" s="8" t="n">
        <f aca="false">R107-K107</f>
        <v>62</v>
      </c>
      <c r="AD107" s="8" t="n">
        <f aca="false">R107-L107</f>
        <v>62</v>
      </c>
      <c r="AE107" s="8" t="n">
        <f aca="false">R107-M107</f>
        <v>62</v>
      </c>
      <c r="AF107" s="8" t="n">
        <f aca="false">R107-N107</f>
        <v>61</v>
      </c>
      <c r="AG107" s="8" t="n">
        <f aca="false">R107-O107</f>
        <v>61</v>
      </c>
      <c r="AH107" s="8" t="n">
        <f aca="false">R107-P107</f>
        <v>62</v>
      </c>
      <c r="AI107" s="8" t="n">
        <f aca="false">R107-Q107</f>
        <v>61</v>
      </c>
    </row>
    <row r="108" customFormat="false" ht="15" hidden="false" customHeight="false" outlineLevel="0" collapsed="false">
      <c r="A108" s="7" t="s">
        <v>194</v>
      </c>
      <c r="B108" s="9" t="n">
        <v>4</v>
      </c>
      <c r="C108" s="9" t="n">
        <v>4</v>
      </c>
      <c r="D108" s="9" t="n">
        <v>4</v>
      </c>
      <c r="E108" s="9" t="n">
        <v>4</v>
      </c>
      <c r="F108" s="9" t="n">
        <v>3</v>
      </c>
      <c r="G108" s="9" t="n">
        <v>4</v>
      </c>
      <c r="H108" s="9" t="n">
        <v>5</v>
      </c>
      <c r="I108" s="9" t="n">
        <v>5</v>
      </c>
      <c r="J108" s="9" t="n">
        <v>4</v>
      </c>
      <c r="K108" s="9" t="n">
        <v>3</v>
      </c>
      <c r="L108" s="9" t="n">
        <v>4</v>
      </c>
      <c r="M108" s="9" t="n">
        <v>3</v>
      </c>
      <c r="N108" s="9" t="n">
        <v>3</v>
      </c>
      <c r="O108" s="9" t="n">
        <v>4</v>
      </c>
      <c r="P108" s="9" t="n">
        <v>3</v>
      </c>
      <c r="Q108" s="9" t="n">
        <v>5</v>
      </c>
      <c r="R108" s="8" t="n">
        <f aca="false">SUM(B108:Q108)</f>
        <v>62</v>
      </c>
      <c r="S108" s="8" t="str">
        <f aca="false">IF(R108&gt;=5_項目分析!$B$6,"高",IF(R108&lt;=5_項目分析!$B$5,"低",""))</f>
        <v/>
      </c>
      <c r="T108" s="8" t="n">
        <f aca="false">R108-B108</f>
        <v>58</v>
      </c>
      <c r="U108" s="8" t="n">
        <f aca="false">R108-C108</f>
        <v>58</v>
      </c>
      <c r="V108" s="8" t="n">
        <f aca="false">R108-D108</f>
        <v>58</v>
      </c>
      <c r="W108" s="8" t="n">
        <f aca="false">R108-E108</f>
        <v>58</v>
      </c>
      <c r="X108" s="8" t="n">
        <f aca="false">R108-F108</f>
        <v>59</v>
      </c>
      <c r="Y108" s="8" t="n">
        <f aca="false">R108-G108</f>
        <v>58</v>
      </c>
      <c r="Z108" s="8" t="n">
        <f aca="false">R108-H108</f>
        <v>57</v>
      </c>
      <c r="AA108" s="8" t="n">
        <f aca="false">R108-I108</f>
        <v>57</v>
      </c>
      <c r="AB108" s="8" t="n">
        <f aca="false">R108-J108</f>
        <v>58</v>
      </c>
      <c r="AC108" s="8" t="n">
        <f aca="false">R108-K108</f>
        <v>59</v>
      </c>
      <c r="AD108" s="8" t="n">
        <f aca="false">R108-L108</f>
        <v>58</v>
      </c>
      <c r="AE108" s="8" t="n">
        <f aca="false">R108-M108</f>
        <v>59</v>
      </c>
      <c r="AF108" s="8" t="n">
        <f aca="false">R108-N108</f>
        <v>59</v>
      </c>
      <c r="AG108" s="8" t="n">
        <f aca="false">R108-O108</f>
        <v>58</v>
      </c>
      <c r="AH108" s="8" t="n">
        <f aca="false">R108-P108</f>
        <v>59</v>
      </c>
      <c r="AI108" s="8" t="n">
        <f aca="false">R108-Q108</f>
        <v>57</v>
      </c>
    </row>
    <row r="109" customFormat="false" ht="15" hidden="false" customHeight="false" outlineLevel="0" collapsed="false">
      <c r="A109" s="7" t="s">
        <v>195</v>
      </c>
      <c r="B109" s="9" t="n">
        <v>4</v>
      </c>
      <c r="C109" s="9" t="n">
        <v>5</v>
      </c>
      <c r="D109" s="9" t="n">
        <v>4</v>
      </c>
      <c r="E109" s="9" t="n">
        <v>5</v>
      </c>
      <c r="F109" s="9" t="n">
        <v>4</v>
      </c>
      <c r="G109" s="9" t="n">
        <v>3</v>
      </c>
      <c r="H109" s="9" t="n">
        <v>4</v>
      </c>
      <c r="I109" s="9" t="n">
        <v>4</v>
      </c>
      <c r="J109" s="9" t="n">
        <v>4</v>
      </c>
      <c r="K109" s="9" t="n">
        <v>4</v>
      </c>
      <c r="L109" s="9" t="n">
        <v>5</v>
      </c>
      <c r="M109" s="9" t="n">
        <v>3</v>
      </c>
      <c r="N109" s="9" t="n">
        <v>4</v>
      </c>
      <c r="O109" s="9" t="n">
        <v>4</v>
      </c>
      <c r="P109" s="9" t="n">
        <v>2</v>
      </c>
      <c r="Q109" s="9" t="n">
        <v>4</v>
      </c>
      <c r="R109" s="8" t="n">
        <f aca="false">SUM(B109:Q109)</f>
        <v>63</v>
      </c>
      <c r="S109" s="8" t="str">
        <f aca="false">IF(R109&gt;=5_項目分析!$B$6,"高",IF(R109&lt;=5_項目分析!$B$5,"低",""))</f>
        <v/>
      </c>
      <c r="T109" s="8" t="n">
        <f aca="false">R109-B109</f>
        <v>59</v>
      </c>
      <c r="U109" s="8" t="n">
        <f aca="false">R109-C109</f>
        <v>58</v>
      </c>
      <c r="V109" s="8" t="n">
        <f aca="false">R109-D109</f>
        <v>59</v>
      </c>
      <c r="W109" s="8" t="n">
        <f aca="false">R109-E109</f>
        <v>58</v>
      </c>
      <c r="X109" s="8" t="n">
        <f aca="false">R109-F109</f>
        <v>59</v>
      </c>
      <c r="Y109" s="8" t="n">
        <f aca="false">R109-G109</f>
        <v>60</v>
      </c>
      <c r="Z109" s="8" t="n">
        <f aca="false">R109-H109</f>
        <v>59</v>
      </c>
      <c r="AA109" s="8" t="n">
        <f aca="false">R109-I109</f>
        <v>59</v>
      </c>
      <c r="AB109" s="8" t="n">
        <f aca="false">R109-J109</f>
        <v>59</v>
      </c>
      <c r="AC109" s="8" t="n">
        <f aca="false">R109-K109</f>
        <v>59</v>
      </c>
      <c r="AD109" s="8" t="n">
        <f aca="false">R109-L109</f>
        <v>58</v>
      </c>
      <c r="AE109" s="8" t="n">
        <f aca="false">R109-M109</f>
        <v>60</v>
      </c>
      <c r="AF109" s="8" t="n">
        <f aca="false">R109-N109</f>
        <v>59</v>
      </c>
      <c r="AG109" s="8" t="n">
        <f aca="false">R109-O109</f>
        <v>59</v>
      </c>
      <c r="AH109" s="8" t="n">
        <f aca="false">R109-P109</f>
        <v>61</v>
      </c>
      <c r="AI109" s="8" t="n">
        <f aca="false">R109-Q109</f>
        <v>59</v>
      </c>
    </row>
    <row r="110" customFormat="false" ht="15" hidden="false" customHeight="false" outlineLevel="0" collapsed="false">
      <c r="A110" s="7" t="s">
        <v>196</v>
      </c>
      <c r="B110" s="9" t="n">
        <v>3</v>
      </c>
      <c r="C110" s="9" t="n">
        <v>2</v>
      </c>
      <c r="D110" s="9" t="n">
        <v>4</v>
      </c>
      <c r="E110" s="9" t="n">
        <v>3</v>
      </c>
      <c r="F110" s="9" t="n">
        <v>4</v>
      </c>
      <c r="G110" s="9" t="n">
        <v>5</v>
      </c>
      <c r="H110" s="9" t="n">
        <v>5</v>
      </c>
      <c r="I110" s="9" t="n">
        <v>4</v>
      </c>
      <c r="J110" s="9" t="n">
        <v>4</v>
      </c>
      <c r="K110" s="9" t="n">
        <v>5</v>
      </c>
      <c r="L110" s="9" t="n">
        <v>3</v>
      </c>
      <c r="M110" s="9" t="n">
        <v>4</v>
      </c>
      <c r="N110" s="9" t="n">
        <v>4</v>
      </c>
      <c r="O110" s="9" t="n">
        <v>3</v>
      </c>
      <c r="P110" s="9" t="n">
        <v>4</v>
      </c>
      <c r="Q110" s="9" t="n">
        <v>5</v>
      </c>
      <c r="R110" s="8" t="n">
        <f aca="false">SUM(B110:Q110)</f>
        <v>62</v>
      </c>
      <c r="S110" s="8" t="str">
        <f aca="false">IF(R110&gt;=5_項目分析!$B$6,"高",IF(R110&lt;=5_項目分析!$B$5,"低",""))</f>
        <v/>
      </c>
      <c r="T110" s="8" t="n">
        <f aca="false">R110-B110</f>
        <v>59</v>
      </c>
      <c r="U110" s="8" t="n">
        <f aca="false">R110-C110</f>
        <v>60</v>
      </c>
      <c r="V110" s="8" t="n">
        <f aca="false">R110-D110</f>
        <v>58</v>
      </c>
      <c r="W110" s="8" t="n">
        <f aca="false">R110-E110</f>
        <v>59</v>
      </c>
      <c r="X110" s="8" t="n">
        <f aca="false">R110-F110</f>
        <v>58</v>
      </c>
      <c r="Y110" s="8" t="n">
        <f aca="false">R110-G110</f>
        <v>57</v>
      </c>
      <c r="Z110" s="8" t="n">
        <f aca="false">R110-H110</f>
        <v>57</v>
      </c>
      <c r="AA110" s="8" t="n">
        <f aca="false">R110-I110</f>
        <v>58</v>
      </c>
      <c r="AB110" s="8" t="n">
        <f aca="false">R110-J110</f>
        <v>58</v>
      </c>
      <c r="AC110" s="8" t="n">
        <f aca="false">R110-K110</f>
        <v>57</v>
      </c>
      <c r="AD110" s="8" t="n">
        <f aca="false">R110-L110</f>
        <v>59</v>
      </c>
      <c r="AE110" s="8" t="n">
        <f aca="false">R110-M110</f>
        <v>58</v>
      </c>
      <c r="AF110" s="8" t="n">
        <f aca="false">R110-N110</f>
        <v>58</v>
      </c>
      <c r="AG110" s="8" t="n">
        <f aca="false">R110-O110</f>
        <v>59</v>
      </c>
      <c r="AH110" s="8" t="n">
        <f aca="false">R110-P110</f>
        <v>58</v>
      </c>
      <c r="AI110" s="8" t="n">
        <f aca="false">R110-Q110</f>
        <v>57</v>
      </c>
    </row>
    <row r="111" customFormat="false" ht="15" hidden="false" customHeight="false" outlineLevel="0" collapsed="false">
      <c r="A111" s="7" t="s">
        <v>197</v>
      </c>
      <c r="B111" s="9" t="n">
        <v>4</v>
      </c>
      <c r="C111" s="9" t="n">
        <v>4</v>
      </c>
      <c r="D111" s="9" t="n">
        <v>4</v>
      </c>
      <c r="E111" s="9" t="n">
        <v>4</v>
      </c>
      <c r="F111" s="9" t="n">
        <v>3</v>
      </c>
      <c r="G111" s="9" t="n">
        <v>4</v>
      </c>
      <c r="H111" s="9" t="n">
        <v>4</v>
      </c>
      <c r="I111" s="9" t="n">
        <v>5</v>
      </c>
      <c r="J111" s="9" t="n">
        <v>4</v>
      </c>
      <c r="K111" s="9" t="n">
        <v>3</v>
      </c>
      <c r="L111" s="9" t="n">
        <v>4</v>
      </c>
      <c r="M111" s="9" t="n">
        <v>5</v>
      </c>
      <c r="N111" s="9" t="n">
        <v>5</v>
      </c>
      <c r="O111" s="9" t="n">
        <v>4</v>
      </c>
      <c r="P111" s="9" t="n">
        <v>3</v>
      </c>
      <c r="Q111" s="9" t="n">
        <v>5</v>
      </c>
      <c r="R111" s="8" t="n">
        <f aca="false">SUM(B111:Q111)</f>
        <v>65</v>
      </c>
      <c r="S111" s="8" t="str">
        <f aca="false">IF(R111&gt;=5_項目分析!$B$6,"高",IF(R111&lt;=5_項目分析!$B$5,"低",""))</f>
        <v>高</v>
      </c>
      <c r="T111" s="8" t="n">
        <f aca="false">R111-B111</f>
        <v>61</v>
      </c>
      <c r="U111" s="8" t="n">
        <f aca="false">R111-C111</f>
        <v>61</v>
      </c>
      <c r="V111" s="8" t="n">
        <f aca="false">R111-D111</f>
        <v>61</v>
      </c>
      <c r="W111" s="8" t="n">
        <f aca="false">R111-E111</f>
        <v>61</v>
      </c>
      <c r="X111" s="8" t="n">
        <f aca="false">R111-F111</f>
        <v>62</v>
      </c>
      <c r="Y111" s="8" t="n">
        <f aca="false">R111-G111</f>
        <v>61</v>
      </c>
      <c r="Z111" s="8" t="n">
        <f aca="false">R111-H111</f>
        <v>61</v>
      </c>
      <c r="AA111" s="8" t="n">
        <f aca="false">R111-I111</f>
        <v>60</v>
      </c>
      <c r="AB111" s="8" t="n">
        <f aca="false">R111-J111</f>
        <v>61</v>
      </c>
      <c r="AC111" s="8" t="n">
        <f aca="false">R111-K111</f>
        <v>62</v>
      </c>
      <c r="AD111" s="8" t="n">
        <f aca="false">R111-L111</f>
        <v>61</v>
      </c>
      <c r="AE111" s="8" t="n">
        <f aca="false">R111-M111</f>
        <v>60</v>
      </c>
      <c r="AF111" s="8" t="n">
        <f aca="false">R111-N111</f>
        <v>60</v>
      </c>
      <c r="AG111" s="8" t="n">
        <f aca="false">R111-O111</f>
        <v>61</v>
      </c>
      <c r="AH111" s="8" t="n">
        <f aca="false">R111-P111</f>
        <v>62</v>
      </c>
      <c r="AI111" s="8" t="n">
        <f aca="false">R111-Q111</f>
        <v>60</v>
      </c>
    </row>
    <row r="112" customFormat="false" ht="15" hidden="false" customHeight="false" outlineLevel="0" collapsed="false">
      <c r="A112" s="7" t="s">
        <v>198</v>
      </c>
      <c r="B112" s="9" t="n">
        <v>4</v>
      </c>
      <c r="C112" s="9" t="n">
        <v>3</v>
      </c>
      <c r="D112" s="9" t="n">
        <v>2</v>
      </c>
      <c r="E112" s="9" t="n">
        <v>2</v>
      </c>
      <c r="F112" s="9" t="n">
        <v>3</v>
      </c>
      <c r="G112" s="9" t="n">
        <v>2</v>
      </c>
      <c r="H112" s="9" t="n">
        <v>2</v>
      </c>
      <c r="I112" s="9" t="n">
        <v>1</v>
      </c>
      <c r="J112" s="9" t="n">
        <v>4</v>
      </c>
      <c r="K112" s="9" t="n">
        <v>2</v>
      </c>
      <c r="L112" s="9" t="n">
        <v>4</v>
      </c>
      <c r="M112" s="9" t="n">
        <v>3</v>
      </c>
      <c r="N112" s="9" t="n">
        <v>4</v>
      </c>
      <c r="O112" s="9" t="n">
        <v>4</v>
      </c>
      <c r="P112" s="9" t="n">
        <v>4</v>
      </c>
      <c r="Q112" s="9" t="n">
        <v>5</v>
      </c>
      <c r="R112" s="8" t="n">
        <f aca="false">SUM(B112:Q112)</f>
        <v>49</v>
      </c>
      <c r="S112" s="8" t="str">
        <f aca="false">IF(R112&gt;=5_項目分析!$B$6,"高",IF(R112&lt;=5_項目分析!$B$5,"低",""))</f>
        <v>低</v>
      </c>
      <c r="T112" s="8" t="n">
        <f aca="false">R112-B112</f>
        <v>45</v>
      </c>
      <c r="U112" s="8" t="n">
        <f aca="false">R112-C112</f>
        <v>46</v>
      </c>
      <c r="V112" s="8" t="n">
        <f aca="false">R112-D112</f>
        <v>47</v>
      </c>
      <c r="W112" s="8" t="n">
        <f aca="false">R112-E112</f>
        <v>47</v>
      </c>
      <c r="X112" s="8" t="n">
        <f aca="false">R112-F112</f>
        <v>46</v>
      </c>
      <c r="Y112" s="8" t="n">
        <f aca="false">R112-G112</f>
        <v>47</v>
      </c>
      <c r="Z112" s="8" t="n">
        <f aca="false">R112-H112</f>
        <v>47</v>
      </c>
      <c r="AA112" s="8" t="n">
        <f aca="false">R112-I112</f>
        <v>48</v>
      </c>
      <c r="AB112" s="8" t="n">
        <f aca="false">R112-J112</f>
        <v>45</v>
      </c>
      <c r="AC112" s="8" t="n">
        <f aca="false">R112-K112</f>
        <v>47</v>
      </c>
      <c r="AD112" s="8" t="n">
        <f aca="false">R112-L112</f>
        <v>45</v>
      </c>
      <c r="AE112" s="8" t="n">
        <f aca="false">R112-M112</f>
        <v>46</v>
      </c>
      <c r="AF112" s="8" t="n">
        <f aca="false">R112-N112</f>
        <v>45</v>
      </c>
      <c r="AG112" s="8" t="n">
        <f aca="false">R112-O112</f>
        <v>45</v>
      </c>
      <c r="AH112" s="8" t="n">
        <f aca="false">R112-P112</f>
        <v>45</v>
      </c>
      <c r="AI112" s="8" t="n">
        <f aca="false">R112-Q112</f>
        <v>44</v>
      </c>
    </row>
    <row r="113" customFormat="false" ht="15" hidden="false" customHeight="false" outlineLevel="0" collapsed="false">
      <c r="A113" s="7" t="s">
        <v>199</v>
      </c>
      <c r="B113" s="9" t="n">
        <v>4</v>
      </c>
      <c r="C113" s="9" t="n">
        <v>3</v>
      </c>
      <c r="D113" s="9" t="n">
        <v>3</v>
      </c>
      <c r="E113" s="9" t="n">
        <v>5</v>
      </c>
      <c r="F113" s="9" t="n">
        <v>4</v>
      </c>
      <c r="G113" s="9" t="n">
        <v>5</v>
      </c>
      <c r="H113" s="9" t="n">
        <v>4</v>
      </c>
      <c r="I113" s="9" t="n">
        <v>5</v>
      </c>
      <c r="J113" s="9" t="n">
        <v>2</v>
      </c>
      <c r="K113" s="9" t="n">
        <v>5</v>
      </c>
      <c r="L113" s="9" t="n">
        <v>4</v>
      </c>
      <c r="M113" s="9" t="n">
        <v>3</v>
      </c>
      <c r="N113" s="9" t="n">
        <v>4</v>
      </c>
      <c r="O113" s="9" t="n">
        <v>4</v>
      </c>
      <c r="P113" s="9" t="n">
        <v>4</v>
      </c>
      <c r="Q113" s="9" t="n">
        <v>5</v>
      </c>
      <c r="R113" s="8" t="n">
        <f aca="false">SUM(B113:Q113)</f>
        <v>64</v>
      </c>
      <c r="S113" s="8" t="str">
        <f aca="false">IF(R113&gt;=5_項目分析!$B$6,"高",IF(R113&lt;=5_項目分析!$B$5,"低",""))</f>
        <v/>
      </c>
      <c r="T113" s="8" t="n">
        <f aca="false">R113-B113</f>
        <v>60</v>
      </c>
      <c r="U113" s="8" t="n">
        <f aca="false">R113-C113</f>
        <v>61</v>
      </c>
      <c r="V113" s="8" t="n">
        <f aca="false">R113-D113</f>
        <v>61</v>
      </c>
      <c r="W113" s="8" t="n">
        <f aca="false">R113-E113</f>
        <v>59</v>
      </c>
      <c r="X113" s="8" t="n">
        <f aca="false">R113-F113</f>
        <v>60</v>
      </c>
      <c r="Y113" s="8" t="n">
        <f aca="false">R113-G113</f>
        <v>59</v>
      </c>
      <c r="Z113" s="8" t="n">
        <f aca="false">R113-H113</f>
        <v>60</v>
      </c>
      <c r="AA113" s="8" t="n">
        <f aca="false">R113-I113</f>
        <v>59</v>
      </c>
      <c r="AB113" s="8" t="n">
        <f aca="false">R113-J113</f>
        <v>62</v>
      </c>
      <c r="AC113" s="8" t="n">
        <f aca="false">R113-K113</f>
        <v>59</v>
      </c>
      <c r="AD113" s="8" t="n">
        <f aca="false">R113-L113</f>
        <v>60</v>
      </c>
      <c r="AE113" s="8" t="n">
        <f aca="false">R113-M113</f>
        <v>61</v>
      </c>
      <c r="AF113" s="8" t="n">
        <f aca="false">R113-N113</f>
        <v>60</v>
      </c>
      <c r="AG113" s="8" t="n">
        <f aca="false">R113-O113</f>
        <v>60</v>
      </c>
      <c r="AH113" s="8" t="n">
        <f aca="false">R113-P113</f>
        <v>60</v>
      </c>
      <c r="AI113" s="8" t="n">
        <f aca="false">R113-Q113</f>
        <v>59</v>
      </c>
    </row>
    <row r="114" customFormat="false" ht="15" hidden="false" customHeight="false" outlineLevel="0" collapsed="false">
      <c r="A114" s="7" t="s">
        <v>200</v>
      </c>
      <c r="B114" s="9" t="n">
        <v>5</v>
      </c>
      <c r="C114" s="9" t="n">
        <v>4</v>
      </c>
      <c r="D114" s="9" t="n">
        <v>4</v>
      </c>
      <c r="E114" s="9" t="n">
        <v>5</v>
      </c>
      <c r="F114" s="9" t="n">
        <v>4</v>
      </c>
      <c r="G114" s="9" t="n">
        <v>5</v>
      </c>
      <c r="H114" s="9" t="n">
        <v>5</v>
      </c>
      <c r="I114" s="9" t="n">
        <v>4</v>
      </c>
      <c r="J114" s="9" t="n">
        <v>4</v>
      </c>
      <c r="K114" s="9" t="n">
        <v>4</v>
      </c>
      <c r="L114" s="9" t="n">
        <v>4</v>
      </c>
      <c r="M114" s="9" t="n">
        <v>4</v>
      </c>
      <c r="N114" s="9" t="n">
        <v>3</v>
      </c>
      <c r="O114" s="9" t="n">
        <v>4</v>
      </c>
      <c r="P114" s="9" t="n">
        <v>3</v>
      </c>
      <c r="Q114" s="9" t="n">
        <v>5</v>
      </c>
      <c r="R114" s="8" t="n">
        <f aca="false">SUM(B114:Q114)</f>
        <v>67</v>
      </c>
      <c r="S114" s="8" t="str">
        <f aca="false">IF(R114&gt;=5_項目分析!$B$6,"高",IF(R114&lt;=5_項目分析!$B$5,"低",""))</f>
        <v>高</v>
      </c>
      <c r="T114" s="8" t="n">
        <f aca="false">R114-B114</f>
        <v>62</v>
      </c>
      <c r="U114" s="8" t="n">
        <f aca="false">R114-C114</f>
        <v>63</v>
      </c>
      <c r="V114" s="8" t="n">
        <f aca="false">R114-D114</f>
        <v>63</v>
      </c>
      <c r="W114" s="8" t="n">
        <f aca="false">R114-E114</f>
        <v>62</v>
      </c>
      <c r="X114" s="8" t="n">
        <f aca="false">R114-F114</f>
        <v>63</v>
      </c>
      <c r="Y114" s="8" t="n">
        <f aca="false">R114-G114</f>
        <v>62</v>
      </c>
      <c r="Z114" s="8" t="n">
        <f aca="false">R114-H114</f>
        <v>62</v>
      </c>
      <c r="AA114" s="8" t="n">
        <f aca="false">R114-I114</f>
        <v>63</v>
      </c>
      <c r="AB114" s="8" t="n">
        <f aca="false">R114-J114</f>
        <v>63</v>
      </c>
      <c r="AC114" s="8" t="n">
        <f aca="false">R114-K114</f>
        <v>63</v>
      </c>
      <c r="AD114" s="8" t="n">
        <f aca="false">R114-L114</f>
        <v>63</v>
      </c>
      <c r="AE114" s="8" t="n">
        <f aca="false">R114-M114</f>
        <v>63</v>
      </c>
      <c r="AF114" s="8" t="n">
        <f aca="false">R114-N114</f>
        <v>64</v>
      </c>
      <c r="AG114" s="8" t="n">
        <f aca="false">R114-O114</f>
        <v>63</v>
      </c>
      <c r="AH114" s="8" t="n">
        <f aca="false">R114-P114</f>
        <v>64</v>
      </c>
      <c r="AI114" s="8" t="n">
        <f aca="false">R114-Q114</f>
        <v>62</v>
      </c>
    </row>
    <row r="115" customFormat="false" ht="15" hidden="false" customHeight="false" outlineLevel="0" collapsed="false">
      <c r="A115" s="7" t="s">
        <v>201</v>
      </c>
      <c r="B115" s="9" t="n">
        <v>5</v>
      </c>
      <c r="C115" s="9" t="n">
        <v>5</v>
      </c>
      <c r="D115" s="9" t="n">
        <v>5</v>
      </c>
      <c r="E115" s="9" t="n">
        <v>5</v>
      </c>
      <c r="F115" s="9" t="n">
        <v>5</v>
      </c>
      <c r="G115" s="9" t="n">
        <v>5</v>
      </c>
      <c r="H115" s="9" t="n">
        <v>5</v>
      </c>
      <c r="I115" s="9" t="n">
        <v>5</v>
      </c>
      <c r="J115" s="9" t="n">
        <v>5</v>
      </c>
      <c r="K115" s="9" t="n">
        <v>5</v>
      </c>
      <c r="L115" s="9" t="n">
        <v>4</v>
      </c>
      <c r="M115" s="9" t="n">
        <v>5</v>
      </c>
      <c r="N115" s="9" t="n">
        <v>4</v>
      </c>
      <c r="O115" s="9" t="n">
        <v>5</v>
      </c>
      <c r="P115" s="9" t="n">
        <v>3</v>
      </c>
      <c r="Q115" s="9" t="n">
        <v>5</v>
      </c>
      <c r="R115" s="8" t="n">
        <f aca="false">SUM(B115:Q115)</f>
        <v>76</v>
      </c>
      <c r="S115" s="8" t="str">
        <f aca="false">IF(R115&gt;=5_項目分析!$B$6,"高",IF(R115&lt;=5_項目分析!$B$5,"低",""))</f>
        <v>高</v>
      </c>
      <c r="T115" s="8" t="n">
        <f aca="false">R115-B115</f>
        <v>71</v>
      </c>
      <c r="U115" s="8" t="n">
        <f aca="false">R115-C115</f>
        <v>71</v>
      </c>
      <c r="V115" s="8" t="n">
        <f aca="false">R115-D115</f>
        <v>71</v>
      </c>
      <c r="W115" s="8" t="n">
        <f aca="false">R115-E115</f>
        <v>71</v>
      </c>
      <c r="X115" s="8" t="n">
        <f aca="false">R115-F115</f>
        <v>71</v>
      </c>
      <c r="Y115" s="8" t="n">
        <f aca="false">R115-G115</f>
        <v>71</v>
      </c>
      <c r="Z115" s="8" t="n">
        <f aca="false">R115-H115</f>
        <v>71</v>
      </c>
      <c r="AA115" s="8" t="n">
        <f aca="false">R115-I115</f>
        <v>71</v>
      </c>
      <c r="AB115" s="8" t="n">
        <f aca="false">R115-J115</f>
        <v>71</v>
      </c>
      <c r="AC115" s="8" t="n">
        <f aca="false">R115-K115</f>
        <v>71</v>
      </c>
      <c r="AD115" s="8" t="n">
        <f aca="false">R115-L115</f>
        <v>72</v>
      </c>
      <c r="AE115" s="8" t="n">
        <f aca="false">R115-M115</f>
        <v>71</v>
      </c>
      <c r="AF115" s="8" t="n">
        <f aca="false">R115-N115</f>
        <v>72</v>
      </c>
      <c r="AG115" s="8" t="n">
        <f aca="false">R115-O115</f>
        <v>71</v>
      </c>
      <c r="AH115" s="8" t="n">
        <f aca="false">R115-P115</f>
        <v>73</v>
      </c>
      <c r="AI115" s="8" t="n">
        <f aca="false">R115-Q115</f>
        <v>71</v>
      </c>
    </row>
    <row r="116" customFormat="false" ht="15" hidden="false" customHeight="false" outlineLevel="0" collapsed="false">
      <c r="A116" s="7" t="s">
        <v>202</v>
      </c>
      <c r="B116" s="9" t="n">
        <v>3</v>
      </c>
      <c r="C116" s="9" t="n">
        <v>4</v>
      </c>
      <c r="D116" s="9" t="n">
        <v>3</v>
      </c>
      <c r="E116" s="9" t="n">
        <v>3</v>
      </c>
      <c r="F116" s="9" t="n">
        <v>2</v>
      </c>
      <c r="G116" s="9" t="n">
        <v>3</v>
      </c>
      <c r="H116" s="9" t="n">
        <v>4</v>
      </c>
      <c r="I116" s="9" t="n">
        <v>5</v>
      </c>
      <c r="J116" s="9" t="n">
        <v>3</v>
      </c>
      <c r="K116" s="9" t="n">
        <v>5</v>
      </c>
      <c r="L116" s="9" t="n">
        <v>5</v>
      </c>
      <c r="M116" s="9" t="n">
        <v>4</v>
      </c>
      <c r="N116" s="9" t="n">
        <v>4</v>
      </c>
      <c r="O116" s="9" t="n">
        <v>4</v>
      </c>
      <c r="P116" s="9" t="n">
        <v>4</v>
      </c>
      <c r="Q116" s="9" t="n">
        <v>5</v>
      </c>
      <c r="R116" s="8" t="n">
        <f aca="false">SUM(B116:Q116)</f>
        <v>61</v>
      </c>
      <c r="S116" s="8" t="str">
        <f aca="false">IF(R116&gt;=5_項目分析!$B$6,"高",IF(R116&lt;=5_項目分析!$B$5,"低",""))</f>
        <v/>
      </c>
      <c r="T116" s="8" t="n">
        <f aca="false">R116-B116</f>
        <v>58</v>
      </c>
      <c r="U116" s="8" t="n">
        <f aca="false">R116-C116</f>
        <v>57</v>
      </c>
      <c r="V116" s="8" t="n">
        <f aca="false">R116-D116</f>
        <v>58</v>
      </c>
      <c r="W116" s="8" t="n">
        <f aca="false">R116-E116</f>
        <v>58</v>
      </c>
      <c r="X116" s="8" t="n">
        <f aca="false">R116-F116</f>
        <v>59</v>
      </c>
      <c r="Y116" s="8" t="n">
        <f aca="false">R116-G116</f>
        <v>58</v>
      </c>
      <c r="Z116" s="8" t="n">
        <f aca="false">R116-H116</f>
        <v>57</v>
      </c>
      <c r="AA116" s="8" t="n">
        <f aca="false">R116-I116</f>
        <v>56</v>
      </c>
      <c r="AB116" s="8" t="n">
        <f aca="false">R116-J116</f>
        <v>58</v>
      </c>
      <c r="AC116" s="8" t="n">
        <f aca="false">R116-K116</f>
        <v>56</v>
      </c>
      <c r="AD116" s="8" t="n">
        <f aca="false">R116-L116</f>
        <v>56</v>
      </c>
      <c r="AE116" s="8" t="n">
        <f aca="false">R116-M116</f>
        <v>57</v>
      </c>
      <c r="AF116" s="8" t="n">
        <f aca="false">R116-N116</f>
        <v>57</v>
      </c>
      <c r="AG116" s="8" t="n">
        <f aca="false">R116-O116</f>
        <v>57</v>
      </c>
      <c r="AH116" s="8" t="n">
        <f aca="false">R116-P116</f>
        <v>57</v>
      </c>
      <c r="AI116" s="8" t="n">
        <f aca="false">R116-Q116</f>
        <v>56</v>
      </c>
    </row>
    <row r="117" customFormat="false" ht="15" hidden="false" customHeight="false" outlineLevel="0" collapsed="false">
      <c r="A117" s="7" t="s">
        <v>203</v>
      </c>
      <c r="B117" s="9" t="n">
        <v>5</v>
      </c>
      <c r="C117" s="9" t="n">
        <v>4</v>
      </c>
      <c r="D117" s="9" t="n">
        <v>4</v>
      </c>
      <c r="E117" s="9" t="n">
        <v>4</v>
      </c>
      <c r="F117" s="9" t="n">
        <v>3</v>
      </c>
      <c r="G117" s="9" t="n">
        <v>2</v>
      </c>
      <c r="H117" s="9" t="n">
        <v>3</v>
      </c>
      <c r="I117" s="9" t="n">
        <v>3</v>
      </c>
      <c r="J117" s="9" t="n">
        <v>3</v>
      </c>
      <c r="K117" s="9" t="n">
        <v>2</v>
      </c>
      <c r="L117" s="9" t="n">
        <v>2</v>
      </c>
      <c r="M117" s="9" t="n">
        <v>2</v>
      </c>
      <c r="N117" s="9" t="n">
        <v>2</v>
      </c>
      <c r="O117" s="9" t="n">
        <v>4</v>
      </c>
      <c r="P117" s="9" t="n">
        <v>4</v>
      </c>
      <c r="Q117" s="9" t="n">
        <v>5</v>
      </c>
      <c r="R117" s="8" t="n">
        <f aca="false">SUM(B117:Q117)</f>
        <v>52</v>
      </c>
      <c r="S117" s="8" t="str">
        <f aca="false">IF(R117&gt;=5_項目分析!$B$6,"高",IF(R117&lt;=5_項目分析!$B$5,"低",""))</f>
        <v>低</v>
      </c>
      <c r="T117" s="8" t="n">
        <f aca="false">R117-B117</f>
        <v>47</v>
      </c>
      <c r="U117" s="8" t="n">
        <f aca="false">R117-C117</f>
        <v>48</v>
      </c>
      <c r="V117" s="8" t="n">
        <f aca="false">R117-D117</f>
        <v>48</v>
      </c>
      <c r="W117" s="8" t="n">
        <f aca="false">R117-E117</f>
        <v>48</v>
      </c>
      <c r="X117" s="8" t="n">
        <f aca="false">R117-F117</f>
        <v>49</v>
      </c>
      <c r="Y117" s="8" t="n">
        <f aca="false">R117-G117</f>
        <v>50</v>
      </c>
      <c r="Z117" s="8" t="n">
        <f aca="false">R117-H117</f>
        <v>49</v>
      </c>
      <c r="AA117" s="8" t="n">
        <f aca="false">R117-I117</f>
        <v>49</v>
      </c>
      <c r="AB117" s="8" t="n">
        <f aca="false">R117-J117</f>
        <v>49</v>
      </c>
      <c r="AC117" s="8" t="n">
        <f aca="false">R117-K117</f>
        <v>50</v>
      </c>
      <c r="AD117" s="8" t="n">
        <f aca="false">R117-L117</f>
        <v>50</v>
      </c>
      <c r="AE117" s="8" t="n">
        <f aca="false">R117-M117</f>
        <v>50</v>
      </c>
      <c r="AF117" s="8" t="n">
        <f aca="false">R117-N117</f>
        <v>50</v>
      </c>
      <c r="AG117" s="8" t="n">
        <f aca="false">R117-O117</f>
        <v>48</v>
      </c>
      <c r="AH117" s="8" t="n">
        <f aca="false">R117-P117</f>
        <v>48</v>
      </c>
      <c r="AI117" s="8" t="n">
        <f aca="false">R117-Q117</f>
        <v>47</v>
      </c>
    </row>
    <row r="118" customFormat="false" ht="15" hidden="false" customHeight="false" outlineLevel="0" collapsed="false">
      <c r="A118" s="7" t="s">
        <v>204</v>
      </c>
      <c r="B118" s="9" t="n">
        <v>3</v>
      </c>
      <c r="C118" s="9" t="n">
        <v>3</v>
      </c>
      <c r="D118" s="9" t="n">
        <v>4</v>
      </c>
      <c r="E118" s="9" t="n">
        <v>4</v>
      </c>
      <c r="F118" s="9" t="n">
        <v>4</v>
      </c>
      <c r="G118" s="9" t="n">
        <v>4</v>
      </c>
      <c r="H118" s="9" t="n">
        <v>3</v>
      </c>
      <c r="I118" s="9" t="n">
        <v>3</v>
      </c>
      <c r="J118" s="9" t="n">
        <v>3</v>
      </c>
      <c r="K118" s="9" t="n">
        <v>4</v>
      </c>
      <c r="L118" s="9" t="n">
        <v>2</v>
      </c>
      <c r="M118" s="9" t="n">
        <v>3</v>
      </c>
      <c r="N118" s="9" t="n">
        <v>3</v>
      </c>
      <c r="O118" s="9" t="n">
        <v>2</v>
      </c>
      <c r="P118" s="9" t="n">
        <v>4</v>
      </c>
      <c r="Q118" s="9" t="n">
        <v>5</v>
      </c>
      <c r="R118" s="8" t="n">
        <f aca="false">SUM(B118:Q118)</f>
        <v>54</v>
      </c>
      <c r="S118" s="8" t="str">
        <f aca="false">IF(R118&gt;=5_項目分析!$B$6,"高",IF(R118&lt;=5_項目分析!$B$5,"低",""))</f>
        <v>低</v>
      </c>
      <c r="T118" s="8" t="n">
        <f aca="false">R118-B118</f>
        <v>51</v>
      </c>
      <c r="U118" s="8" t="n">
        <f aca="false">R118-C118</f>
        <v>51</v>
      </c>
      <c r="V118" s="8" t="n">
        <f aca="false">R118-D118</f>
        <v>50</v>
      </c>
      <c r="W118" s="8" t="n">
        <f aca="false">R118-E118</f>
        <v>50</v>
      </c>
      <c r="X118" s="8" t="n">
        <f aca="false">R118-F118</f>
        <v>50</v>
      </c>
      <c r="Y118" s="8" t="n">
        <f aca="false">R118-G118</f>
        <v>50</v>
      </c>
      <c r="Z118" s="8" t="n">
        <f aca="false">R118-H118</f>
        <v>51</v>
      </c>
      <c r="AA118" s="8" t="n">
        <f aca="false">R118-I118</f>
        <v>51</v>
      </c>
      <c r="AB118" s="8" t="n">
        <f aca="false">R118-J118</f>
        <v>51</v>
      </c>
      <c r="AC118" s="8" t="n">
        <f aca="false">R118-K118</f>
        <v>50</v>
      </c>
      <c r="AD118" s="8" t="n">
        <f aca="false">R118-L118</f>
        <v>52</v>
      </c>
      <c r="AE118" s="8" t="n">
        <f aca="false">R118-M118</f>
        <v>51</v>
      </c>
      <c r="AF118" s="8" t="n">
        <f aca="false">R118-N118</f>
        <v>51</v>
      </c>
      <c r="AG118" s="8" t="n">
        <f aca="false">R118-O118</f>
        <v>52</v>
      </c>
      <c r="AH118" s="8" t="n">
        <f aca="false">R118-P118</f>
        <v>50</v>
      </c>
      <c r="AI118" s="8" t="n">
        <f aca="false">R118-Q118</f>
        <v>49</v>
      </c>
    </row>
    <row r="119" customFormat="false" ht="15" hidden="false" customHeight="false" outlineLevel="0" collapsed="false">
      <c r="A119" s="7" t="s">
        <v>205</v>
      </c>
      <c r="B119" s="9" t="n">
        <v>1</v>
      </c>
      <c r="C119" s="9" t="n">
        <v>2</v>
      </c>
      <c r="D119" s="9" t="n">
        <v>2</v>
      </c>
      <c r="E119" s="9" t="n">
        <v>2</v>
      </c>
      <c r="F119" s="9" t="n">
        <v>2</v>
      </c>
      <c r="G119" s="9" t="n">
        <v>4</v>
      </c>
      <c r="H119" s="9" t="n">
        <v>2</v>
      </c>
      <c r="I119" s="9" t="n">
        <v>2</v>
      </c>
      <c r="J119" s="9" t="n">
        <v>4</v>
      </c>
      <c r="K119" s="9" t="n">
        <v>3</v>
      </c>
      <c r="L119" s="9" t="n">
        <v>2</v>
      </c>
      <c r="M119" s="9" t="n">
        <v>4</v>
      </c>
      <c r="N119" s="9" t="n">
        <v>3</v>
      </c>
      <c r="O119" s="9" t="n">
        <v>4</v>
      </c>
      <c r="P119" s="9" t="n">
        <v>3</v>
      </c>
      <c r="Q119" s="9" t="n">
        <v>5</v>
      </c>
      <c r="R119" s="8" t="n">
        <f aca="false">SUM(B119:Q119)</f>
        <v>45</v>
      </c>
      <c r="S119" s="8" t="str">
        <f aca="false">IF(R119&gt;=5_項目分析!$B$6,"高",IF(R119&lt;=5_項目分析!$B$5,"低",""))</f>
        <v>低</v>
      </c>
      <c r="T119" s="8" t="n">
        <f aca="false">R119-B119</f>
        <v>44</v>
      </c>
      <c r="U119" s="8" t="n">
        <f aca="false">R119-C119</f>
        <v>43</v>
      </c>
      <c r="V119" s="8" t="n">
        <f aca="false">R119-D119</f>
        <v>43</v>
      </c>
      <c r="W119" s="8" t="n">
        <f aca="false">R119-E119</f>
        <v>43</v>
      </c>
      <c r="X119" s="8" t="n">
        <f aca="false">R119-F119</f>
        <v>43</v>
      </c>
      <c r="Y119" s="8" t="n">
        <f aca="false">R119-G119</f>
        <v>41</v>
      </c>
      <c r="Z119" s="8" t="n">
        <f aca="false">R119-H119</f>
        <v>43</v>
      </c>
      <c r="AA119" s="8" t="n">
        <f aca="false">R119-I119</f>
        <v>43</v>
      </c>
      <c r="AB119" s="8" t="n">
        <f aca="false">R119-J119</f>
        <v>41</v>
      </c>
      <c r="AC119" s="8" t="n">
        <f aca="false">R119-K119</f>
        <v>42</v>
      </c>
      <c r="AD119" s="8" t="n">
        <f aca="false">R119-L119</f>
        <v>43</v>
      </c>
      <c r="AE119" s="8" t="n">
        <f aca="false">R119-M119</f>
        <v>41</v>
      </c>
      <c r="AF119" s="8" t="n">
        <f aca="false">R119-N119</f>
        <v>42</v>
      </c>
      <c r="AG119" s="8" t="n">
        <f aca="false">R119-O119</f>
        <v>41</v>
      </c>
      <c r="AH119" s="8" t="n">
        <f aca="false">R119-P119</f>
        <v>42</v>
      </c>
      <c r="AI119" s="8" t="n">
        <f aca="false">R119-Q119</f>
        <v>40</v>
      </c>
    </row>
    <row r="120" customFormat="false" ht="15" hidden="false" customHeight="false" outlineLevel="0" collapsed="false">
      <c r="A120" s="7" t="s">
        <v>206</v>
      </c>
      <c r="B120" s="9" t="n">
        <v>5</v>
      </c>
      <c r="C120" s="9" t="n">
        <v>4</v>
      </c>
      <c r="D120" s="9" t="n">
        <v>5</v>
      </c>
      <c r="E120" s="9" t="n">
        <v>5</v>
      </c>
      <c r="F120" s="9" t="n">
        <v>3</v>
      </c>
      <c r="G120" s="9" t="n">
        <v>5</v>
      </c>
      <c r="H120" s="9" t="n">
        <v>5</v>
      </c>
      <c r="I120" s="9" t="n">
        <v>4</v>
      </c>
      <c r="J120" s="9" t="n">
        <v>4</v>
      </c>
      <c r="K120" s="9" t="n">
        <v>4</v>
      </c>
      <c r="L120" s="9" t="n">
        <v>3</v>
      </c>
      <c r="M120" s="9" t="n">
        <v>3</v>
      </c>
      <c r="N120" s="9" t="n">
        <v>3</v>
      </c>
      <c r="O120" s="9" t="n">
        <v>3</v>
      </c>
      <c r="P120" s="9" t="n">
        <v>4</v>
      </c>
      <c r="Q120" s="9" t="n">
        <v>4</v>
      </c>
      <c r="R120" s="8" t="n">
        <f aca="false">SUM(B120:Q120)</f>
        <v>64</v>
      </c>
      <c r="S120" s="8" t="str">
        <f aca="false">IF(R120&gt;=5_項目分析!$B$6,"高",IF(R120&lt;=5_項目分析!$B$5,"低",""))</f>
        <v/>
      </c>
      <c r="T120" s="8" t="n">
        <f aca="false">R120-B120</f>
        <v>59</v>
      </c>
      <c r="U120" s="8" t="n">
        <f aca="false">R120-C120</f>
        <v>60</v>
      </c>
      <c r="V120" s="8" t="n">
        <f aca="false">R120-D120</f>
        <v>59</v>
      </c>
      <c r="W120" s="8" t="n">
        <f aca="false">R120-E120</f>
        <v>59</v>
      </c>
      <c r="X120" s="8" t="n">
        <f aca="false">R120-F120</f>
        <v>61</v>
      </c>
      <c r="Y120" s="8" t="n">
        <f aca="false">R120-G120</f>
        <v>59</v>
      </c>
      <c r="Z120" s="8" t="n">
        <f aca="false">R120-H120</f>
        <v>59</v>
      </c>
      <c r="AA120" s="8" t="n">
        <f aca="false">R120-I120</f>
        <v>60</v>
      </c>
      <c r="AB120" s="8" t="n">
        <f aca="false">R120-J120</f>
        <v>60</v>
      </c>
      <c r="AC120" s="8" t="n">
        <f aca="false">R120-K120</f>
        <v>60</v>
      </c>
      <c r="AD120" s="8" t="n">
        <f aca="false">R120-L120</f>
        <v>61</v>
      </c>
      <c r="AE120" s="8" t="n">
        <f aca="false">R120-M120</f>
        <v>61</v>
      </c>
      <c r="AF120" s="8" t="n">
        <f aca="false">R120-N120</f>
        <v>61</v>
      </c>
      <c r="AG120" s="8" t="n">
        <f aca="false">R120-O120</f>
        <v>61</v>
      </c>
      <c r="AH120" s="8" t="n">
        <f aca="false">R120-P120</f>
        <v>60</v>
      </c>
      <c r="AI120" s="8" t="n">
        <f aca="false">R120-Q120</f>
        <v>60</v>
      </c>
    </row>
    <row r="121" customFormat="false" ht="15" hidden="false" customHeight="false" outlineLevel="0" collapsed="false">
      <c r="A121" s="7" t="s">
        <v>207</v>
      </c>
      <c r="B121" s="9" t="n">
        <v>4</v>
      </c>
      <c r="C121" s="9" t="n">
        <v>2</v>
      </c>
      <c r="D121" s="9" t="n">
        <v>4</v>
      </c>
      <c r="E121" s="9" t="n">
        <v>2</v>
      </c>
      <c r="F121" s="9" t="n">
        <v>3</v>
      </c>
      <c r="G121" s="9" t="n">
        <v>5</v>
      </c>
      <c r="H121" s="9" t="n">
        <v>5</v>
      </c>
      <c r="I121" s="9" t="n">
        <v>5</v>
      </c>
      <c r="J121" s="9" t="n">
        <v>1</v>
      </c>
      <c r="K121" s="9" t="n">
        <v>4</v>
      </c>
      <c r="L121" s="9" t="n">
        <v>4</v>
      </c>
      <c r="M121" s="9" t="n">
        <v>4</v>
      </c>
      <c r="N121" s="9" t="n">
        <v>5</v>
      </c>
      <c r="O121" s="9" t="n">
        <v>5</v>
      </c>
      <c r="P121" s="9" t="n">
        <v>3</v>
      </c>
      <c r="Q121" s="9" t="n">
        <v>5</v>
      </c>
      <c r="R121" s="8" t="n">
        <f aca="false">SUM(B121:Q121)</f>
        <v>61</v>
      </c>
      <c r="S121" s="8" t="str">
        <f aca="false">IF(R121&gt;=5_項目分析!$B$6,"高",IF(R121&lt;=5_項目分析!$B$5,"低",""))</f>
        <v/>
      </c>
      <c r="T121" s="8" t="n">
        <f aca="false">R121-B121</f>
        <v>57</v>
      </c>
      <c r="U121" s="8" t="n">
        <f aca="false">R121-C121</f>
        <v>59</v>
      </c>
      <c r="V121" s="8" t="n">
        <f aca="false">R121-D121</f>
        <v>57</v>
      </c>
      <c r="W121" s="8" t="n">
        <f aca="false">R121-E121</f>
        <v>59</v>
      </c>
      <c r="X121" s="8" t="n">
        <f aca="false">R121-F121</f>
        <v>58</v>
      </c>
      <c r="Y121" s="8" t="n">
        <f aca="false">R121-G121</f>
        <v>56</v>
      </c>
      <c r="Z121" s="8" t="n">
        <f aca="false">R121-H121</f>
        <v>56</v>
      </c>
      <c r="AA121" s="8" t="n">
        <f aca="false">R121-I121</f>
        <v>56</v>
      </c>
      <c r="AB121" s="8" t="n">
        <f aca="false">R121-J121</f>
        <v>60</v>
      </c>
      <c r="AC121" s="8" t="n">
        <f aca="false">R121-K121</f>
        <v>57</v>
      </c>
      <c r="AD121" s="8" t="n">
        <f aca="false">R121-L121</f>
        <v>57</v>
      </c>
      <c r="AE121" s="8" t="n">
        <f aca="false">R121-M121</f>
        <v>57</v>
      </c>
      <c r="AF121" s="8" t="n">
        <f aca="false">R121-N121</f>
        <v>56</v>
      </c>
      <c r="AG121" s="8" t="n">
        <f aca="false">R121-O121</f>
        <v>56</v>
      </c>
      <c r="AH121" s="8" t="n">
        <f aca="false">R121-P121</f>
        <v>58</v>
      </c>
      <c r="AI121" s="8" t="n">
        <f aca="false">R121-Q121</f>
        <v>56</v>
      </c>
    </row>
    <row r="122" customFormat="false" ht="15" hidden="false" customHeight="false" outlineLevel="0" collapsed="false">
      <c r="A122" s="7" t="s">
        <v>208</v>
      </c>
      <c r="B122" s="9" t="n">
        <v>3</v>
      </c>
      <c r="C122" s="9" t="n">
        <v>3</v>
      </c>
      <c r="D122" s="9" t="n">
        <v>3</v>
      </c>
      <c r="E122" s="9" t="n">
        <v>4</v>
      </c>
      <c r="F122" s="9" t="n">
        <v>3</v>
      </c>
      <c r="G122" s="9" t="n">
        <v>1</v>
      </c>
      <c r="H122" s="9" t="n">
        <v>3</v>
      </c>
      <c r="I122" s="9" t="n">
        <v>3</v>
      </c>
      <c r="J122" s="9" t="n">
        <v>3</v>
      </c>
      <c r="K122" s="9" t="n">
        <v>3</v>
      </c>
      <c r="L122" s="9" t="n">
        <v>3</v>
      </c>
      <c r="M122" s="9" t="n">
        <v>3</v>
      </c>
      <c r="N122" s="9" t="n">
        <v>2</v>
      </c>
      <c r="O122" s="9" t="n">
        <v>4</v>
      </c>
      <c r="P122" s="9" t="n">
        <v>3</v>
      </c>
      <c r="Q122" s="9" t="n">
        <v>4</v>
      </c>
      <c r="R122" s="8" t="n">
        <f aca="false">SUM(B122:Q122)</f>
        <v>48</v>
      </c>
      <c r="S122" s="8" t="str">
        <f aca="false">IF(R122&gt;=5_項目分析!$B$6,"高",IF(R122&lt;=5_項目分析!$B$5,"低",""))</f>
        <v>低</v>
      </c>
      <c r="T122" s="8" t="n">
        <f aca="false">R122-B122</f>
        <v>45</v>
      </c>
      <c r="U122" s="8" t="n">
        <f aca="false">R122-C122</f>
        <v>45</v>
      </c>
      <c r="V122" s="8" t="n">
        <f aca="false">R122-D122</f>
        <v>45</v>
      </c>
      <c r="W122" s="8" t="n">
        <f aca="false">R122-E122</f>
        <v>44</v>
      </c>
      <c r="X122" s="8" t="n">
        <f aca="false">R122-F122</f>
        <v>45</v>
      </c>
      <c r="Y122" s="8" t="n">
        <f aca="false">R122-G122</f>
        <v>47</v>
      </c>
      <c r="Z122" s="8" t="n">
        <f aca="false">R122-H122</f>
        <v>45</v>
      </c>
      <c r="AA122" s="8" t="n">
        <f aca="false">R122-I122</f>
        <v>45</v>
      </c>
      <c r="AB122" s="8" t="n">
        <f aca="false">R122-J122</f>
        <v>45</v>
      </c>
      <c r="AC122" s="8" t="n">
        <f aca="false">R122-K122</f>
        <v>45</v>
      </c>
      <c r="AD122" s="8" t="n">
        <f aca="false">R122-L122</f>
        <v>45</v>
      </c>
      <c r="AE122" s="8" t="n">
        <f aca="false">R122-M122</f>
        <v>45</v>
      </c>
      <c r="AF122" s="8" t="n">
        <f aca="false">R122-N122</f>
        <v>46</v>
      </c>
      <c r="AG122" s="8" t="n">
        <f aca="false">R122-O122</f>
        <v>44</v>
      </c>
      <c r="AH122" s="8" t="n">
        <f aca="false">R122-P122</f>
        <v>45</v>
      </c>
      <c r="AI122" s="8" t="n">
        <f aca="false">R122-Q122</f>
        <v>44</v>
      </c>
    </row>
    <row r="123" customFormat="false" ht="15" hidden="false" customHeight="false" outlineLevel="0" collapsed="false">
      <c r="A123" s="7" t="s">
        <v>209</v>
      </c>
      <c r="B123" s="9" t="n">
        <v>4</v>
      </c>
      <c r="C123" s="9" t="n">
        <v>4</v>
      </c>
      <c r="D123" s="9" t="n">
        <v>4</v>
      </c>
      <c r="E123" s="9" t="n">
        <v>4</v>
      </c>
      <c r="F123" s="9" t="n">
        <v>5</v>
      </c>
      <c r="G123" s="9" t="n">
        <v>4</v>
      </c>
      <c r="H123" s="9" t="n">
        <v>4</v>
      </c>
      <c r="I123" s="9" t="n">
        <v>3</v>
      </c>
      <c r="J123" s="9" t="n">
        <v>3</v>
      </c>
      <c r="K123" s="9" t="n">
        <v>5</v>
      </c>
      <c r="L123" s="9" t="n">
        <v>4</v>
      </c>
      <c r="M123" s="9" t="n">
        <v>4</v>
      </c>
      <c r="N123" s="9" t="n">
        <v>4</v>
      </c>
      <c r="O123" s="9" t="n">
        <v>4</v>
      </c>
      <c r="P123" s="9" t="n">
        <v>4</v>
      </c>
      <c r="Q123" s="9" t="n">
        <v>5</v>
      </c>
      <c r="R123" s="8" t="n">
        <f aca="false">SUM(B123:Q123)</f>
        <v>65</v>
      </c>
      <c r="S123" s="8" t="str">
        <f aca="false">IF(R123&gt;=5_項目分析!$B$6,"高",IF(R123&lt;=5_項目分析!$B$5,"低",""))</f>
        <v>高</v>
      </c>
      <c r="T123" s="8" t="n">
        <f aca="false">R123-B123</f>
        <v>61</v>
      </c>
      <c r="U123" s="8" t="n">
        <f aca="false">R123-C123</f>
        <v>61</v>
      </c>
      <c r="V123" s="8" t="n">
        <f aca="false">R123-D123</f>
        <v>61</v>
      </c>
      <c r="W123" s="8" t="n">
        <f aca="false">R123-E123</f>
        <v>61</v>
      </c>
      <c r="X123" s="8" t="n">
        <f aca="false">R123-F123</f>
        <v>60</v>
      </c>
      <c r="Y123" s="8" t="n">
        <f aca="false">R123-G123</f>
        <v>61</v>
      </c>
      <c r="Z123" s="8" t="n">
        <f aca="false">R123-H123</f>
        <v>61</v>
      </c>
      <c r="AA123" s="8" t="n">
        <f aca="false">R123-I123</f>
        <v>62</v>
      </c>
      <c r="AB123" s="8" t="n">
        <f aca="false">R123-J123</f>
        <v>62</v>
      </c>
      <c r="AC123" s="8" t="n">
        <f aca="false">R123-K123</f>
        <v>60</v>
      </c>
      <c r="AD123" s="8" t="n">
        <f aca="false">R123-L123</f>
        <v>61</v>
      </c>
      <c r="AE123" s="8" t="n">
        <f aca="false">R123-M123</f>
        <v>61</v>
      </c>
      <c r="AF123" s="8" t="n">
        <f aca="false">R123-N123</f>
        <v>61</v>
      </c>
      <c r="AG123" s="8" t="n">
        <f aca="false">R123-O123</f>
        <v>61</v>
      </c>
      <c r="AH123" s="8" t="n">
        <f aca="false">R123-P123</f>
        <v>61</v>
      </c>
      <c r="AI123" s="8" t="n">
        <f aca="false">R123-Q123</f>
        <v>60</v>
      </c>
    </row>
    <row r="124" customFormat="false" ht="15" hidden="false" customHeight="false" outlineLevel="0" collapsed="false">
      <c r="A124" s="7" t="s">
        <v>210</v>
      </c>
      <c r="B124" s="9" t="n">
        <v>4</v>
      </c>
      <c r="C124" s="9" t="n">
        <v>4</v>
      </c>
      <c r="D124" s="9" t="n">
        <v>5</v>
      </c>
      <c r="E124" s="9" t="n">
        <v>3</v>
      </c>
      <c r="F124" s="9" t="n">
        <v>4</v>
      </c>
      <c r="G124" s="9" t="n">
        <v>4</v>
      </c>
      <c r="H124" s="9" t="n">
        <v>4</v>
      </c>
      <c r="I124" s="9" t="n">
        <v>4</v>
      </c>
      <c r="J124" s="9" t="n">
        <v>4</v>
      </c>
      <c r="K124" s="9" t="n">
        <v>4</v>
      </c>
      <c r="L124" s="9" t="n">
        <v>3</v>
      </c>
      <c r="M124" s="9" t="n">
        <v>4</v>
      </c>
      <c r="N124" s="9" t="n">
        <v>5</v>
      </c>
      <c r="O124" s="9" t="n">
        <v>4</v>
      </c>
      <c r="P124" s="9" t="n">
        <v>4</v>
      </c>
      <c r="Q124" s="9" t="n">
        <v>5</v>
      </c>
      <c r="R124" s="8" t="n">
        <f aca="false">SUM(B124:Q124)</f>
        <v>65</v>
      </c>
      <c r="S124" s="8" t="str">
        <f aca="false">IF(R124&gt;=5_項目分析!$B$6,"高",IF(R124&lt;=5_項目分析!$B$5,"低",""))</f>
        <v>高</v>
      </c>
      <c r="T124" s="8" t="n">
        <f aca="false">R124-B124</f>
        <v>61</v>
      </c>
      <c r="U124" s="8" t="n">
        <f aca="false">R124-C124</f>
        <v>61</v>
      </c>
      <c r="V124" s="8" t="n">
        <f aca="false">R124-D124</f>
        <v>60</v>
      </c>
      <c r="W124" s="8" t="n">
        <f aca="false">R124-E124</f>
        <v>62</v>
      </c>
      <c r="X124" s="8" t="n">
        <f aca="false">R124-F124</f>
        <v>61</v>
      </c>
      <c r="Y124" s="8" t="n">
        <f aca="false">R124-G124</f>
        <v>61</v>
      </c>
      <c r="Z124" s="8" t="n">
        <f aca="false">R124-H124</f>
        <v>61</v>
      </c>
      <c r="AA124" s="8" t="n">
        <f aca="false">R124-I124</f>
        <v>61</v>
      </c>
      <c r="AB124" s="8" t="n">
        <f aca="false">R124-J124</f>
        <v>61</v>
      </c>
      <c r="AC124" s="8" t="n">
        <f aca="false">R124-K124</f>
        <v>61</v>
      </c>
      <c r="AD124" s="8" t="n">
        <f aca="false">R124-L124</f>
        <v>62</v>
      </c>
      <c r="AE124" s="8" t="n">
        <f aca="false">R124-M124</f>
        <v>61</v>
      </c>
      <c r="AF124" s="8" t="n">
        <f aca="false">R124-N124</f>
        <v>60</v>
      </c>
      <c r="AG124" s="8" t="n">
        <f aca="false">R124-O124</f>
        <v>61</v>
      </c>
      <c r="AH124" s="8" t="n">
        <f aca="false">R124-P124</f>
        <v>61</v>
      </c>
      <c r="AI124" s="8" t="n">
        <f aca="false">R124-Q124</f>
        <v>60</v>
      </c>
    </row>
    <row r="125" customFormat="false" ht="15" hidden="false" customHeight="false" outlineLevel="0" collapsed="false">
      <c r="A125" s="7" t="s">
        <v>211</v>
      </c>
      <c r="B125" s="9" t="n">
        <v>4</v>
      </c>
      <c r="C125" s="9" t="n">
        <v>4</v>
      </c>
      <c r="D125" s="9" t="n">
        <v>4</v>
      </c>
      <c r="E125" s="9" t="n">
        <v>3</v>
      </c>
      <c r="F125" s="9" t="n">
        <v>4</v>
      </c>
      <c r="G125" s="9" t="n">
        <v>4</v>
      </c>
      <c r="H125" s="9" t="n">
        <v>5</v>
      </c>
      <c r="I125" s="9" t="n">
        <v>4</v>
      </c>
      <c r="J125" s="9" t="n">
        <v>3</v>
      </c>
      <c r="K125" s="9" t="n">
        <v>4</v>
      </c>
      <c r="L125" s="9" t="n">
        <v>3</v>
      </c>
      <c r="M125" s="9" t="n">
        <v>4</v>
      </c>
      <c r="N125" s="9" t="n">
        <v>4</v>
      </c>
      <c r="O125" s="9" t="n">
        <v>3</v>
      </c>
      <c r="P125" s="9" t="n">
        <v>2</v>
      </c>
      <c r="Q125" s="9" t="n">
        <v>5</v>
      </c>
      <c r="R125" s="8" t="n">
        <f aca="false">SUM(B125:Q125)</f>
        <v>60</v>
      </c>
      <c r="S125" s="8" t="str">
        <f aca="false">IF(R125&gt;=5_項目分析!$B$6,"高",IF(R125&lt;=5_項目分析!$B$5,"低",""))</f>
        <v/>
      </c>
      <c r="T125" s="8" t="n">
        <f aca="false">R125-B125</f>
        <v>56</v>
      </c>
      <c r="U125" s="8" t="n">
        <f aca="false">R125-C125</f>
        <v>56</v>
      </c>
      <c r="V125" s="8" t="n">
        <f aca="false">R125-D125</f>
        <v>56</v>
      </c>
      <c r="W125" s="8" t="n">
        <f aca="false">R125-E125</f>
        <v>57</v>
      </c>
      <c r="X125" s="8" t="n">
        <f aca="false">R125-F125</f>
        <v>56</v>
      </c>
      <c r="Y125" s="8" t="n">
        <f aca="false">R125-G125</f>
        <v>56</v>
      </c>
      <c r="Z125" s="8" t="n">
        <f aca="false">R125-H125</f>
        <v>55</v>
      </c>
      <c r="AA125" s="8" t="n">
        <f aca="false">R125-I125</f>
        <v>56</v>
      </c>
      <c r="AB125" s="8" t="n">
        <f aca="false">R125-J125</f>
        <v>57</v>
      </c>
      <c r="AC125" s="8" t="n">
        <f aca="false">R125-K125</f>
        <v>56</v>
      </c>
      <c r="AD125" s="8" t="n">
        <f aca="false">R125-L125</f>
        <v>57</v>
      </c>
      <c r="AE125" s="8" t="n">
        <f aca="false">R125-M125</f>
        <v>56</v>
      </c>
      <c r="AF125" s="8" t="n">
        <f aca="false">R125-N125</f>
        <v>56</v>
      </c>
      <c r="AG125" s="8" t="n">
        <f aca="false">R125-O125</f>
        <v>57</v>
      </c>
      <c r="AH125" s="8" t="n">
        <f aca="false">R125-P125</f>
        <v>58</v>
      </c>
      <c r="AI125" s="8" t="n">
        <f aca="false">R125-Q125</f>
        <v>55</v>
      </c>
    </row>
    <row r="126" customFormat="false" ht="15" hidden="false" customHeight="false" outlineLevel="0" collapsed="false">
      <c r="A126" s="7" t="s">
        <v>212</v>
      </c>
      <c r="B126" s="9" t="n">
        <v>3</v>
      </c>
      <c r="C126" s="9" t="n">
        <v>1</v>
      </c>
      <c r="D126" s="9" t="n">
        <v>2</v>
      </c>
      <c r="E126" s="9" t="n">
        <v>2</v>
      </c>
      <c r="F126" s="9" t="n">
        <v>3</v>
      </c>
      <c r="G126" s="9" t="n">
        <v>4</v>
      </c>
      <c r="H126" s="9" t="n">
        <v>3</v>
      </c>
      <c r="I126" s="9" t="n">
        <v>4</v>
      </c>
      <c r="J126" s="9" t="n">
        <v>3</v>
      </c>
      <c r="K126" s="9" t="n">
        <v>5</v>
      </c>
      <c r="L126" s="9" t="n">
        <v>3</v>
      </c>
      <c r="M126" s="9" t="n">
        <v>2</v>
      </c>
      <c r="N126" s="9" t="n">
        <v>3</v>
      </c>
      <c r="O126" s="9" t="n">
        <v>3</v>
      </c>
      <c r="P126" s="9" t="n">
        <v>4</v>
      </c>
      <c r="Q126" s="9" t="n">
        <v>4</v>
      </c>
      <c r="R126" s="8" t="n">
        <f aca="false">SUM(B126:Q126)</f>
        <v>49</v>
      </c>
      <c r="S126" s="8" t="str">
        <f aca="false">IF(R126&gt;=5_項目分析!$B$6,"高",IF(R126&lt;=5_項目分析!$B$5,"低",""))</f>
        <v>低</v>
      </c>
      <c r="T126" s="8" t="n">
        <f aca="false">R126-B126</f>
        <v>46</v>
      </c>
      <c r="U126" s="8" t="n">
        <f aca="false">R126-C126</f>
        <v>48</v>
      </c>
      <c r="V126" s="8" t="n">
        <f aca="false">R126-D126</f>
        <v>47</v>
      </c>
      <c r="W126" s="8" t="n">
        <f aca="false">R126-E126</f>
        <v>47</v>
      </c>
      <c r="X126" s="8" t="n">
        <f aca="false">R126-F126</f>
        <v>46</v>
      </c>
      <c r="Y126" s="8" t="n">
        <f aca="false">R126-G126</f>
        <v>45</v>
      </c>
      <c r="Z126" s="8" t="n">
        <f aca="false">R126-H126</f>
        <v>46</v>
      </c>
      <c r="AA126" s="8" t="n">
        <f aca="false">R126-I126</f>
        <v>45</v>
      </c>
      <c r="AB126" s="8" t="n">
        <f aca="false">R126-J126</f>
        <v>46</v>
      </c>
      <c r="AC126" s="8" t="n">
        <f aca="false">R126-K126</f>
        <v>44</v>
      </c>
      <c r="AD126" s="8" t="n">
        <f aca="false">R126-L126</f>
        <v>46</v>
      </c>
      <c r="AE126" s="8" t="n">
        <f aca="false">R126-M126</f>
        <v>47</v>
      </c>
      <c r="AF126" s="8" t="n">
        <f aca="false">R126-N126</f>
        <v>46</v>
      </c>
      <c r="AG126" s="8" t="n">
        <f aca="false">R126-O126</f>
        <v>46</v>
      </c>
      <c r="AH126" s="8" t="n">
        <f aca="false">R126-P126</f>
        <v>45</v>
      </c>
      <c r="AI126" s="8" t="n">
        <f aca="false">R126-Q126</f>
        <v>45</v>
      </c>
    </row>
    <row r="127" customFormat="false" ht="15" hidden="false" customHeight="false" outlineLevel="0" collapsed="false">
      <c r="A127" s="7" t="s">
        <v>213</v>
      </c>
      <c r="B127" s="9" t="n">
        <v>5</v>
      </c>
      <c r="C127" s="9" t="n">
        <v>5</v>
      </c>
      <c r="D127" s="9" t="n">
        <v>5</v>
      </c>
      <c r="E127" s="9" t="n">
        <v>5</v>
      </c>
      <c r="F127" s="9" t="n">
        <v>5</v>
      </c>
      <c r="G127" s="9" t="n">
        <v>4</v>
      </c>
      <c r="H127" s="9" t="n">
        <v>5</v>
      </c>
      <c r="I127" s="9" t="n">
        <v>4</v>
      </c>
      <c r="J127" s="9" t="n">
        <v>4</v>
      </c>
      <c r="K127" s="9" t="n">
        <v>5</v>
      </c>
      <c r="L127" s="9" t="n">
        <v>5</v>
      </c>
      <c r="M127" s="9" t="n">
        <v>4</v>
      </c>
      <c r="N127" s="9" t="n">
        <v>5</v>
      </c>
      <c r="O127" s="9" t="n">
        <v>5</v>
      </c>
      <c r="P127" s="9" t="n">
        <v>4</v>
      </c>
      <c r="Q127" s="9" t="n">
        <v>5</v>
      </c>
      <c r="R127" s="8" t="n">
        <f aca="false">SUM(B127:Q127)</f>
        <v>75</v>
      </c>
      <c r="S127" s="8" t="str">
        <f aca="false">IF(R127&gt;=5_項目分析!$B$6,"高",IF(R127&lt;=5_項目分析!$B$5,"低",""))</f>
        <v>高</v>
      </c>
      <c r="T127" s="8" t="n">
        <f aca="false">R127-B127</f>
        <v>70</v>
      </c>
      <c r="U127" s="8" t="n">
        <f aca="false">R127-C127</f>
        <v>70</v>
      </c>
      <c r="V127" s="8" t="n">
        <f aca="false">R127-D127</f>
        <v>70</v>
      </c>
      <c r="W127" s="8" t="n">
        <f aca="false">R127-E127</f>
        <v>70</v>
      </c>
      <c r="X127" s="8" t="n">
        <f aca="false">R127-F127</f>
        <v>70</v>
      </c>
      <c r="Y127" s="8" t="n">
        <f aca="false">R127-G127</f>
        <v>71</v>
      </c>
      <c r="Z127" s="8" t="n">
        <f aca="false">R127-H127</f>
        <v>70</v>
      </c>
      <c r="AA127" s="8" t="n">
        <f aca="false">R127-I127</f>
        <v>71</v>
      </c>
      <c r="AB127" s="8" t="n">
        <f aca="false">R127-J127</f>
        <v>71</v>
      </c>
      <c r="AC127" s="8" t="n">
        <f aca="false">R127-K127</f>
        <v>70</v>
      </c>
      <c r="AD127" s="8" t="n">
        <f aca="false">R127-L127</f>
        <v>70</v>
      </c>
      <c r="AE127" s="8" t="n">
        <f aca="false">R127-M127</f>
        <v>71</v>
      </c>
      <c r="AF127" s="8" t="n">
        <f aca="false">R127-N127</f>
        <v>70</v>
      </c>
      <c r="AG127" s="8" t="n">
        <f aca="false">R127-O127</f>
        <v>70</v>
      </c>
      <c r="AH127" s="8" t="n">
        <f aca="false">R127-P127</f>
        <v>71</v>
      </c>
      <c r="AI127" s="8" t="n">
        <f aca="false">R127-Q127</f>
        <v>70</v>
      </c>
    </row>
    <row r="128" customFormat="false" ht="15" hidden="false" customHeight="false" outlineLevel="0" collapsed="false">
      <c r="A128" s="7" t="s">
        <v>214</v>
      </c>
      <c r="B128" s="9" t="n">
        <v>4</v>
      </c>
      <c r="C128" s="9" t="n">
        <v>4</v>
      </c>
      <c r="D128" s="9" t="n">
        <v>4</v>
      </c>
      <c r="E128" s="9" t="n">
        <v>4</v>
      </c>
      <c r="F128" s="9" t="n">
        <v>4</v>
      </c>
      <c r="G128" s="9" t="n">
        <v>2</v>
      </c>
      <c r="H128" s="9" t="n">
        <v>3</v>
      </c>
      <c r="I128" s="9" t="n">
        <v>2</v>
      </c>
      <c r="J128" s="9" t="n">
        <v>4</v>
      </c>
      <c r="K128" s="9" t="n">
        <v>3</v>
      </c>
      <c r="L128" s="9" t="n">
        <v>5</v>
      </c>
      <c r="M128" s="9" t="n">
        <v>5</v>
      </c>
      <c r="N128" s="9" t="n">
        <v>4</v>
      </c>
      <c r="O128" s="9" t="n">
        <v>4</v>
      </c>
      <c r="P128" s="9" t="n">
        <v>3</v>
      </c>
      <c r="Q128" s="9" t="n">
        <v>5</v>
      </c>
      <c r="R128" s="8" t="n">
        <f aca="false">SUM(B128:Q128)</f>
        <v>60</v>
      </c>
      <c r="S128" s="8" t="str">
        <f aca="false">IF(R128&gt;=5_項目分析!$B$6,"高",IF(R128&lt;=5_項目分析!$B$5,"低",""))</f>
        <v/>
      </c>
      <c r="T128" s="8" t="n">
        <f aca="false">R128-B128</f>
        <v>56</v>
      </c>
      <c r="U128" s="8" t="n">
        <f aca="false">R128-C128</f>
        <v>56</v>
      </c>
      <c r="V128" s="8" t="n">
        <f aca="false">R128-D128</f>
        <v>56</v>
      </c>
      <c r="W128" s="8" t="n">
        <f aca="false">R128-E128</f>
        <v>56</v>
      </c>
      <c r="X128" s="8" t="n">
        <f aca="false">R128-F128</f>
        <v>56</v>
      </c>
      <c r="Y128" s="8" t="n">
        <f aca="false">R128-G128</f>
        <v>58</v>
      </c>
      <c r="Z128" s="8" t="n">
        <f aca="false">R128-H128</f>
        <v>57</v>
      </c>
      <c r="AA128" s="8" t="n">
        <f aca="false">R128-I128</f>
        <v>58</v>
      </c>
      <c r="AB128" s="8" t="n">
        <f aca="false">R128-J128</f>
        <v>56</v>
      </c>
      <c r="AC128" s="8" t="n">
        <f aca="false">R128-K128</f>
        <v>57</v>
      </c>
      <c r="AD128" s="8" t="n">
        <f aca="false">R128-L128</f>
        <v>55</v>
      </c>
      <c r="AE128" s="8" t="n">
        <f aca="false">R128-M128</f>
        <v>55</v>
      </c>
      <c r="AF128" s="8" t="n">
        <f aca="false">R128-N128</f>
        <v>56</v>
      </c>
      <c r="AG128" s="8" t="n">
        <f aca="false">R128-O128</f>
        <v>56</v>
      </c>
      <c r="AH128" s="8" t="n">
        <f aca="false">R128-P128</f>
        <v>57</v>
      </c>
      <c r="AI128" s="8" t="n">
        <f aca="false">R128-Q128</f>
        <v>55</v>
      </c>
    </row>
    <row r="129" customFormat="false" ht="15" hidden="false" customHeight="false" outlineLevel="0" collapsed="false">
      <c r="A129" s="7" t="s">
        <v>215</v>
      </c>
      <c r="B129" s="9" t="n">
        <v>3</v>
      </c>
      <c r="C129" s="9" t="n">
        <v>3</v>
      </c>
      <c r="D129" s="9" t="n">
        <v>3</v>
      </c>
      <c r="E129" s="9" t="n">
        <v>3</v>
      </c>
      <c r="F129" s="9" t="n">
        <v>4</v>
      </c>
      <c r="G129" s="9" t="n">
        <v>4</v>
      </c>
      <c r="H129" s="9" t="n">
        <v>3</v>
      </c>
      <c r="I129" s="9" t="n">
        <v>4</v>
      </c>
      <c r="J129" s="9" t="n">
        <v>5</v>
      </c>
      <c r="K129" s="9" t="n">
        <v>4</v>
      </c>
      <c r="L129" s="9" t="n">
        <v>5</v>
      </c>
      <c r="M129" s="9" t="n">
        <v>5</v>
      </c>
      <c r="N129" s="9" t="n">
        <v>4</v>
      </c>
      <c r="O129" s="9" t="n">
        <v>4</v>
      </c>
      <c r="P129" s="9" t="n">
        <v>2</v>
      </c>
      <c r="Q129" s="9" t="n">
        <v>5</v>
      </c>
      <c r="R129" s="8" t="n">
        <f aca="false">SUM(B129:Q129)</f>
        <v>61</v>
      </c>
      <c r="S129" s="8" t="str">
        <f aca="false">IF(R129&gt;=5_項目分析!$B$6,"高",IF(R129&lt;=5_項目分析!$B$5,"低",""))</f>
        <v/>
      </c>
      <c r="T129" s="8" t="n">
        <f aca="false">R129-B129</f>
        <v>58</v>
      </c>
      <c r="U129" s="8" t="n">
        <f aca="false">R129-C129</f>
        <v>58</v>
      </c>
      <c r="V129" s="8" t="n">
        <f aca="false">R129-D129</f>
        <v>58</v>
      </c>
      <c r="W129" s="8" t="n">
        <f aca="false">R129-E129</f>
        <v>58</v>
      </c>
      <c r="X129" s="8" t="n">
        <f aca="false">R129-F129</f>
        <v>57</v>
      </c>
      <c r="Y129" s="8" t="n">
        <f aca="false">R129-G129</f>
        <v>57</v>
      </c>
      <c r="Z129" s="8" t="n">
        <f aca="false">R129-H129</f>
        <v>58</v>
      </c>
      <c r="AA129" s="8" t="n">
        <f aca="false">R129-I129</f>
        <v>57</v>
      </c>
      <c r="AB129" s="8" t="n">
        <f aca="false">R129-J129</f>
        <v>56</v>
      </c>
      <c r="AC129" s="8" t="n">
        <f aca="false">R129-K129</f>
        <v>57</v>
      </c>
      <c r="AD129" s="8" t="n">
        <f aca="false">R129-L129</f>
        <v>56</v>
      </c>
      <c r="AE129" s="8" t="n">
        <f aca="false">R129-M129</f>
        <v>56</v>
      </c>
      <c r="AF129" s="8" t="n">
        <f aca="false">R129-N129</f>
        <v>57</v>
      </c>
      <c r="AG129" s="8" t="n">
        <f aca="false">R129-O129</f>
        <v>57</v>
      </c>
      <c r="AH129" s="8" t="n">
        <f aca="false">R129-P129</f>
        <v>59</v>
      </c>
      <c r="AI129" s="8" t="n">
        <f aca="false">R129-Q129</f>
        <v>56</v>
      </c>
    </row>
    <row r="130" customFormat="false" ht="15" hidden="false" customHeight="false" outlineLevel="0" collapsed="false">
      <c r="A130" s="7" t="s">
        <v>216</v>
      </c>
      <c r="B130" s="9" t="n">
        <v>2</v>
      </c>
      <c r="C130" s="9" t="n">
        <v>2</v>
      </c>
      <c r="D130" s="9" t="n">
        <v>2</v>
      </c>
      <c r="E130" s="9" t="n">
        <v>3</v>
      </c>
      <c r="F130" s="9" t="n">
        <v>5</v>
      </c>
      <c r="G130" s="9" t="n">
        <v>4</v>
      </c>
      <c r="H130" s="9" t="n">
        <v>4</v>
      </c>
      <c r="I130" s="9" t="n">
        <v>3</v>
      </c>
      <c r="J130" s="9" t="n">
        <v>3</v>
      </c>
      <c r="K130" s="9" t="n">
        <v>3</v>
      </c>
      <c r="L130" s="9" t="n">
        <v>4</v>
      </c>
      <c r="M130" s="9" t="n">
        <v>3</v>
      </c>
      <c r="N130" s="9" t="n">
        <v>3</v>
      </c>
      <c r="O130" s="9" t="n">
        <v>5</v>
      </c>
      <c r="P130" s="9" t="n">
        <v>3</v>
      </c>
      <c r="Q130" s="9" t="n">
        <v>5</v>
      </c>
      <c r="R130" s="8" t="n">
        <f aca="false">SUM(B130:Q130)</f>
        <v>54</v>
      </c>
      <c r="S130" s="8" t="str">
        <f aca="false">IF(R130&gt;=5_項目分析!$B$6,"高",IF(R130&lt;=5_項目分析!$B$5,"低",""))</f>
        <v>低</v>
      </c>
      <c r="T130" s="8" t="n">
        <f aca="false">R130-B130</f>
        <v>52</v>
      </c>
      <c r="U130" s="8" t="n">
        <f aca="false">R130-C130</f>
        <v>52</v>
      </c>
      <c r="V130" s="8" t="n">
        <f aca="false">R130-D130</f>
        <v>52</v>
      </c>
      <c r="W130" s="8" t="n">
        <f aca="false">R130-E130</f>
        <v>51</v>
      </c>
      <c r="X130" s="8" t="n">
        <f aca="false">R130-F130</f>
        <v>49</v>
      </c>
      <c r="Y130" s="8" t="n">
        <f aca="false">R130-G130</f>
        <v>50</v>
      </c>
      <c r="Z130" s="8" t="n">
        <f aca="false">R130-H130</f>
        <v>50</v>
      </c>
      <c r="AA130" s="8" t="n">
        <f aca="false">R130-I130</f>
        <v>51</v>
      </c>
      <c r="AB130" s="8" t="n">
        <f aca="false">R130-J130</f>
        <v>51</v>
      </c>
      <c r="AC130" s="8" t="n">
        <f aca="false">R130-K130</f>
        <v>51</v>
      </c>
      <c r="AD130" s="8" t="n">
        <f aca="false">R130-L130</f>
        <v>50</v>
      </c>
      <c r="AE130" s="8" t="n">
        <f aca="false">R130-M130</f>
        <v>51</v>
      </c>
      <c r="AF130" s="8" t="n">
        <f aca="false">R130-N130</f>
        <v>51</v>
      </c>
      <c r="AG130" s="8" t="n">
        <f aca="false">R130-O130</f>
        <v>49</v>
      </c>
      <c r="AH130" s="8" t="n">
        <f aca="false">R130-P130</f>
        <v>51</v>
      </c>
      <c r="AI130" s="8" t="n">
        <f aca="false">R130-Q130</f>
        <v>49</v>
      </c>
    </row>
    <row r="131" customFormat="false" ht="15" hidden="false" customHeight="false" outlineLevel="0" collapsed="false">
      <c r="A131" s="7" t="s">
        <v>217</v>
      </c>
      <c r="B131" s="9" t="n">
        <v>5</v>
      </c>
      <c r="C131" s="9" t="n">
        <v>2</v>
      </c>
      <c r="D131" s="9" t="n">
        <v>4</v>
      </c>
      <c r="E131" s="9" t="n">
        <v>4</v>
      </c>
      <c r="F131" s="9" t="n">
        <v>3</v>
      </c>
      <c r="G131" s="9" t="n">
        <v>3</v>
      </c>
      <c r="H131" s="9" t="n">
        <v>3</v>
      </c>
      <c r="I131" s="9" t="n">
        <v>4</v>
      </c>
      <c r="J131" s="9" t="n">
        <v>5</v>
      </c>
      <c r="K131" s="9" t="n">
        <v>2</v>
      </c>
      <c r="L131" s="9" t="n">
        <v>3</v>
      </c>
      <c r="M131" s="9" t="n">
        <v>3</v>
      </c>
      <c r="N131" s="9" t="n">
        <v>4</v>
      </c>
      <c r="O131" s="9" t="n">
        <v>4</v>
      </c>
      <c r="P131" s="9" t="n">
        <v>5</v>
      </c>
      <c r="Q131" s="9" t="n">
        <v>5</v>
      </c>
      <c r="R131" s="8" t="n">
        <f aca="false">SUM(B131:Q131)</f>
        <v>59</v>
      </c>
      <c r="S131" s="8" t="str">
        <f aca="false">IF(R131&gt;=5_項目分析!$B$6,"高",IF(R131&lt;=5_項目分析!$B$5,"低",""))</f>
        <v/>
      </c>
      <c r="T131" s="8" t="n">
        <f aca="false">R131-B131</f>
        <v>54</v>
      </c>
      <c r="U131" s="8" t="n">
        <f aca="false">R131-C131</f>
        <v>57</v>
      </c>
      <c r="V131" s="8" t="n">
        <f aca="false">R131-D131</f>
        <v>55</v>
      </c>
      <c r="W131" s="8" t="n">
        <f aca="false">R131-E131</f>
        <v>55</v>
      </c>
      <c r="X131" s="8" t="n">
        <f aca="false">R131-F131</f>
        <v>56</v>
      </c>
      <c r="Y131" s="8" t="n">
        <f aca="false">R131-G131</f>
        <v>56</v>
      </c>
      <c r="Z131" s="8" t="n">
        <f aca="false">R131-H131</f>
        <v>56</v>
      </c>
      <c r="AA131" s="8" t="n">
        <f aca="false">R131-I131</f>
        <v>55</v>
      </c>
      <c r="AB131" s="8" t="n">
        <f aca="false">R131-J131</f>
        <v>54</v>
      </c>
      <c r="AC131" s="8" t="n">
        <f aca="false">R131-K131</f>
        <v>57</v>
      </c>
      <c r="AD131" s="8" t="n">
        <f aca="false">R131-L131</f>
        <v>56</v>
      </c>
      <c r="AE131" s="8" t="n">
        <f aca="false">R131-M131</f>
        <v>56</v>
      </c>
      <c r="AF131" s="8" t="n">
        <f aca="false">R131-N131</f>
        <v>55</v>
      </c>
      <c r="AG131" s="8" t="n">
        <f aca="false">R131-O131</f>
        <v>55</v>
      </c>
      <c r="AH131" s="8" t="n">
        <f aca="false">R131-P131</f>
        <v>54</v>
      </c>
      <c r="AI131" s="8" t="n">
        <f aca="false">R131-Q131</f>
        <v>54</v>
      </c>
    </row>
    <row r="132" customFormat="false" ht="15" hidden="false" customHeight="false" outlineLevel="0" collapsed="false">
      <c r="A132" s="7" t="s">
        <v>218</v>
      </c>
      <c r="B132" s="9" t="n">
        <v>2</v>
      </c>
      <c r="C132" s="9" t="n">
        <v>4</v>
      </c>
      <c r="D132" s="9" t="n">
        <v>4</v>
      </c>
      <c r="E132" s="9" t="n">
        <v>4</v>
      </c>
      <c r="F132" s="9" t="n">
        <v>3</v>
      </c>
      <c r="G132" s="9" t="n">
        <v>5</v>
      </c>
      <c r="H132" s="9" t="n">
        <v>5</v>
      </c>
      <c r="I132" s="9" t="n">
        <v>5</v>
      </c>
      <c r="J132" s="9" t="n">
        <v>4</v>
      </c>
      <c r="K132" s="9" t="n">
        <v>4</v>
      </c>
      <c r="L132" s="9" t="n">
        <v>3</v>
      </c>
      <c r="M132" s="9" t="n">
        <v>3</v>
      </c>
      <c r="N132" s="9" t="n">
        <v>4</v>
      </c>
      <c r="O132" s="9" t="n">
        <v>3</v>
      </c>
      <c r="P132" s="9" t="n">
        <v>5</v>
      </c>
      <c r="Q132" s="9" t="n">
        <v>5</v>
      </c>
      <c r="R132" s="8" t="n">
        <f aca="false">SUM(B132:Q132)</f>
        <v>63</v>
      </c>
      <c r="S132" s="8" t="str">
        <f aca="false">IF(R132&gt;=5_項目分析!$B$6,"高",IF(R132&lt;=5_項目分析!$B$5,"低",""))</f>
        <v/>
      </c>
      <c r="T132" s="8" t="n">
        <f aca="false">R132-B132</f>
        <v>61</v>
      </c>
      <c r="U132" s="8" t="n">
        <f aca="false">R132-C132</f>
        <v>59</v>
      </c>
      <c r="V132" s="8" t="n">
        <f aca="false">R132-D132</f>
        <v>59</v>
      </c>
      <c r="W132" s="8" t="n">
        <f aca="false">R132-E132</f>
        <v>59</v>
      </c>
      <c r="X132" s="8" t="n">
        <f aca="false">R132-F132</f>
        <v>60</v>
      </c>
      <c r="Y132" s="8" t="n">
        <f aca="false">R132-G132</f>
        <v>58</v>
      </c>
      <c r="Z132" s="8" t="n">
        <f aca="false">R132-H132</f>
        <v>58</v>
      </c>
      <c r="AA132" s="8" t="n">
        <f aca="false">R132-I132</f>
        <v>58</v>
      </c>
      <c r="AB132" s="8" t="n">
        <f aca="false">R132-J132</f>
        <v>59</v>
      </c>
      <c r="AC132" s="8" t="n">
        <f aca="false">R132-K132</f>
        <v>59</v>
      </c>
      <c r="AD132" s="8" t="n">
        <f aca="false">R132-L132</f>
        <v>60</v>
      </c>
      <c r="AE132" s="8" t="n">
        <f aca="false">R132-M132</f>
        <v>60</v>
      </c>
      <c r="AF132" s="8" t="n">
        <f aca="false">R132-N132</f>
        <v>59</v>
      </c>
      <c r="AG132" s="8" t="n">
        <f aca="false">R132-O132</f>
        <v>60</v>
      </c>
      <c r="AH132" s="8" t="n">
        <f aca="false">R132-P132</f>
        <v>58</v>
      </c>
      <c r="AI132" s="8" t="n">
        <f aca="false">R132-Q132</f>
        <v>58</v>
      </c>
    </row>
    <row r="133" customFormat="false" ht="15" hidden="false" customHeight="false" outlineLevel="0" collapsed="false">
      <c r="A133" s="7" t="s">
        <v>219</v>
      </c>
      <c r="B133" s="9" t="n">
        <v>3</v>
      </c>
      <c r="C133" s="9" t="n">
        <v>5</v>
      </c>
      <c r="D133" s="9" t="n">
        <v>4</v>
      </c>
      <c r="E133" s="9" t="n">
        <v>3</v>
      </c>
      <c r="F133" s="9" t="n">
        <v>4</v>
      </c>
      <c r="G133" s="9" t="n">
        <v>3</v>
      </c>
      <c r="H133" s="9" t="n">
        <v>4</v>
      </c>
      <c r="I133" s="9" t="n">
        <v>4</v>
      </c>
      <c r="J133" s="9" t="n">
        <v>5</v>
      </c>
      <c r="K133" s="9" t="n">
        <v>4</v>
      </c>
      <c r="L133" s="9" t="n">
        <v>5</v>
      </c>
      <c r="M133" s="9" t="n">
        <v>5</v>
      </c>
      <c r="N133" s="9" t="n">
        <v>5</v>
      </c>
      <c r="O133" s="9" t="n">
        <v>5</v>
      </c>
      <c r="P133" s="9" t="n">
        <v>5</v>
      </c>
      <c r="Q133" s="9" t="n">
        <v>5</v>
      </c>
      <c r="R133" s="8" t="n">
        <f aca="false">SUM(B133:Q133)</f>
        <v>69</v>
      </c>
      <c r="S133" s="8" t="str">
        <f aca="false">IF(R133&gt;=5_項目分析!$B$6,"高",IF(R133&lt;=5_項目分析!$B$5,"低",""))</f>
        <v>高</v>
      </c>
      <c r="T133" s="8" t="n">
        <f aca="false">R133-B133</f>
        <v>66</v>
      </c>
      <c r="U133" s="8" t="n">
        <f aca="false">R133-C133</f>
        <v>64</v>
      </c>
      <c r="V133" s="8" t="n">
        <f aca="false">R133-D133</f>
        <v>65</v>
      </c>
      <c r="W133" s="8" t="n">
        <f aca="false">R133-E133</f>
        <v>66</v>
      </c>
      <c r="X133" s="8" t="n">
        <f aca="false">R133-F133</f>
        <v>65</v>
      </c>
      <c r="Y133" s="8" t="n">
        <f aca="false">R133-G133</f>
        <v>66</v>
      </c>
      <c r="Z133" s="8" t="n">
        <f aca="false">R133-H133</f>
        <v>65</v>
      </c>
      <c r="AA133" s="8" t="n">
        <f aca="false">R133-I133</f>
        <v>65</v>
      </c>
      <c r="AB133" s="8" t="n">
        <f aca="false">R133-J133</f>
        <v>64</v>
      </c>
      <c r="AC133" s="8" t="n">
        <f aca="false">R133-K133</f>
        <v>65</v>
      </c>
      <c r="AD133" s="8" t="n">
        <f aca="false">R133-L133</f>
        <v>64</v>
      </c>
      <c r="AE133" s="8" t="n">
        <f aca="false">R133-M133</f>
        <v>64</v>
      </c>
      <c r="AF133" s="8" t="n">
        <f aca="false">R133-N133</f>
        <v>64</v>
      </c>
      <c r="AG133" s="8" t="n">
        <f aca="false">R133-O133</f>
        <v>64</v>
      </c>
      <c r="AH133" s="8" t="n">
        <f aca="false">R133-P133</f>
        <v>64</v>
      </c>
      <c r="AI133" s="8" t="n">
        <f aca="false">R133-Q133</f>
        <v>64</v>
      </c>
    </row>
    <row r="134" customFormat="false" ht="15" hidden="false" customHeight="false" outlineLevel="0" collapsed="false">
      <c r="A134" s="7" t="s">
        <v>220</v>
      </c>
      <c r="B134" s="9" t="n">
        <v>2</v>
      </c>
      <c r="C134" s="9" t="n">
        <v>3</v>
      </c>
      <c r="D134" s="9" t="n">
        <v>2</v>
      </c>
      <c r="E134" s="9" t="n">
        <v>1</v>
      </c>
      <c r="F134" s="9" t="n">
        <v>3</v>
      </c>
      <c r="G134" s="9" t="n">
        <v>5</v>
      </c>
      <c r="H134" s="9" t="n">
        <v>5</v>
      </c>
      <c r="I134" s="9" t="n">
        <v>5</v>
      </c>
      <c r="J134" s="9" t="n">
        <v>4</v>
      </c>
      <c r="K134" s="9" t="n">
        <v>5</v>
      </c>
      <c r="L134" s="9" t="n">
        <v>3</v>
      </c>
      <c r="M134" s="9" t="n">
        <v>4</v>
      </c>
      <c r="N134" s="9" t="n">
        <v>3</v>
      </c>
      <c r="O134" s="9" t="n">
        <v>4</v>
      </c>
      <c r="P134" s="9" t="n">
        <v>5</v>
      </c>
      <c r="Q134" s="9" t="n">
        <v>5</v>
      </c>
      <c r="R134" s="8" t="n">
        <f aca="false">SUM(B134:Q134)</f>
        <v>59</v>
      </c>
      <c r="S134" s="8" t="str">
        <f aca="false">IF(R134&gt;=5_項目分析!$B$6,"高",IF(R134&lt;=5_項目分析!$B$5,"低",""))</f>
        <v/>
      </c>
      <c r="T134" s="8" t="n">
        <f aca="false">R134-B134</f>
        <v>57</v>
      </c>
      <c r="U134" s="8" t="n">
        <f aca="false">R134-C134</f>
        <v>56</v>
      </c>
      <c r="V134" s="8" t="n">
        <f aca="false">R134-D134</f>
        <v>57</v>
      </c>
      <c r="W134" s="8" t="n">
        <f aca="false">R134-E134</f>
        <v>58</v>
      </c>
      <c r="X134" s="8" t="n">
        <f aca="false">R134-F134</f>
        <v>56</v>
      </c>
      <c r="Y134" s="8" t="n">
        <f aca="false">R134-G134</f>
        <v>54</v>
      </c>
      <c r="Z134" s="8" t="n">
        <f aca="false">R134-H134</f>
        <v>54</v>
      </c>
      <c r="AA134" s="8" t="n">
        <f aca="false">R134-I134</f>
        <v>54</v>
      </c>
      <c r="AB134" s="8" t="n">
        <f aca="false">R134-J134</f>
        <v>55</v>
      </c>
      <c r="AC134" s="8" t="n">
        <f aca="false">R134-K134</f>
        <v>54</v>
      </c>
      <c r="AD134" s="8" t="n">
        <f aca="false">R134-L134</f>
        <v>56</v>
      </c>
      <c r="AE134" s="8" t="n">
        <f aca="false">R134-M134</f>
        <v>55</v>
      </c>
      <c r="AF134" s="8" t="n">
        <f aca="false">R134-N134</f>
        <v>56</v>
      </c>
      <c r="AG134" s="8" t="n">
        <f aca="false">R134-O134</f>
        <v>55</v>
      </c>
      <c r="AH134" s="8" t="n">
        <f aca="false">R134-P134</f>
        <v>54</v>
      </c>
      <c r="AI134" s="8" t="n">
        <f aca="false">R134-Q134</f>
        <v>54</v>
      </c>
    </row>
    <row r="135" customFormat="false" ht="15" hidden="false" customHeight="false" outlineLevel="0" collapsed="false">
      <c r="A135" s="7" t="s">
        <v>221</v>
      </c>
      <c r="B135" s="9" t="n">
        <v>4</v>
      </c>
      <c r="C135" s="9" t="n">
        <v>4</v>
      </c>
      <c r="D135" s="9" t="n">
        <v>4</v>
      </c>
      <c r="E135" s="9" t="n">
        <v>3</v>
      </c>
      <c r="F135" s="9" t="n">
        <v>4</v>
      </c>
      <c r="G135" s="9" t="n">
        <v>3</v>
      </c>
      <c r="H135" s="9" t="n">
        <v>4</v>
      </c>
      <c r="I135" s="9" t="n">
        <v>2</v>
      </c>
      <c r="J135" s="9" t="n">
        <v>3</v>
      </c>
      <c r="K135" s="9" t="n">
        <v>3</v>
      </c>
      <c r="L135" s="9" t="n">
        <v>4</v>
      </c>
      <c r="M135" s="9" t="n">
        <v>4</v>
      </c>
      <c r="N135" s="9" t="n">
        <v>5</v>
      </c>
      <c r="O135" s="9" t="n">
        <v>4</v>
      </c>
      <c r="P135" s="9" t="n">
        <v>4</v>
      </c>
      <c r="Q135" s="9" t="n">
        <v>5</v>
      </c>
      <c r="R135" s="8" t="n">
        <f aca="false">SUM(B135:Q135)</f>
        <v>60</v>
      </c>
      <c r="S135" s="8" t="str">
        <f aca="false">IF(R135&gt;=5_項目分析!$B$6,"高",IF(R135&lt;=5_項目分析!$B$5,"低",""))</f>
        <v/>
      </c>
      <c r="T135" s="8" t="n">
        <f aca="false">R135-B135</f>
        <v>56</v>
      </c>
      <c r="U135" s="8" t="n">
        <f aca="false">R135-C135</f>
        <v>56</v>
      </c>
      <c r="V135" s="8" t="n">
        <f aca="false">R135-D135</f>
        <v>56</v>
      </c>
      <c r="W135" s="8" t="n">
        <f aca="false">R135-E135</f>
        <v>57</v>
      </c>
      <c r="X135" s="8" t="n">
        <f aca="false">R135-F135</f>
        <v>56</v>
      </c>
      <c r="Y135" s="8" t="n">
        <f aca="false">R135-G135</f>
        <v>57</v>
      </c>
      <c r="Z135" s="8" t="n">
        <f aca="false">R135-H135</f>
        <v>56</v>
      </c>
      <c r="AA135" s="8" t="n">
        <f aca="false">R135-I135</f>
        <v>58</v>
      </c>
      <c r="AB135" s="8" t="n">
        <f aca="false">R135-J135</f>
        <v>57</v>
      </c>
      <c r="AC135" s="8" t="n">
        <f aca="false">R135-K135</f>
        <v>57</v>
      </c>
      <c r="AD135" s="8" t="n">
        <f aca="false">R135-L135</f>
        <v>56</v>
      </c>
      <c r="AE135" s="8" t="n">
        <f aca="false">R135-M135</f>
        <v>56</v>
      </c>
      <c r="AF135" s="8" t="n">
        <f aca="false">R135-N135</f>
        <v>55</v>
      </c>
      <c r="AG135" s="8" t="n">
        <f aca="false">R135-O135</f>
        <v>56</v>
      </c>
      <c r="AH135" s="8" t="n">
        <f aca="false">R135-P135</f>
        <v>56</v>
      </c>
      <c r="AI135" s="8" t="n">
        <f aca="false">R135-Q135</f>
        <v>55</v>
      </c>
    </row>
    <row r="136" customFormat="false" ht="15" hidden="false" customHeight="false" outlineLevel="0" collapsed="false">
      <c r="A136" s="7" t="s">
        <v>222</v>
      </c>
      <c r="B136" s="9" t="n">
        <v>5</v>
      </c>
      <c r="C136" s="9" t="n">
        <v>5</v>
      </c>
      <c r="D136" s="9" t="n">
        <v>5</v>
      </c>
      <c r="E136" s="9" t="n">
        <v>5</v>
      </c>
      <c r="F136" s="9" t="n">
        <v>5</v>
      </c>
      <c r="G136" s="9" t="n">
        <v>4</v>
      </c>
      <c r="H136" s="9" t="n">
        <v>4</v>
      </c>
      <c r="I136" s="9" t="n">
        <v>5</v>
      </c>
      <c r="J136" s="9" t="n">
        <v>4</v>
      </c>
      <c r="K136" s="9" t="n">
        <v>3</v>
      </c>
      <c r="L136" s="9" t="n">
        <v>4</v>
      </c>
      <c r="M136" s="9" t="n">
        <v>4</v>
      </c>
      <c r="N136" s="9" t="n">
        <v>3</v>
      </c>
      <c r="O136" s="9" t="n">
        <v>3</v>
      </c>
      <c r="P136" s="9" t="n">
        <v>4</v>
      </c>
      <c r="Q136" s="9" t="n">
        <v>5</v>
      </c>
      <c r="R136" s="8" t="n">
        <f aca="false">SUM(B136:Q136)</f>
        <v>68</v>
      </c>
      <c r="S136" s="8" t="str">
        <f aca="false">IF(R136&gt;=5_項目分析!$B$6,"高",IF(R136&lt;=5_項目分析!$B$5,"低",""))</f>
        <v>高</v>
      </c>
      <c r="T136" s="8" t="n">
        <f aca="false">R136-B136</f>
        <v>63</v>
      </c>
      <c r="U136" s="8" t="n">
        <f aca="false">R136-C136</f>
        <v>63</v>
      </c>
      <c r="V136" s="8" t="n">
        <f aca="false">R136-D136</f>
        <v>63</v>
      </c>
      <c r="W136" s="8" t="n">
        <f aca="false">R136-E136</f>
        <v>63</v>
      </c>
      <c r="X136" s="8" t="n">
        <f aca="false">R136-F136</f>
        <v>63</v>
      </c>
      <c r="Y136" s="8" t="n">
        <f aca="false">R136-G136</f>
        <v>64</v>
      </c>
      <c r="Z136" s="8" t="n">
        <f aca="false">R136-H136</f>
        <v>64</v>
      </c>
      <c r="AA136" s="8" t="n">
        <f aca="false">R136-I136</f>
        <v>63</v>
      </c>
      <c r="AB136" s="8" t="n">
        <f aca="false">R136-J136</f>
        <v>64</v>
      </c>
      <c r="AC136" s="8" t="n">
        <f aca="false">R136-K136</f>
        <v>65</v>
      </c>
      <c r="AD136" s="8" t="n">
        <f aca="false">R136-L136</f>
        <v>64</v>
      </c>
      <c r="AE136" s="8" t="n">
        <f aca="false">R136-M136</f>
        <v>64</v>
      </c>
      <c r="AF136" s="8" t="n">
        <f aca="false">R136-N136</f>
        <v>65</v>
      </c>
      <c r="AG136" s="8" t="n">
        <f aca="false">R136-O136</f>
        <v>65</v>
      </c>
      <c r="AH136" s="8" t="n">
        <f aca="false">R136-P136</f>
        <v>64</v>
      </c>
      <c r="AI136" s="8" t="n">
        <f aca="false">R136-Q136</f>
        <v>63</v>
      </c>
    </row>
    <row r="137" customFormat="false" ht="15" hidden="false" customHeight="false" outlineLevel="0" collapsed="false">
      <c r="A137" s="7" t="s">
        <v>223</v>
      </c>
      <c r="B137" s="9" t="n">
        <v>4</v>
      </c>
      <c r="C137" s="9" t="n">
        <v>4</v>
      </c>
      <c r="D137" s="9" t="n">
        <v>5</v>
      </c>
      <c r="E137" s="9" t="n">
        <v>4</v>
      </c>
      <c r="F137" s="9" t="n">
        <v>4</v>
      </c>
      <c r="G137" s="9" t="n">
        <v>4</v>
      </c>
      <c r="H137" s="9" t="n">
        <v>3</v>
      </c>
      <c r="I137" s="9" t="n">
        <v>3</v>
      </c>
      <c r="J137" s="9" t="n">
        <v>3</v>
      </c>
      <c r="K137" s="9" t="n">
        <v>3</v>
      </c>
      <c r="L137" s="9" t="n">
        <v>4</v>
      </c>
      <c r="M137" s="9" t="n">
        <v>4</v>
      </c>
      <c r="N137" s="9" t="n">
        <v>4</v>
      </c>
      <c r="O137" s="9" t="n">
        <v>4</v>
      </c>
      <c r="P137" s="9" t="n">
        <v>4</v>
      </c>
      <c r="Q137" s="9" t="n">
        <v>5</v>
      </c>
      <c r="R137" s="8" t="n">
        <f aca="false">SUM(B137:Q137)</f>
        <v>62</v>
      </c>
      <c r="S137" s="8" t="str">
        <f aca="false">IF(R137&gt;=5_項目分析!$B$6,"高",IF(R137&lt;=5_項目分析!$B$5,"低",""))</f>
        <v/>
      </c>
      <c r="T137" s="8" t="n">
        <f aca="false">R137-B137</f>
        <v>58</v>
      </c>
      <c r="U137" s="8" t="n">
        <f aca="false">R137-C137</f>
        <v>58</v>
      </c>
      <c r="V137" s="8" t="n">
        <f aca="false">R137-D137</f>
        <v>57</v>
      </c>
      <c r="W137" s="8" t="n">
        <f aca="false">R137-E137</f>
        <v>58</v>
      </c>
      <c r="X137" s="8" t="n">
        <f aca="false">R137-F137</f>
        <v>58</v>
      </c>
      <c r="Y137" s="8" t="n">
        <f aca="false">R137-G137</f>
        <v>58</v>
      </c>
      <c r="Z137" s="8" t="n">
        <f aca="false">R137-H137</f>
        <v>59</v>
      </c>
      <c r="AA137" s="8" t="n">
        <f aca="false">R137-I137</f>
        <v>59</v>
      </c>
      <c r="AB137" s="8" t="n">
        <f aca="false">R137-J137</f>
        <v>59</v>
      </c>
      <c r="AC137" s="8" t="n">
        <f aca="false">R137-K137</f>
        <v>59</v>
      </c>
      <c r="AD137" s="8" t="n">
        <f aca="false">R137-L137</f>
        <v>58</v>
      </c>
      <c r="AE137" s="8" t="n">
        <f aca="false">R137-M137</f>
        <v>58</v>
      </c>
      <c r="AF137" s="8" t="n">
        <f aca="false">R137-N137</f>
        <v>58</v>
      </c>
      <c r="AG137" s="8" t="n">
        <f aca="false">R137-O137</f>
        <v>58</v>
      </c>
      <c r="AH137" s="8" t="n">
        <f aca="false">R137-P137</f>
        <v>58</v>
      </c>
      <c r="AI137" s="8" t="n">
        <f aca="false">R137-Q137</f>
        <v>57</v>
      </c>
    </row>
    <row r="138" customFormat="false" ht="15" hidden="false" customHeight="false" outlineLevel="0" collapsed="false">
      <c r="A138" s="7" t="s">
        <v>224</v>
      </c>
      <c r="B138" s="9" t="n">
        <v>2</v>
      </c>
      <c r="C138" s="9" t="n">
        <v>2</v>
      </c>
      <c r="D138" s="9" t="n">
        <v>4</v>
      </c>
      <c r="E138" s="9" t="n">
        <v>3</v>
      </c>
      <c r="F138" s="9" t="n">
        <v>3</v>
      </c>
      <c r="G138" s="9" t="n">
        <v>4</v>
      </c>
      <c r="H138" s="9" t="n">
        <v>3</v>
      </c>
      <c r="I138" s="9" t="n">
        <v>4</v>
      </c>
      <c r="J138" s="9" t="n">
        <v>4</v>
      </c>
      <c r="K138" s="9" t="n">
        <v>4</v>
      </c>
      <c r="L138" s="9" t="n">
        <v>4</v>
      </c>
      <c r="M138" s="9" t="n">
        <v>4</v>
      </c>
      <c r="N138" s="9" t="n">
        <v>4</v>
      </c>
      <c r="O138" s="9" t="n">
        <v>4</v>
      </c>
      <c r="P138" s="9" t="n">
        <v>3</v>
      </c>
      <c r="Q138" s="9" t="n">
        <v>5</v>
      </c>
      <c r="R138" s="8" t="n">
        <f aca="false">SUM(B138:Q138)</f>
        <v>57</v>
      </c>
      <c r="S138" s="8" t="str">
        <f aca="false">IF(R138&gt;=5_項目分析!$B$6,"高",IF(R138&lt;=5_項目分析!$B$5,"低",""))</f>
        <v/>
      </c>
      <c r="T138" s="8" t="n">
        <f aca="false">R138-B138</f>
        <v>55</v>
      </c>
      <c r="U138" s="8" t="n">
        <f aca="false">R138-C138</f>
        <v>55</v>
      </c>
      <c r="V138" s="8" t="n">
        <f aca="false">R138-D138</f>
        <v>53</v>
      </c>
      <c r="W138" s="8" t="n">
        <f aca="false">R138-E138</f>
        <v>54</v>
      </c>
      <c r="X138" s="8" t="n">
        <f aca="false">R138-F138</f>
        <v>54</v>
      </c>
      <c r="Y138" s="8" t="n">
        <f aca="false">R138-G138</f>
        <v>53</v>
      </c>
      <c r="Z138" s="8" t="n">
        <f aca="false">R138-H138</f>
        <v>54</v>
      </c>
      <c r="AA138" s="8" t="n">
        <f aca="false">R138-I138</f>
        <v>53</v>
      </c>
      <c r="AB138" s="8" t="n">
        <f aca="false">R138-J138</f>
        <v>53</v>
      </c>
      <c r="AC138" s="8" t="n">
        <f aca="false">R138-K138</f>
        <v>53</v>
      </c>
      <c r="AD138" s="8" t="n">
        <f aca="false">R138-L138</f>
        <v>53</v>
      </c>
      <c r="AE138" s="8" t="n">
        <f aca="false">R138-M138</f>
        <v>53</v>
      </c>
      <c r="AF138" s="8" t="n">
        <f aca="false">R138-N138</f>
        <v>53</v>
      </c>
      <c r="AG138" s="8" t="n">
        <f aca="false">R138-O138</f>
        <v>53</v>
      </c>
      <c r="AH138" s="8" t="n">
        <f aca="false">R138-P138</f>
        <v>54</v>
      </c>
      <c r="AI138" s="8" t="n">
        <f aca="false">R138-Q138</f>
        <v>52</v>
      </c>
    </row>
    <row r="139" customFormat="false" ht="15" hidden="false" customHeight="false" outlineLevel="0" collapsed="false">
      <c r="A139" s="7" t="s">
        <v>225</v>
      </c>
      <c r="B139" s="9" t="n">
        <v>2</v>
      </c>
      <c r="C139" s="9" t="n">
        <v>5</v>
      </c>
      <c r="D139" s="9" t="n">
        <v>4</v>
      </c>
      <c r="E139" s="9" t="n">
        <v>4</v>
      </c>
      <c r="F139" s="9" t="n">
        <v>4</v>
      </c>
      <c r="G139" s="9" t="n">
        <v>3</v>
      </c>
      <c r="H139" s="9" t="n">
        <v>4</v>
      </c>
      <c r="I139" s="9" t="n">
        <v>3</v>
      </c>
      <c r="J139" s="9" t="n">
        <v>3</v>
      </c>
      <c r="K139" s="9" t="n">
        <v>3</v>
      </c>
      <c r="L139" s="9" t="n">
        <v>5</v>
      </c>
      <c r="M139" s="9" t="n">
        <v>4</v>
      </c>
      <c r="N139" s="9" t="n">
        <v>4</v>
      </c>
      <c r="O139" s="9" t="n">
        <v>4</v>
      </c>
      <c r="P139" s="9" t="n">
        <v>4</v>
      </c>
      <c r="Q139" s="9" t="n">
        <v>5</v>
      </c>
      <c r="R139" s="8" t="n">
        <f aca="false">SUM(B139:Q139)</f>
        <v>61</v>
      </c>
      <c r="S139" s="8" t="str">
        <f aca="false">IF(R139&gt;=5_項目分析!$B$6,"高",IF(R139&lt;=5_項目分析!$B$5,"低",""))</f>
        <v/>
      </c>
      <c r="T139" s="8" t="n">
        <f aca="false">R139-B139</f>
        <v>59</v>
      </c>
      <c r="U139" s="8" t="n">
        <f aca="false">R139-C139</f>
        <v>56</v>
      </c>
      <c r="V139" s="8" t="n">
        <f aca="false">R139-D139</f>
        <v>57</v>
      </c>
      <c r="W139" s="8" t="n">
        <f aca="false">R139-E139</f>
        <v>57</v>
      </c>
      <c r="X139" s="8" t="n">
        <f aca="false">R139-F139</f>
        <v>57</v>
      </c>
      <c r="Y139" s="8" t="n">
        <f aca="false">R139-G139</f>
        <v>58</v>
      </c>
      <c r="Z139" s="8" t="n">
        <f aca="false">R139-H139</f>
        <v>57</v>
      </c>
      <c r="AA139" s="8" t="n">
        <f aca="false">R139-I139</f>
        <v>58</v>
      </c>
      <c r="AB139" s="8" t="n">
        <f aca="false">R139-J139</f>
        <v>58</v>
      </c>
      <c r="AC139" s="8" t="n">
        <f aca="false">R139-K139</f>
        <v>58</v>
      </c>
      <c r="AD139" s="8" t="n">
        <f aca="false">R139-L139</f>
        <v>56</v>
      </c>
      <c r="AE139" s="8" t="n">
        <f aca="false">R139-M139</f>
        <v>57</v>
      </c>
      <c r="AF139" s="8" t="n">
        <f aca="false">R139-N139</f>
        <v>57</v>
      </c>
      <c r="AG139" s="8" t="n">
        <f aca="false">R139-O139</f>
        <v>57</v>
      </c>
      <c r="AH139" s="8" t="n">
        <f aca="false">R139-P139</f>
        <v>57</v>
      </c>
      <c r="AI139" s="8" t="n">
        <f aca="false">R139-Q139</f>
        <v>56</v>
      </c>
    </row>
    <row r="140" customFormat="false" ht="15" hidden="false" customHeight="false" outlineLevel="0" collapsed="false">
      <c r="A140" s="7" t="s">
        <v>226</v>
      </c>
      <c r="B140" s="9" t="n">
        <v>4</v>
      </c>
      <c r="C140" s="9" t="n">
        <v>5</v>
      </c>
      <c r="D140" s="9" t="n">
        <v>4</v>
      </c>
      <c r="E140" s="9" t="n">
        <v>5</v>
      </c>
      <c r="F140" s="9" t="n">
        <v>4</v>
      </c>
      <c r="G140" s="9" t="n">
        <v>3</v>
      </c>
      <c r="H140" s="9" t="n">
        <v>3</v>
      </c>
      <c r="I140" s="9" t="n">
        <v>2</v>
      </c>
      <c r="J140" s="9" t="n">
        <v>2</v>
      </c>
      <c r="K140" s="9" t="n">
        <v>2</v>
      </c>
      <c r="L140" s="9" t="n">
        <v>3</v>
      </c>
      <c r="M140" s="9" t="n">
        <v>4</v>
      </c>
      <c r="N140" s="9" t="n">
        <v>3</v>
      </c>
      <c r="O140" s="9" t="n">
        <v>2</v>
      </c>
      <c r="P140" s="9" t="n">
        <v>4</v>
      </c>
      <c r="Q140" s="9" t="n">
        <v>5</v>
      </c>
      <c r="R140" s="8" t="n">
        <f aca="false">SUM(B140:Q140)</f>
        <v>55</v>
      </c>
      <c r="S140" s="8" t="str">
        <f aca="false">IF(R140&gt;=5_項目分析!$B$6,"高",IF(R140&lt;=5_項目分析!$B$5,"低",""))</f>
        <v>低</v>
      </c>
      <c r="T140" s="8" t="n">
        <f aca="false">R140-B140</f>
        <v>51</v>
      </c>
      <c r="U140" s="8" t="n">
        <f aca="false">R140-C140</f>
        <v>50</v>
      </c>
      <c r="V140" s="8" t="n">
        <f aca="false">R140-D140</f>
        <v>51</v>
      </c>
      <c r="W140" s="8" t="n">
        <f aca="false">R140-E140</f>
        <v>50</v>
      </c>
      <c r="X140" s="8" t="n">
        <f aca="false">R140-F140</f>
        <v>51</v>
      </c>
      <c r="Y140" s="8" t="n">
        <f aca="false">R140-G140</f>
        <v>52</v>
      </c>
      <c r="Z140" s="8" t="n">
        <f aca="false">R140-H140</f>
        <v>52</v>
      </c>
      <c r="AA140" s="8" t="n">
        <f aca="false">R140-I140</f>
        <v>53</v>
      </c>
      <c r="AB140" s="8" t="n">
        <f aca="false">R140-J140</f>
        <v>53</v>
      </c>
      <c r="AC140" s="8" t="n">
        <f aca="false">R140-K140</f>
        <v>53</v>
      </c>
      <c r="AD140" s="8" t="n">
        <f aca="false">R140-L140</f>
        <v>52</v>
      </c>
      <c r="AE140" s="8" t="n">
        <f aca="false">R140-M140</f>
        <v>51</v>
      </c>
      <c r="AF140" s="8" t="n">
        <f aca="false">R140-N140</f>
        <v>52</v>
      </c>
      <c r="AG140" s="8" t="n">
        <f aca="false">R140-O140</f>
        <v>53</v>
      </c>
      <c r="AH140" s="8" t="n">
        <f aca="false">R140-P140</f>
        <v>51</v>
      </c>
      <c r="AI140" s="8" t="n">
        <f aca="false">R140-Q140</f>
        <v>50</v>
      </c>
    </row>
    <row r="141" customFormat="false" ht="15" hidden="false" customHeight="false" outlineLevel="0" collapsed="false">
      <c r="A141" s="7" t="s">
        <v>227</v>
      </c>
      <c r="B141" s="9" t="n">
        <v>4</v>
      </c>
      <c r="C141" s="9" t="n">
        <v>3</v>
      </c>
      <c r="D141" s="9" t="n">
        <v>5</v>
      </c>
      <c r="E141" s="9" t="n">
        <v>4</v>
      </c>
      <c r="F141" s="9" t="n">
        <v>4</v>
      </c>
      <c r="G141" s="9" t="n">
        <v>4</v>
      </c>
      <c r="H141" s="9" t="n">
        <v>5</v>
      </c>
      <c r="I141" s="9" t="n">
        <v>4</v>
      </c>
      <c r="J141" s="9" t="n">
        <v>5</v>
      </c>
      <c r="K141" s="9" t="n">
        <v>5</v>
      </c>
      <c r="L141" s="9" t="n">
        <v>4</v>
      </c>
      <c r="M141" s="9" t="n">
        <v>4</v>
      </c>
      <c r="N141" s="9" t="n">
        <v>3</v>
      </c>
      <c r="O141" s="9" t="n">
        <v>5</v>
      </c>
      <c r="P141" s="9" t="n">
        <v>4</v>
      </c>
      <c r="Q141" s="9" t="n">
        <v>5</v>
      </c>
      <c r="R141" s="8" t="n">
        <f aca="false">SUM(B141:Q141)</f>
        <v>68</v>
      </c>
      <c r="S141" s="8" t="str">
        <f aca="false">IF(R141&gt;=5_項目分析!$B$6,"高",IF(R141&lt;=5_項目分析!$B$5,"低",""))</f>
        <v>高</v>
      </c>
      <c r="T141" s="8" t="n">
        <f aca="false">R141-B141</f>
        <v>64</v>
      </c>
      <c r="U141" s="8" t="n">
        <f aca="false">R141-C141</f>
        <v>65</v>
      </c>
      <c r="V141" s="8" t="n">
        <f aca="false">R141-D141</f>
        <v>63</v>
      </c>
      <c r="W141" s="8" t="n">
        <f aca="false">R141-E141</f>
        <v>64</v>
      </c>
      <c r="X141" s="8" t="n">
        <f aca="false">R141-F141</f>
        <v>64</v>
      </c>
      <c r="Y141" s="8" t="n">
        <f aca="false">R141-G141</f>
        <v>64</v>
      </c>
      <c r="Z141" s="8" t="n">
        <f aca="false">R141-H141</f>
        <v>63</v>
      </c>
      <c r="AA141" s="8" t="n">
        <f aca="false">R141-I141</f>
        <v>64</v>
      </c>
      <c r="AB141" s="8" t="n">
        <f aca="false">R141-J141</f>
        <v>63</v>
      </c>
      <c r="AC141" s="8" t="n">
        <f aca="false">R141-K141</f>
        <v>63</v>
      </c>
      <c r="AD141" s="8" t="n">
        <f aca="false">R141-L141</f>
        <v>64</v>
      </c>
      <c r="AE141" s="8" t="n">
        <f aca="false">R141-M141</f>
        <v>64</v>
      </c>
      <c r="AF141" s="8" t="n">
        <f aca="false">R141-N141</f>
        <v>65</v>
      </c>
      <c r="AG141" s="8" t="n">
        <f aca="false">R141-O141</f>
        <v>63</v>
      </c>
      <c r="AH141" s="8" t="n">
        <f aca="false">R141-P141</f>
        <v>64</v>
      </c>
      <c r="AI141" s="8" t="n">
        <f aca="false">R141-Q141</f>
        <v>63</v>
      </c>
    </row>
    <row r="142" customFormat="false" ht="15" hidden="false" customHeight="false" outlineLevel="0" collapsed="false">
      <c r="A142" s="7" t="s">
        <v>228</v>
      </c>
      <c r="B142" s="9" t="n">
        <v>4</v>
      </c>
      <c r="C142" s="9" t="n">
        <v>5</v>
      </c>
      <c r="D142" s="9" t="n">
        <v>4</v>
      </c>
      <c r="E142" s="9" t="n">
        <v>4</v>
      </c>
      <c r="F142" s="9" t="n">
        <v>4</v>
      </c>
      <c r="G142" s="9" t="n">
        <v>4</v>
      </c>
      <c r="H142" s="9" t="n">
        <v>4</v>
      </c>
      <c r="I142" s="9" t="n">
        <v>5</v>
      </c>
      <c r="J142" s="9" t="n">
        <v>1</v>
      </c>
      <c r="K142" s="9" t="n">
        <v>4</v>
      </c>
      <c r="L142" s="9" t="n">
        <v>4</v>
      </c>
      <c r="M142" s="9" t="n">
        <v>4</v>
      </c>
      <c r="N142" s="9" t="n">
        <v>5</v>
      </c>
      <c r="O142" s="9" t="n">
        <v>4</v>
      </c>
      <c r="P142" s="9" t="n">
        <v>4</v>
      </c>
      <c r="Q142" s="9" t="n">
        <v>5</v>
      </c>
      <c r="R142" s="8" t="n">
        <f aca="false">SUM(B142:Q142)</f>
        <v>65</v>
      </c>
      <c r="S142" s="8" t="str">
        <f aca="false">IF(R142&gt;=5_項目分析!$B$6,"高",IF(R142&lt;=5_項目分析!$B$5,"低",""))</f>
        <v>高</v>
      </c>
      <c r="T142" s="8" t="n">
        <f aca="false">R142-B142</f>
        <v>61</v>
      </c>
      <c r="U142" s="8" t="n">
        <f aca="false">R142-C142</f>
        <v>60</v>
      </c>
      <c r="V142" s="8" t="n">
        <f aca="false">R142-D142</f>
        <v>61</v>
      </c>
      <c r="W142" s="8" t="n">
        <f aca="false">R142-E142</f>
        <v>61</v>
      </c>
      <c r="X142" s="8" t="n">
        <f aca="false">R142-F142</f>
        <v>61</v>
      </c>
      <c r="Y142" s="8" t="n">
        <f aca="false">R142-G142</f>
        <v>61</v>
      </c>
      <c r="Z142" s="8" t="n">
        <f aca="false">R142-H142</f>
        <v>61</v>
      </c>
      <c r="AA142" s="8" t="n">
        <f aca="false">R142-I142</f>
        <v>60</v>
      </c>
      <c r="AB142" s="8" t="n">
        <f aca="false">R142-J142</f>
        <v>64</v>
      </c>
      <c r="AC142" s="8" t="n">
        <f aca="false">R142-K142</f>
        <v>61</v>
      </c>
      <c r="AD142" s="8" t="n">
        <f aca="false">R142-L142</f>
        <v>61</v>
      </c>
      <c r="AE142" s="8" t="n">
        <f aca="false">R142-M142</f>
        <v>61</v>
      </c>
      <c r="AF142" s="8" t="n">
        <f aca="false">R142-N142</f>
        <v>60</v>
      </c>
      <c r="AG142" s="8" t="n">
        <f aca="false">R142-O142</f>
        <v>61</v>
      </c>
      <c r="AH142" s="8" t="n">
        <f aca="false">R142-P142</f>
        <v>61</v>
      </c>
      <c r="AI142" s="8" t="n">
        <f aca="false">R142-Q142</f>
        <v>60</v>
      </c>
    </row>
    <row r="143" customFormat="false" ht="15" hidden="false" customHeight="false" outlineLevel="0" collapsed="false">
      <c r="A143" s="7" t="s">
        <v>229</v>
      </c>
      <c r="B143" s="9" t="n">
        <v>2</v>
      </c>
      <c r="C143" s="9" t="n">
        <v>2</v>
      </c>
      <c r="D143" s="9" t="n">
        <v>4</v>
      </c>
      <c r="E143" s="9" t="n">
        <v>3</v>
      </c>
      <c r="F143" s="9" t="n">
        <v>4</v>
      </c>
      <c r="G143" s="9" t="n">
        <v>3</v>
      </c>
      <c r="H143" s="9" t="n">
        <v>3</v>
      </c>
      <c r="I143" s="9" t="n">
        <v>3</v>
      </c>
      <c r="J143" s="9" t="n">
        <v>3</v>
      </c>
      <c r="K143" s="9" t="n">
        <v>3</v>
      </c>
      <c r="L143" s="9" t="n">
        <v>3</v>
      </c>
      <c r="M143" s="9" t="n">
        <v>3</v>
      </c>
      <c r="N143" s="9" t="n">
        <v>3</v>
      </c>
      <c r="O143" s="9" t="n">
        <v>4</v>
      </c>
      <c r="P143" s="9" t="n">
        <v>3</v>
      </c>
      <c r="Q143" s="9" t="n">
        <v>5</v>
      </c>
      <c r="R143" s="8" t="n">
        <f aca="false">SUM(B143:Q143)</f>
        <v>51</v>
      </c>
      <c r="S143" s="8" t="str">
        <f aca="false">IF(R143&gt;=5_項目分析!$B$6,"高",IF(R143&lt;=5_項目分析!$B$5,"低",""))</f>
        <v>低</v>
      </c>
      <c r="T143" s="8" t="n">
        <f aca="false">R143-B143</f>
        <v>49</v>
      </c>
      <c r="U143" s="8" t="n">
        <f aca="false">R143-C143</f>
        <v>49</v>
      </c>
      <c r="V143" s="8" t="n">
        <f aca="false">R143-D143</f>
        <v>47</v>
      </c>
      <c r="W143" s="8" t="n">
        <f aca="false">R143-E143</f>
        <v>48</v>
      </c>
      <c r="X143" s="8" t="n">
        <f aca="false">R143-F143</f>
        <v>47</v>
      </c>
      <c r="Y143" s="8" t="n">
        <f aca="false">R143-G143</f>
        <v>48</v>
      </c>
      <c r="Z143" s="8" t="n">
        <f aca="false">R143-H143</f>
        <v>48</v>
      </c>
      <c r="AA143" s="8" t="n">
        <f aca="false">R143-I143</f>
        <v>48</v>
      </c>
      <c r="AB143" s="8" t="n">
        <f aca="false">R143-J143</f>
        <v>48</v>
      </c>
      <c r="AC143" s="8" t="n">
        <f aca="false">R143-K143</f>
        <v>48</v>
      </c>
      <c r="AD143" s="8" t="n">
        <f aca="false">R143-L143</f>
        <v>48</v>
      </c>
      <c r="AE143" s="8" t="n">
        <f aca="false">R143-M143</f>
        <v>48</v>
      </c>
      <c r="AF143" s="8" t="n">
        <f aca="false">R143-N143</f>
        <v>48</v>
      </c>
      <c r="AG143" s="8" t="n">
        <f aca="false">R143-O143</f>
        <v>47</v>
      </c>
      <c r="AH143" s="8" t="n">
        <f aca="false">R143-P143</f>
        <v>48</v>
      </c>
      <c r="AI143" s="8" t="n">
        <f aca="false">R143-Q143</f>
        <v>46</v>
      </c>
    </row>
    <row r="144" customFormat="false" ht="15" hidden="false" customHeight="false" outlineLevel="0" collapsed="false">
      <c r="A144" s="7" t="s">
        <v>230</v>
      </c>
      <c r="B144" s="9" t="n">
        <v>5</v>
      </c>
      <c r="C144" s="9" t="n">
        <v>5</v>
      </c>
      <c r="D144" s="9" t="n">
        <v>4</v>
      </c>
      <c r="E144" s="9" t="n">
        <v>5</v>
      </c>
      <c r="F144" s="9" t="n">
        <v>4</v>
      </c>
      <c r="G144" s="9" t="n">
        <v>4</v>
      </c>
      <c r="H144" s="9" t="n">
        <v>3</v>
      </c>
      <c r="I144" s="9" t="n">
        <v>4</v>
      </c>
      <c r="J144" s="9" t="n">
        <v>2</v>
      </c>
      <c r="K144" s="9" t="n">
        <v>5</v>
      </c>
      <c r="L144" s="9" t="n">
        <v>4</v>
      </c>
      <c r="M144" s="9" t="n">
        <v>3</v>
      </c>
      <c r="N144" s="9" t="n">
        <v>2</v>
      </c>
      <c r="O144" s="9" t="n">
        <v>4</v>
      </c>
      <c r="P144" s="9" t="n">
        <v>3</v>
      </c>
      <c r="Q144" s="9" t="n">
        <v>5</v>
      </c>
      <c r="R144" s="8" t="n">
        <f aca="false">SUM(B144:Q144)</f>
        <v>62</v>
      </c>
      <c r="S144" s="8" t="str">
        <f aca="false">IF(R144&gt;=5_項目分析!$B$6,"高",IF(R144&lt;=5_項目分析!$B$5,"低",""))</f>
        <v/>
      </c>
      <c r="T144" s="8" t="n">
        <f aca="false">R144-B144</f>
        <v>57</v>
      </c>
      <c r="U144" s="8" t="n">
        <f aca="false">R144-C144</f>
        <v>57</v>
      </c>
      <c r="V144" s="8" t="n">
        <f aca="false">R144-D144</f>
        <v>58</v>
      </c>
      <c r="W144" s="8" t="n">
        <f aca="false">R144-E144</f>
        <v>57</v>
      </c>
      <c r="X144" s="8" t="n">
        <f aca="false">R144-F144</f>
        <v>58</v>
      </c>
      <c r="Y144" s="8" t="n">
        <f aca="false">R144-G144</f>
        <v>58</v>
      </c>
      <c r="Z144" s="8" t="n">
        <f aca="false">R144-H144</f>
        <v>59</v>
      </c>
      <c r="AA144" s="8" t="n">
        <f aca="false">R144-I144</f>
        <v>58</v>
      </c>
      <c r="AB144" s="8" t="n">
        <f aca="false">R144-J144</f>
        <v>60</v>
      </c>
      <c r="AC144" s="8" t="n">
        <f aca="false">R144-K144</f>
        <v>57</v>
      </c>
      <c r="AD144" s="8" t="n">
        <f aca="false">R144-L144</f>
        <v>58</v>
      </c>
      <c r="AE144" s="8" t="n">
        <f aca="false">R144-M144</f>
        <v>59</v>
      </c>
      <c r="AF144" s="8" t="n">
        <f aca="false">R144-N144</f>
        <v>60</v>
      </c>
      <c r="AG144" s="8" t="n">
        <f aca="false">R144-O144</f>
        <v>58</v>
      </c>
      <c r="AH144" s="8" t="n">
        <f aca="false">R144-P144</f>
        <v>59</v>
      </c>
      <c r="AI144" s="8" t="n">
        <f aca="false">R144-Q144</f>
        <v>57</v>
      </c>
    </row>
    <row r="145" customFormat="false" ht="15" hidden="false" customHeight="false" outlineLevel="0" collapsed="false">
      <c r="A145" s="7" t="s">
        <v>231</v>
      </c>
      <c r="B145" s="9" t="n">
        <v>3</v>
      </c>
      <c r="C145" s="9" t="n">
        <v>3</v>
      </c>
      <c r="D145" s="9" t="n">
        <v>2</v>
      </c>
      <c r="E145" s="9" t="n">
        <v>4</v>
      </c>
      <c r="F145" s="9" t="n">
        <v>1</v>
      </c>
      <c r="G145" s="9" t="n">
        <v>3</v>
      </c>
      <c r="H145" s="9" t="n">
        <v>5</v>
      </c>
      <c r="I145" s="9" t="n">
        <v>3</v>
      </c>
      <c r="J145" s="9" t="n">
        <v>4</v>
      </c>
      <c r="K145" s="9" t="n">
        <v>4</v>
      </c>
      <c r="L145" s="9" t="n">
        <v>4</v>
      </c>
      <c r="M145" s="9" t="n">
        <v>4</v>
      </c>
      <c r="N145" s="9" t="n">
        <v>4</v>
      </c>
      <c r="O145" s="9" t="n">
        <v>3</v>
      </c>
      <c r="P145" s="9" t="n">
        <v>4</v>
      </c>
      <c r="Q145" s="9" t="n">
        <v>4</v>
      </c>
      <c r="R145" s="8" t="n">
        <f aca="false">SUM(B145:Q145)</f>
        <v>55</v>
      </c>
      <c r="S145" s="8" t="str">
        <f aca="false">IF(R145&gt;=5_項目分析!$B$6,"高",IF(R145&lt;=5_項目分析!$B$5,"低",""))</f>
        <v>低</v>
      </c>
      <c r="T145" s="8" t="n">
        <f aca="false">R145-B145</f>
        <v>52</v>
      </c>
      <c r="U145" s="8" t="n">
        <f aca="false">R145-C145</f>
        <v>52</v>
      </c>
      <c r="V145" s="8" t="n">
        <f aca="false">R145-D145</f>
        <v>53</v>
      </c>
      <c r="W145" s="8" t="n">
        <f aca="false">R145-E145</f>
        <v>51</v>
      </c>
      <c r="X145" s="8" t="n">
        <f aca="false">R145-F145</f>
        <v>54</v>
      </c>
      <c r="Y145" s="8" t="n">
        <f aca="false">R145-G145</f>
        <v>52</v>
      </c>
      <c r="Z145" s="8" t="n">
        <f aca="false">R145-H145</f>
        <v>50</v>
      </c>
      <c r="AA145" s="8" t="n">
        <f aca="false">R145-I145</f>
        <v>52</v>
      </c>
      <c r="AB145" s="8" t="n">
        <f aca="false">R145-J145</f>
        <v>51</v>
      </c>
      <c r="AC145" s="8" t="n">
        <f aca="false">R145-K145</f>
        <v>51</v>
      </c>
      <c r="AD145" s="8" t="n">
        <f aca="false">R145-L145</f>
        <v>51</v>
      </c>
      <c r="AE145" s="8" t="n">
        <f aca="false">R145-M145</f>
        <v>51</v>
      </c>
      <c r="AF145" s="8" t="n">
        <f aca="false">R145-N145</f>
        <v>51</v>
      </c>
      <c r="AG145" s="8" t="n">
        <f aca="false">R145-O145</f>
        <v>52</v>
      </c>
      <c r="AH145" s="8" t="n">
        <f aca="false">R145-P145</f>
        <v>51</v>
      </c>
      <c r="AI145" s="8" t="n">
        <f aca="false">R145-Q145</f>
        <v>51</v>
      </c>
    </row>
    <row r="146" customFormat="false" ht="15" hidden="false" customHeight="false" outlineLevel="0" collapsed="false">
      <c r="A146" s="7" t="s">
        <v>232</v>
      </c>
      <c r="B146" s="9" t="n">
        <v>4</v>
      </c>
      <c r="C146" s="9" t="n">
        <v>5</v>
      </c>
      <c r="D146" s="9" t="n">
        <v>4</v>
      </c>
      <c r="E146" s="9" t="n">
        <v>4</v>
      </c>
      <c r="F146" s="9" t="n">
        <v>5</v>
      </c>
      <c r="G146" s="9" t="n">
        <v>3</v>
      </c>
      <c r="H146" s="9" t="n">
        <v>3</v>
      </c>
      <c r="I146" s="9" t="n">
        <v>3</v>
      </c>
      <c r="J146" s="9" t="n">
        <v>3</v>
      </c>
      <c r="K146" s="9" t="n">
        <v>4</v>
      </c>
      <c r="L146" s="9" t="n">
        <v>4</v>
      </c>
      <c r="M146" s="9" t="n">
        <v>4</v>
      </c>
      <c r="N146" s="9" t="n">
        <v>4</v>
      </c>
      <c r="O146" s="9" t="n">
        <v>3</v>
      </c>
      <c r="P146" s="9" t="n">
        <v>4</v>
      </c>
      <c r="Q146" s="9" t="n">
        <v>5</v>
      </c>
      <c r="R146" s="8" t="n">
        <f aca="false">SUM(B146:Q146)</f>
        <v>62</v>
      </c>
      <c r="S146" s="8" t="str">
        <f aca="false">IF(R146&gt;=5_項目分析!$B$6,"高",IF(R146&lt;=5_項目分析!$B$5,"低",""))</f>
        <v/>
      </c>
      <c r="T146" s="8" t="n">
        <f aca="false">R146-B146</f>
        <v>58</v>
      </c>
      <c r="U146" s="8" t="n">
        <f aca="false">R146-C146</f>
        <v>57</v>
      </c>
      <c r="V146" s="8" t="n">
        <f aca="false">R146-D146</f>
        <v>58</v>
      </c>
      <c r="W146" s="8" t="n">
        <f aca="false">R146-E146</f>
        <v>58</v>
      </c>
      <c r="X146" s="8" t="n">
        <f aca="false">R146-F146</f>
        <v>57</v>
      </c>
      <c r="Y146" s="8" t="n">
        <f aca="false">R146-G146</f>
        <v>59</v>
      </c>
      <c r="Z146" s="8" t="n">
        <f aca="false">R146-H146</f>
        <v>59</v>
      </c>
      <c r="AA146" s="8" t="n">
        <f aca="false">R146-I146</f>
        <v>59</v>
      </c>
      <c r="AB146" s="8" t="n">
        <f aca="false">R146-J146</f>
        <v>59</v>
      </c>
      <c r="AC146" s="8" t="n">
        <f aca="false">R146-K146</f>
        <v>58</v>
      </c>
      <c r="AD146" s="8" t="n">
        <f aca="false">R146-L146</f>
        <v>58</v>
      </c>
      <c r="AE146" s="8" t="n">
        <f aca="false">R146-M146</f>
        <v>58</v>
      </c>
      <c r="AF146" s="8" t="n">
        <f aca="false">R146-N146</f>
        <v>58</v>
      </c>
      <c r="AG146" s="8" t="n">
        <f aca="false">R146-O146</f>
        <v>59</v>
      </c>
      <c r="AH146" s="8" t="n">
        <f aca="false">R146-P146</f>
        <v>58</v>
      </c>
      <c r="AI146" s="8" t="n">
        <f aca="false">R146-Q146</f>
        <v>57</v>
      </c>
    </row>
    <row r="147" customFormat="false" ht="15" hidden="false" customHeight="false" outlineLevel="0" collapsed="false">
      <c r="A147" s="7" t="s">
        <v>233</v>
      </c>
      <c r="B147" s="9" t="n">
        <v>5</v>
      </c>
      <c r="C147" s="9" t="n">
        <v>5</v>
      </c>
      <c r="D147" s="9" t="n">
        <v>5</v>
      </c>
      <c r="E147" s="9" t="n">
        <v>5</v>
      </c>
      <c r="F147" s="9" t="n">
        <v>4</v>
      </c>
      <c r="G147" s="9" t="n">
        <v>5</v>
      </c>
      <c r="H147" s="9" t="n">
        <v>4</v>
      </c>
      <c r="I147" s="9" t="n">
        <v>5</v>
      </c>
      <c r="J147" s="9" t="n">
        <v>3</v>
      </c>
      <c r="K147" s="9" t="n">
        <v>5</v>
      </c>
      <c r="L147" s="9" t="n">
        <v>4</v>
      </c>
      <c r="M147" s="9" t="n">
        <v>4</v>
      </c>
      <c r="N147" s="9" t="n">
        <v>4</v>
      </c>
      <c r="O147" s="9" t="n">
        <v>4</v>
      </c>
      <c r="P147" s="9" t="n">
        <v>4</v>
      </c>
      <c r="Q147" s="9" t="n">
        <v>5</v>
      </c>
      <c r="R147" s="8" t="n">
        <f aca="false">SUM(B147:Q147)</f>
        <v>71</v>
      </c>
      <c r="S147" s="8" t="str">
        <f aca="false">IF(R147&gt;=5_項目分析!$B$6,"高",IF(R147&lt;=5_項目分析!$B$5,"低",""))</f>
        <v>高</v>
      </c>
      <c r="T147" s="8" t="n">
        <f aca="false">R147-B147</f>
        <v>66</v>
      </c>
      <c r="U147" s="8" t="n">
        <f aca="false">R147-C147</f>
        <v>66</v>
      </c>
      <c r="V147" s="8" t="n">
        <f aca="false">R147-D147</f>
        <v>66</v>
      </c>
      <c r="W147" s="8" t="n">
        <f aca="false">R147-E147</f>
        <v>66</v>
      </c>
      <c r="X147" s="8" t="n">
        <f aca="false">R147-F147</f>
        <v>67</v>
      </c>
      <c r="Y147" s="8" t="n">
        <f aca="false">R147-G147</f>
        <v>66</v>
      </c>
      <c r="Z147" s="8" t="n">
        <f aca="false">R147-H147</f>
        <v>67</v>
      </c>
      <c r="AA147" s="8" t="n">
        <f aca="false">R147-I147</f>
        <v>66</v>
      </c>
      <c r="AB147" s="8" t="n">
        <f aca="false">R147-J147</f>
        <v>68</v>
      </c>
      <c r="AC147" s="8" t="n">
        <f aca="false">R147-K147</f>
        <v>66</v>
      </c>
      <c r="AD147" s="8" t="n">
        <f aca="false">R147-L147</f>
        <v>67</v>
      </c>
      <c r="AE147" s="8" t="n">
        <f aca="false">R147-M147</f>
        <v>67</v>
      </c>
      <c r="AF147" s="8" t="n">
        <f aca="false">R147-N147</f>
        <v>67</v>
      </c>
      <c r="AG147" s="8" t="n">
        <f aca="false">R147-O147</f>
        <v>67</v>
      </c>
      <c r="AH147" s="8" t="n">
        <f aca="false">R147-P147</f>
        <v>67</v>
      </c>
      <c r="AI147" s="8" t="n">
        <f aca="false">R147-Q147</f>
        <v>66</v>
      </c>
    </row>
    <row r="148" customFormat="false" ht="15" hidden="false" customHeight="false" outlineLevel="0" collapsed="false">
      <c r="A148" s="7" t="s">
        <v>234</v>
      </c>
      <c r="B148" s="9" t="n">
        <v>3</v>
      </c>
      <c r="C148" s="9" t="n">
        <v>3</v>
      </c>
      <c r="D148" s="9" t="n">
        <v>2</v>
      </c>
      <c r="E148" s="9" t="n">
        <v>3</v>
      </c>
      <c r="F148" s="9" t="n">
        <v>3</v>
      </c>
      <c r="G148" s="9" t="n">
        <v>3</v>
      </c>
      <c r="H148" s="9" t="n">
        <v>3</v>
      </c>
      <c r="I148" s="9" t="n">
        <v>3</v>
      </c>
      <c r="J148" s="9" t="n">
        <v>3</v>
      </c>
      <c r="K148" s="9" t="n">
        <v>3</v>
      </c>
      <c r="L148" s="9" t="n">
        <v>3</v>
      </c>
      <c r="M148" s="9" t="n">
        <v>3</v>
      </c>
      <c r="N148" s="9" t="n">
        <v>2</v>
      </c>
      <c r="O148" s="9" t="n">
        <v>3</v>
      </c>
      <c r="P148" s="9" t="n">
        <v>4</v>
      </c>
      <c r="Q148" s="9" t="n">
        <v>4</v>
      </c>
      <c r="R148" s="8" t="n">
        <f aca="false">SUM(B148:Q148)</f>
        <v>48</v>
      </c>
      <c r="S148" s="8" t="str">
        <f aca="false">IF(R148&gt;=5_項目分析!$B$6,"高",IF(R148&lt;=5_項目分析!$B$5,"低",""))</f>
        <v>低</v>
      </c>
      <c r="T148" s="8" t="n">
        <f aca="false">R148-B148</f>
        <v>45</v>
      </c>
      <c r="U148" s="8" t="n">
        <f aca="false">R148-C148</f>
        <v>45</v>
      </c>
      <c r="V148" s="8" t="n">
        <f aca="false">R148-D148</f>
        <v>46</v>
      </c>
      <c r="W148" s="8" t="n">
        <f aca="false">R148-E148</f>
        <v>45</v>
      </c>
      <c r="X148" s="8" t="n">
        <f aca="false">R148-F148</f>
        <v>45</v>
      </c>
      <c r="Y148" s="8" t="n">
        <f aca="false">R148-G148</f>
        <v>45</v>
      </c>
      <c r="Z148" s="8" t="n">
        <f aca="false">R148-H148</f>
        <v>45</v>
      </c>
      <c r="AA148" s="8" t="n">
        <f aca="false">R148-I148</f>
        <v>45</v>
      </c>
      <c r="AB148" s="8" t="n">
        <f aca="false">R148-J148</f>
        <v>45</v>
      </c>
      <c r="AC148" s="8" t="n">
        <f aca="false">R148-K148</f>
        <v>45</v>
      </c>
      <c r="AD148" s="8" t="n">
        <f aca="false">R148-L148</f>
        <v>45</v>
      </c>
      <c r="AE148" s="8" t="n">
        <f aca="false">R148-M148</f>
        <v>45</v>
      </c>
      <c r="AF148" s="8" t="n">
        <f aca="false">R148-N148</f>
        <v>46</v>
      </c>
      <c r="AG148" s="8" t="n">
        <f aca="false">R148-O148</f>
        <v>45</v>
      </c>
      <c r="AH148" s="8" t="n">
        <f aca="false">R148-P148</f>
        <v>44</v>
      </c>
      <c r="AI148" s="8" t="n">
        <f aca="false">R148-Q148</f>
        <v>44</v>
      </c>
    </row>
    <row r="149" customFormat="false" ht="15" hidden="false" customHeight="false" outlineLevel="0" collapsed="false">
      <c r="A149" s="7" t="s">
        <v>235</v>
      </c>
      <c r="B149" s="9" t="n">
        <v>1</v>
      </c>
      <c r="C149" s="9" t="n">
        <v>3</v>
      </c>
      <c r="D149" s="9" t="n">
        <v>1</v>
      </c>
      <c r="E149" s="9" t="n">
        <v>3</v>
      </c>
      <c r="F149" s="9" t="n">
        <v>3</v>
      </c>
      <c r="G149" s="9" t="n">
        <v>3</v>
      </c>
      <c r="H149" s="9" t="n">
        <v>4</v>
      </c>
      <c r="I149" s="9" t="n">
        <v>3</v>
      </c>
      <c r="J149" s="9" t="n">
        <v>3</v>
      </c>
      <c r="K149" s="9" t="n">
        <v>3</v>
      </c>
      <c r="L149" s="9" t="n">
        <v>1</v>
      </c>
      <c r="M149" s="9" t="n">
        <v>3</v>
      </c>
      <c r="N149" s="9" t="n">
        <v>3</v>
      </c>
      <c r="O149" s="9" t="n">
        <v>1</v>
      </c>
      <c r="P149" s="9" t="n">
        <v>2</v>
      </c>
      <c r="Q149" s="9" t="n">
        <v>5</v>
      </c>
      <c r="R149" s="8" t="n">
        <f aca="false">SUM(B149:Q149)</f>
        <v>42</v>
      </c>
      <c r="S149" s="8" t="str">
        <f aca="false">IF(R149&gt;=5_項目分析!$B$6,"高",IF(R149&lt;=5_項目分析!$B$5,"低",""))</f>
        <v>低</v>
      </c>
      <c r="T149" s="8" t="n">
        <f aca="false">R149-B149</f>
        <v>41</v>
      </c>
      <c r="U149" s="8" t="n">
        <f aca="false">R149-C149</f>
        <v>39</v>
      </c>
      <c r="V149" s="8" t="n">
        <f aca="false">R149-D149</f>
        <v>41</v>
      </c>
      <c r="W149" s="8" t="n">
        <f aca="false">R149-E149</f>
        <v>39</v>
      </c>
      <c r="X149" s="8" t="n">
        <f aca="false">R149-F149</f>
        <v>39</v>
      </c>
      <c r="Y149" s="8" t="n">
        <f aca="false">R149-G149</f>
        <v>39</v>
      </c>
      <c r="Z149" s="8" t="n">
        <f aca="false">R149-H149</f>
        <v>38</v>
      </c>
      <c r="AA149" s="8" t="n">
        <f aca="false">R149-I149</f>
        <v>39</v>
      </c>
      <c r="AB149" s="8" t="n">
        <f aca="false">R149-J149</f>
        <v>39</v>
      </c>
      <c r="AC149" s="8" t="n">
        <f aca="false">R149-K149</f>
        <v>39</v>
      </c>
      <c r="AD149" s="8" t="n">
        <f aca="false">R149-L149</f>
        <v>41</v>
      </c>
      <c r="AE149" s="8" t="n">
        <f aca="false">R149-M149</f>
        <v>39</v>
      </c>
      <c r="AF149" s="8" t="n">
        <f aca="false">R149-N149</f>
        <v>39</v>
      </c>
      <c r="AG149" s="8" t="n">
        <f aca="false">R149-O149</f>
        <v>41</v>
      </c>
      <c r="AH149" s="8" t="n">
        <f aca="false">R149-P149</f>
        <v>40</v>
      </c>
      <c r="AI149" s="8" t="n">
        <f aca="false">R149-Q149</f>
        <v>37</v>
      </c>
    </row>
    <row r="150" customFormat="false" ht="15" hidden="false" customHeight="false" outlineLevel="0" collapsed="false">
      <c r="A150" s="7" t="s">
        <v>236</v>
      </c>
      <c r="B150" s="9" t="n">
        <v>4</v>
      </c>
      <c r="C150" s="9" t="n">
        <v>3</v>
      </c>
      <c r="D150" s="9" t="n">
        <v>4</v>
      </c>
      <c r="E150" s="9" t="n">
        <v>3</v>
      </c>
      <c r="F150" s="9" t="n">
        <v>4</v>
      </c>
      <c r="G150" s="9" t="n">
        <v>4</v>
      </c>
      <c r="H150" s="9" t="n">
        <v>4</v>
      </c>
      <c r="I150" s="9" t="n">
        <v>4</v>
      </c>
      <c r="J150" s="9" t="n">
        <v>5</v>
      </c>
      <c r="K150" s="9" t="n">
        <v>3</v>
      </c>
      <c r="L150" s="9" t="n">
        <v>4</v>
      </c>
      <c r="M150" s="9" t="n">
        <v>3</v>
      </c>
      <c r="N150" s="9" t="n">
        <v>3</v>
      </c>
      <c r="O150" s="9" t="n">
        <v>4</v>
      </c>
      <c r="P150" s="9" t="n">
        <v>4</v>
      </c>
      <c r="Q150" s="9" t="n">
        <v>5</v>
      </c>
      <c r="R150" s="8" t="n">
        <f aca="false">SUM(B150:Q150)</f>
        <v>61</v>
      </c>
      <c r="S150" s="8" t="str">
        <f aca="false">IF(R150&gt;=5_項目分析!$B$6,"高",IF(R150&lt;=5_項目分析!$B$5,"低",""))</f>
        <v/>
      </c>
      <c r="T150" s="8" t="n">
        <f aca="false">R150-B150</f>
        <v>57</v>
      </c>
      <c r="U150" s="8" t="n">
        <f aca="false">R150-C150</f>
        <v>58</v>
      </c>
      <c r="V150" s="8" t="n">
        <f aca="false">R150-D150</f>
        <v>57</v>
      </c>
      <c r="W150" s="8" t="n">
        <f aca="false">R150-E150</f>
        <v>58</v>
      </c>
      <c r="X150" s="8" t="n">
        <f aca="false">R150-F150</f>
        <v>57</v>
      </c>
      <c r="Y150" s="8" t="n">
        <f aca="false">R150-G150</f>
        <v>57</v>
      </c>
      <c r="Z150" s="8" t="n">
        <f aca="false">R150-H150</f>
        <v>57</v>
      </c>
      <c r="AA150" s="8" t="n">
        <f aca="false">R150-I150</f>
        <v>57</v>
      </c>
      <c r="AB150" s="8" t="n">
        <f aca="false">R150-J150</f>
        <v>56</v>
      </c>
      <c r="AC150" s="8" t="n">
        <f aca="false">R150-K150</f>
        <v>58</v>
      </c>
      <c r="AD150" s="8" t="n">
        <f aca="false">R150-L150</f>
        <v>57</v>
      </c>
      <c r="AE150" s="8" t="n">
        <f aca="false">R150-M150</f>
        <v>58</v>
      </c>
      <c r="AF150" s="8" t="n">
        <f aca="false">R150-N150</f>
        <v>58</v>
      </c>
      <c r="AG150" s="8" t="n">
        <f aca="false">R150-O150</f>
        <v>57</v>
      </c>
      <c r="AH150" s="8" t="n">
        <f aca="false">R150-P150</f>
        <v>57</v>
      </c>
      <c r="AI150" s="8" t="n">
        <f aca="false">R150-Q150</f>
        <v>56</v>
      </c>
    </row>
    <row r="151" customFormat="false" ht="15" hidden="false" customHeight="false" outlineLevel="0" collapsed="false">
      <c r="A151" s="7" t="s">
        <v>237</v>
      </c>
      <c r="B151" s="9" t="n">
        <v>2</v>
      </c>
      <c r="C151" s="9" t="n">
        <v>2</v>
      </c>
      <c r="D151" s="9" t="n">
        <v>2</v>
      </c>
      <c r="E151" s="9" t="n">
        <v>3</v>
      </c>
      <c r="F151" s="9" t="n">
        <v>3</v>
      </c>
      <c r="G151" s="9" t="n">
        <v>1</v>
      </c>
      <c r="H151" s="9" t="n">
        <v>2</v>
      </c>
      <c r="I151" s="9" t="n">
        <v>1</v>
      </c>
      <c r="J151" s="9" t="n">
        <v>3</v>
      </c>
      <c r="K151" s="9" t="n">
        <v>2</v>
      </c>
      <c r="L151" s="9" t="n">
        <v>4</v>
      </c>
      <c r="M151" s="9" t="n">
        <v>3</v>
      </c>
      <c r="N151" s="9" t="n">
        <v>3</v>
      </c>
      <c r="O151" s="9" t="n">
        <v>3</v>
      </c>
      <c r="P151" s="9" t="n">
        <v>4</v>
      </c>
      <c r="Q151" s="9" t="n">
        <v>5</v>
      </c>
      <c r="R151" s="8" t="n">
        <f aca="false">SUM(B151:Q151)</f>
        <v>43</v>
      </c>
      <c r="S151" s="8" t="str">
        <f aca="false">IF(R151&gt;=5_項目分析!$B$6,"高",IF(R151&lt;=5_項目分析!$B$5,"低",""))</f>
        <v>低</v>
      </c>
      <c r="T151" s="8" t="n">
        <f aca="false">R151-B151</f>
        <v>41</v>
      </c>
      <c r="U151" s="8" t="n">
        <f aca="false">R151-C151</f>
        <v>41</v>
      </c>
      <c r="V151" s="8" t="n">
        <f aca="false">R151-D151</f>
        <v>41</v>
      </c>
      <c r="W151" s="8" t="n">
        <f aca="false">R151-E151</f>
        <v>40</v>
      </c>
      <c r="X151" s="8" t="n">
        <f aca="false">R151-F151</f>
        <v>40</v>
      </c>
      <c r="Y151" s="8" t="n">
        <f aca="false">R151-G151</f>
        <v>42</v>
      </c>
      <c r="Z151" s="8" t="n">
        <f aca="false">R151-H151</f>
        <v>41</v>
      </c>
      <c r="AA151" s="8" t="n">
        <f aca="false">R151-I151</f>
        <v>42</v>
      </c>
      <c r="AB151" s="8" t="n">
        <f aca="false">R151-J151</f>
        <v>40</v>
      </c>
      <c r="AC151" s="8" t="n">
        <f aca="false">R151-K151</f>
        <v>41</v>
      </c>
      <c r="AD151" s="8" t="n">
        <f aca="false">R151-L151</f>
        <v>39</v>
      </c>
      <c r="AE151" s="8" t="n">
        <f aca="false">R151-M151</f>
        <v>40</v>
      </c>
      <c r="AF151" s="8" t="n">
        <f aca="false">R151-N151</f>
        <v>40</v>
      </c>
      <c r="AG151" s="8" t="n">
        <f aca="false">R151-O151</f>
        <v>40</v>
      </c>
      <c r="AH151" s="8" t="n">
        <f aca="false">R151-P151</f>
        <v>39</v>
      </c>
      <c r="AI151" s="8" t="n">
        <f aca="false">R151-Q151</f>
        <v>38</v>
      </c>
    </row>
    <row r="152" customFormat="false" ht="15" hidden="false" customHeight="false" outlineLevel="0" collapsed="false">
      <c r="A152" s="7" t="s">
        <v>238</v>
      </c>
      <c r="B152" s="9" t="n">
        <v>5</v>
      </c>
      <c r="C152" s="9" t="n">
        <v>5</v>
      </c>
      <c r="D152" s="9" t="n">
        <v>5</v>
      </c>
      <c r="E152" s="9" t="n">
        <v>5</v>
      </c>
      <c r="F152" s="9" t="n">
        <v>5</v>
      </c>
      <c r="G152" s="9" t="n">
        <v>5</v>
      </c>
      <c r="H152" s="9" t="n">
        <v>5</v>
      </c>
      <c r="I152" s="9" t="n">
        <v>5</v>
      </c>
      <c r="J152" s="9" t="n">
        <v>3</v>
      </c>
      <c r="K152" s="9" t="n">
        <v>5</v>
      </c>
      <c r="L152" s="9" t="n">
        <v>4</v>
      </c>
      <c r="M152" s="9" t="n">
        <v>3</v>
      </c>
      <c r="N152" s="9" t="n">
        <v>4</v>
      </c>
      <c r="O152" s="9" t="n">
        <v>5</v>
      </c>
      <c r="P152" s="9" t="n">
        <v>3</v>
      </c>
      <c r="Q152" s="9" t="n">
        <v>5</v>
      </c>
      <c r="R152" s="8" t="n">
        <f aca="false">SUM(B152:Q152)</f>
        <v>72</v>
      </c>
      <c r="S152" s="8" t="str">
        <f aca="false">IF(R152&gt;=5_項目分析!$B$6,"高",IF(R152&lt;=5_項目分析!$B$5,"低",""))</f>
        <v>高</v>
      </c>
      <c r="T152" s="8" t="n">
        <f aca="false">R152-B152</f>
        <v>67</v>
      </c>
      <c r="U152" s="8" t="n">
        <f aca="false">R152-C152</f>
        <v>67</v>
      </c>
      <c r="V152" s="8" t="n">
        <f aca="false">R152-D152</f>
        <v>67</v>
      </c>
      <c r="W152" s="8" t="n">
        <f aca="false">R152-E152</f>
        <v>67</v>
      </c>
      <c r="X152" s="8" t="n">
        <f aca="false">R152-F152</f>
        <v>67</v>
      </c>
      <c r="Y152" s="8" t="n">
        <f aca="false">R152-G152</f>
        <v>67</v>
      </c>
      <c r="Z152" s="8" t="n">
        <f aca="false">R152-H152</f>
        <v>67</v>
      </c>
      <c r="AA152" s="8" t="n">
        <f aca="false">R152-I152</f>
        <v>67</v>
      </c>
      <c r="AB152" s="8" t="n">
        <f aca="false">R152-J152</f>
        <v>69</v>
      </c>
      <c r="AC152" s="8" t="n">
        <f aca="false">R152-K152</f>
        <v>67</v>
      </c>
      <c r="AD152" s="8" t="n">
        <f aca="false">R152-L152</f>
        <v>68</v>
      </c>
      <c r="AE152" s="8" t="n">
        <f aca="false">R152-M152</f>
        <v>69</v>
      </c>
      <c r="AF152" s="8" t="n">
        <f aca="false">R152-N152</f>
        <v>68</v>
      </c>
      <c r="AG152" s="8" t="n">
        <f aca="false">R152-O152</f>
        <v>67</v>
      </c>
      <c r="AH152" s="8" t="n">
        <f aca="false">R152-P152</f>
        <v>69</v>
      </c>
      <c r="AI152" s="8" t="n">
        <f aca="false">R152-Q152</f>
        <v>67</v>
      </c>
    </row>
    <row r="153" customFormat="false" ht="15" hidden="false" customHeight="false" outlineLevel="0" collapsed="false">
      <c r="A153" s="7" t="s">
        <v>239</v>
      </c>
      <c r="B153" s="9" t="n">
        <v>5</v>
      </c>
      <c r="C153" s="9" t="n">
        <v>5</v>
      </c>
      <c r="D153" s="9" t="n">
        <v>5</v>
      </c>
      <c r="E153" s="9" t="n">
        <v>5</v>
      </c>
      <c r="F153" s="9" t="n">
        <v>4</v>
      </c>
      <c r="G153" s="9" t="n">
        <v>5</v>
      </c>
      <c r="H153" s="9" t="n">
        <v>5</v>
      </c>
      <c r="I153" s="9" t="n">
        <v>5</v>
      </c>
      <c r="J153" s="9" t="n">
        <v>3</v>
      </c>
      <c r="K153" s="9" t="n">
        <v>4</v>
      </c>
      <c r="L153" s="9" t="n">
        <v>5</v>
      </c>
      <c r="M153" s="9" t="n">
        <v>4</v>
      </c>
      <c r="N153" s="9" t="n">
        <v>4</v>
      </c>
      <c r="O153" s="9" t="n">
        <v>5</v>
      </c>
      <c r="P153" s="9" t="n">
        <v>4</v>
      </c>
      <c r="Q153" s="9" t="n">
        <v>5</v>
      </c>
      <c r="R153" s="8" t="n">
        <f aca="false">SUM(B153:Q153)</f>
        <v>73</v>
      </c>
      <c r="S153" s="8" t="str">
        <f aca="false">IF(R153&gt;=5_項目分析!$B$6,"高",IF(R153&lt;=5_項目分析!$B$5,"低",""))</f>
        <v>高</v>
      </c>
      <c r="T153" s="8" t="n">
        <f aca="false">R153-B153</f>
        <v>68</v>
      </c>
      <c r="U153" s="8" t="n">
        <f aca="false">R153-C153</f>
        <v>68</v>
      </c>
      <c r="V153" s="8" t="n">
        <f aca="false">R153-D153</f>
        <v>68</v>
      </c>
      <c r="W153" s="8" t="n">
        <f aca="false">R153-E153</f>
        <v>68</v>
      </c>
      <c r="X153" s="8" t="n">
        <f aca="false">R153-F153</f>
        <v>69</v>
      </c>
      <c r="Y153" s="8" t="n">
        <f aca="false">R153-G153</f>
        <v>68</v>
      </c>
      <c r="Z153" s="8" t="n">
        <f aca="false">R153-H153</f>
        <v>68</v>
      </c>
      <c r="AA153" s="8" t="n">
        <f aca="false">R153-I153</f>
        <v>68</v>
      </c>
      <c r="AB153" s="8" t="n">
        <f aca="false">R153-J153</f>
        <v>70</v>
      </c>
      <c r="AC153" s="8" t="n">
        <f aca="false">R153-K153</f>
        <v>69</v>
      </c>
      <c r="AD153" s="8" t="n">
        <f aca="false">R153-L153</f>
        <v>68</v>
      </c>
      <c r="AE153" s="8" t="n">
        <f aca="false">R153-M153</f>
        <v>69</v>
      </c>
      <c r="AF153" s="8" t="n">
        <f aca="false">R153-N153</f>
        <v>69</v>
      </c>
      <c r="AG153" s="8" t="n">
        <f aca="false">R153-O153</f>
        <v>68</v>
      </c>
      <c r="AH153" s="8" t="n">
        <f aca="false">R153-P153</f>
        <v>69</v>
      </c>
      <c r="AI153" s="8" t="n">
        <f aca="false">R153-Q153</f>
        <v>68</v>
      </c>
    </row>
    <row r="154" customFormat="false" ht="15" hidden="false" customHeight="false" outlineLevel="0" collapsed="false">
      <c r="A154" s="7" t="s">
        <v>240</v>
      </c>
      <c r="B154" s="9" t="n">
        <v>4</v>
      </c>
      <c r="C154" s="9" t="n">
        <v>4</v>
      </c>
      <c r="D154" s="9" t="n">
        <v>3</v>
      </c>
      <c r="E154" s="9" t="n">
        <v>3</v>
      </c>
      <c r="F154" s="9" t="n">
        <v>4</v>
      </c>
      <c r="G154" s="9" t="n">
        <v>5</v>
      </c>
      <c r="H154" s="9" t="n">
        <v>5</v>
      </c>
      <c r="I154" s="9" t="n">
        <v>5</v>
      </c>
      <c r="J154" s="9" t="n">
        <v>5</v>
      </c>
      <c r="K154" s="9" t="n">
        <v>5</v>
      </c>
      <c r="L154" s="9" t="n">
        <v>4</v>
      </c>
      <c r="M154" s="9" t="n">
        <v>3</v>
      </c>
      <c r="N154" s="9" t="n">
        <v>4</v>
      </c>
      <c r="O154" s="9" t="n">
        <v>4</v>
      </c>
      <c r="P154" s="9" t="n">
        <v>4</v>
      </c>
      <c r="Q154" s="9" t="n">
        <v>5</v>
      </c>
      <c r="R154" s="8" t="n">
        <f aca="false">SUM(B154:Q154)</f>
        <v>67</v>
      </c>
      <c r="S154" s="8" t="str">
        <f aca="false">IF(R154&gt;=5_項目分析!$B$6,"高",IF(R154&lt;=5_項目分析!$B$5,"低",""))</f>
        <v>高</v>
      </c>
      <c r="T154" s="8" t="n">
        <f aca="false">R154-B154</f>
        <v>63</v>
      </c>
      <c r="U154" s="8" t="n">
        <f aca="false">R154-C154</f>
        <v>63</v>
      </c>
      <c r="V154" s="8" t="n">
        <f aca="false">R154-D154</f>
        <v>64</v>
      </c>
      <c r="W154" s="8" t="n">
        <f aca="false">R154-E154</f>
        <v>64</v>
      </c>
      <c r="X154" s="8" t="n">
        <f aca="false">R154-F154</f>
        <v>63</v>
      </c>
      <c r="Y154" s="8" t="n">
        <f aca="false">R154-G154</f>
        <v>62</v>
      </c>
      <c r="Z154" s="8" t="n">
        <f aca="false">R154-H154</f>
        <v>62</v>
      </c>
      <c r="AA154" s="8" t="n">
        <f aca="false">R154-I154</f>
        <v>62</v>
      </c>
      <c r="AB154" s="8" t="n">
        <f aca="false">R154-J154</f>
        <v>62</v>
      </c>
      <c r="AC154" s="8" t="n">
        <f aca="false">R154-K154</f>
        <v>62</v>
      </c>
      <c r="AD154" s="8" t="n">
        <f aca="false">R154-L154</f>
        <v>63</v>
      </c>
      <c r="AE154" s="8" t="n">
        <f aca="false">R154-M154</f>
        <v>64</v>
      </c>
      <c r="AF154" s="8" t="n">
        <f aca="false">R154-N154</f>
        <v>63</v>
      </c>
      <c r="AG154" s="8" t="n">
        <f aca="false">R154-O154</f>
        <v>63</v>
      </c>
      <c r="AH154" s="8" t="n">
        <f aca="false">R154-P154</f>
        <v>63</v>
      </c>
      <c r="AI154" s="8" t="n">
        <f aca="false">R154-Q154</f>
        <v>62</v>
      </c>
    </row>
    <row r="155" customFormat="false" ht="15" hidden="false" customHeight="false" outlineLevel="0" collapsed="false">
      <c r="A155" s="7" t="s">
        <v>241</v>
      </c>
      <c r="B155" s="9" t="n">
        <v>4</v>
      </c>
      <c r="C155" s="9" t="n">
        <v>3</v>
      </c>
      <c r="D155" s="9" t="n">
        <v>4</v>
      </c>
      <c r="E155" s="9" t="n">
        <v>5</v>
      </c>
      <c r="F155" s="9" t="n">
        <v>3</v>
      </c>
      <c r="G155" s="9" t="n">
        <v>3</v>
      </c>
      <c r="H155" s="9" t="n">
        <v>2</v>
      </c>
      <c r="I155" s="9" t="n">
        <v>3</v>
      </c>
      <c r="J155" s="9" t="n">
        <v>3</v>
      </c>
      <c r="K155" s="9" t="n">
        <v>2</v>
      </c>
      <c r="L155" s="9" t="n">
        <v>2</v>
      </c>
      <c r="M155" s="9" t="n">
        <v>4</v>
      </c>
      <c r="N155" s="9" t="n">
        <v>3</v>
      </c>
      <c r="O155" s="9" t="n">
        <v>3</v>
      </c>
      <c r="P155" s="9" t="n">
        <v>2</v>
      </c>
      <c r="Q155" s="9" t="n">
        <v>5</v>
      </c>
      <c r="R155" s="8" t="n">
        <f aca="false">SUM(B155:Q155)</f>
        <v>51</v>
      </c>
      <c r="S155" s="8" t="str">
        <f aca="false">IF(R155&gt;=5_項目分析!$B$6,"高",IF(R155&lt;=5_項目分析!$B$5,"低",""))</f>
        <v>低</v>
      </c>
      <c r="T155" s="8" t="n">
        <f aca="false">R155-B155</f>
        <v>47</v>
      </c>
      <c r="U155" s="8" t="n">
        <f aca="false">R155-C155</f>
        <v>48</v>
      </c>
      <c r="V155" s="8" t="n">
        <f aca="false">R155-D155</f>
        <v>47</v>
      </c>
      <c r="W155" s="8" t="n">
        <f aca="false">R155-E155</f>
        <v>46</v>
      </c>
      <c r="X155" s="8" t="n">
        <f aca="false">R155-F155</f>
        <v>48</v>
      </c>
      <c r="Y155" s="8" t="n">
        <f aca="false">R155-G155</f>
        <v>48</v>
      </c>
      <c r="Z155" s="8" t="n">
        <f aca="false">R155-H155</f>
        <v>49</v>
      </c>
      <c r="AA155" s="8" t="n">
        <f aca="false">R155-I155</f>
        <v>48</v>
      </c>
      <c r="AB155" s="8" t="n">
        <f aca="false">R155-J155</f>
        <v>48</v>
      </c>
      <c r="AC155" s="8" t="n">
        <f aca="false">R155-K155</f>
        <v>49</v>
      </c>
      <c r="AD155" s="8" t="n">
        <f aca="false">R155-L155</f>
        <v>49</v>
      </c>
      <c r="AE155" s="8" t="n">
        <f aca="false">R155-M155</f>
        <v>47</v>
      </c>
      <c r="AF155" s="8" t="n">
        <f aca="false">R155-N155</f>
        <v>48</v>
      </c>
      <c r="AG155" s="8" t="n">
        <f aca="false">R155-O155</f>
        <v>48</v>
      </c>
      <c r="AH155" s="8" t="n">
        <f aca="false">R155-P155</f>
        <v>49</v>
      </c>
      <c r="AI155" s="8" t="n">
        <f aca="false">R155-Q155</f>
        <v>46</v>
      </c>
    </row>
    <row r="156" customFormat="false" ht="15" hidden="false" customHeight="false" outlineLevel="0" collapsed="false">
      <c r="A156" s="7" t="s">
        <v>242</v>
      </c>
      <c r="B156" s="9" t="n">
        <v>3</v>
      </c>
      <c r="C156" s="9" t="n">
        <v>4</v>
      </c>
      <c r="D156" s="9" t="n">
        <v>2</v>
      </c>
      <c r="E156" s="9" t="n">
        <v>4</v>
      </c>
      <c r="F156" s="9" t="n">
        <v>4</v>
      </c>
      <c r="G156" s="9" t="n">
        <v>4</v>
      </c>
      <c r="H156" s="9" t="n">
        <v>4</v>
      </c>
      <c r="I156" s="9" t="n">
        <v>4</v>
      </c>
      <c r="J156" s="9" t="n">
        <v>5</v>
      </c>
      <c r="K156" s="9" t="n">
        <v>3</v>
      </c>
      <c r="L156" s="9" t="n">
        <v>3</v>
      </c>
      <c r="M156" s="9" t="n">
        <v>3</v>
      </c>
      <c r="N156" s="9" t="n">
        <v>3</v>
      </c>
      <c r="O156" s="9" t="n">
        <v>4</v>
      </c>
      <c r="P156" s="9" t="n">
        <v>4</v>
      </c>
      <c r="Q156" s="9" t="n">
        <v>5</v>
      </c>
      <c r="R156" s="8" t="n">
        <f aca="false">SUM(B156:Q156)</f>
        <v>59</v>
      </c>
      <c r="S156" s="8" t="str">
        <f aca="false">IF(R156&gt;=5_項目分析!$B$6,"高",IF(R156&lt;=5_項目分析!$B$5,"低",""))</f>
        <v/>
      </c>
      <c r="T156" s="8" t="n">
        <f aca="false">R156-B156</f>
        <v>56</v>
      </c>
      <c r="U156" s="8" t="n">
        <f aca="false">R156-C156</f>
        <v>55</v>
      </c>
      <c r="V156" s="8" t="n">
        <f aca="false">R156-D156</f>
        <v>57</v>
      </c>
      <c r="W156" s="8" t="n">
        <f aca="false">R156-E156</f>
        <v>55</v>
      </c>
      <c r="X156" s="8" t="n">
        <f aca="false">R156-F156</f>
        <v>55</v>
      </c>
      <c r="Y156" s="8" t="n">
        <f aca="false">R156-G156</f>
        <v>55</v>
      </c>
      <c r="Z156" s="8" t="n">
        <f aca="false">R156-H156</f>
        <v>55</v>
      </c>
      <c r="AA156" s="8" t="n">
        <f aca="false">R156-I156</f>
        <v>55</v>
      </c>
      <c r="AB156" s="8" t="n">
        <f aca="false">R156-J156</f>
        <v>54</v>
      </c>
      <c r="AC156" s="8" t="n">
        <f aca="false">R156-K156</f>
        <v>56</v>
      </c>
      <c r="AD156" s="8" t="n">
        <f aca="false">R156-L156</f>
        <v>56</v>
      </c>
      <c r="AE156" s="8" t="n">
        <f aca="false">R156-M156</f>
        <v>56</v>
      </c>
      <c r="AF156" s="8" t="n">
        <f aca="false">R156-N156</f>
        <v>56</v>
      </c>
      <c r="AG156" s="8" t="n">
        <f aca="false">R156-O156</f>
        <v>55</v>
      </c>
      <c r="AH156" s="8" t="n">
        <f aca="false">R156-P156</f>
        <v>55</v>
      </c>
      <c r="AI156" s="8" t="n">
        <f aca="false">R156-Q156</f>
        <v>54</v>
      </c>
    </row>
    <row r="157" customFormat="false" ht="15" hidden="false" customHeight="false" outlineLevel="0" collapsed="false">
      <c r="A157" s="7" t="s">
        <v>243</v>
      </c>
      <c r="B157" s="9" t="n">
        <v>4</v>
      </c>
      <c r="C157" s="9" t="n">
        <v>3</v>
      </c>
      <c r="D157" s="9" t="n">
        <v>3</v>
      </c>
      <c r="E157" s="9" t="n">
        <v>4</v>
      </c>
      <c r="F157" s="9" t="n">
        <v>4</v>
      </c>
      <c r="G157" s="9" t="n">
        <v>2</v>
      </c>
      <c r="H157" s="9" t="n">
        <v>3</v>
      </c>
      <c r="I157" s="9" t="n">
        <v>3</v>
      </c>
      <c r="J157" s="9" t="n">
        <v>3</v>
      </c>
      <c r="K157" s="9" t="n">
        <v>2</v>
      </c>
      <c r="L157" s="9" t="n">
        <v>3</v>
      </c>
      <c r="M157" s="9" t="n">
        <v>2</v>
      </c>
      <c r="N157" s="9" t="n">
        <v>4</v>
      </c>
      <c r="O157" s="9" t="n">
        <v>3</v>
      </c>
      <c r="P157" s="9" t="n">
        <v>4</v>
      </c>
      <c r="Q157" s="9" t="n">
        <v>5</v>
      </c>
      <c r="R157" s="8" t="n">
        <f aca="false">SUM(B157:Q157)</f>
        <v>52</v>
      </c>
      <c r="S157" s="8" t="str">
        <f aca="false">IF(R157&gt;=5_項目分析!$B$6,"高",IF(R157&lt;=5_項目分析!$B$5,"低",""))</f>
        <v>低</v>
      </c>
      <c r="T157" s="8" t="n">
        <f aca="false">R157-B157</f>
        <v>48</v>
      </c>
      <c r="U157" s="8" t="n">
        <f aca="false">R157-C157</f>
        <v>49</v>
      </c>
      <c r="V157" s="8" t="n">
        <f aca="false">R157-D157</f>
        <v>49</v>
      </c>
      <c r="W157" s="8" t="n">
        <f aca="false">R157-E157</f>
        <v>48</v>
      </c>
      <c r="X157" s="8" t="n">
        <f aca="false">R157-F157</f>
        <v>48</v>
      </c>
      <c r="Y157" s="8" t="n">
        <f aca="false">R157-G157</f>
        <v>50</v>
      </c>
      <c r="Z157" s="8" t="n">
        <f aca="false">R157-H157</f>
        <v>49</v>
      </c>
      <c r="AA157" s="8" t="n">
        <f aca="false">R157-I157</f>
        <v>49</v>
      </c>
      <c r="AB157" s="8" t="n">
        <f aca="false">R157-J157</f>
        <v>49</v>
      </c>
      <c r="AC157" s="8" t="n">
        <f aca="false">R157-K157</f>
        <v>50</v>
      </c>
      <c r="AD157" s="8" t="n">
        <f aca="false">R157-L157</f>
        <v>49</v>
      </c>
      <c r="AE157" s="8" t="n">
        <f aca="false">R157-M157</f>
        <v>50</v>
      </c>
      <c r="AF157" s="8" t="n">
        <f aca="false">R157-N157</f>
        <v>48</v>
      </c>
      <c r="AG157" s="8" t="n">
        <f aca="false">R157-O157</f>
        <v>49</v>
      </c>
      <c r="AH157" s="8" t="n">
        <f aca="false">R157-P157</f>
        <v>48</v>
      </c>
      <c r="AI157" s="8" t="n">
        <f aca="false">R157-Q157</f>
        <v>47</v>
      </c>
    </row>
    <row r="158" customFormat="false" ht="15" hidden="false" customHeight="false" outlineLevel="0" collapsed="false">
      <c r="A158" s="7" t="s">
        <v>244</v>
      </c>
      <c r="B158" s="9" t="n">
        <v>5</v>
      </c>
      <c r="C158" s="9" t="n">
        <v>5</v>
      </c>
      <c r="D158" s="9" t="n">
        <v>5</v>
      </c>
      <c r="E158" s="9" t="n">
        <v>5</v>
      </c>
      <c r="F158" s="9" t="n">
        <v>5</v>
      </c>
      <c r="G158" s="9" t="n">
        <v>4</v>
      </c>
      <c r="H158" s="9" t="n">
        <v>4</v>
      </c>
      <c r="I158" s="9" t="n">
        <v>4</v>
      </c>
      <c r="J158" s="9" t="n">
        <v>4</v>
      </c>
      <c r="K158" s="9" t="n">
        <v>5</v>
      </c>
      <c r="L158" s="9" t="n">
        <v>4</v>
      </c>
      <c r="M158" s="9" t="n">
        <v>5</v>
      </c>
      <c r="N158" s="9" t="n">
        <v>4</v>
      </c>
      <c r="O158" s="9" t="n">
        <v>4</v>
      </c>
      <c r="P158" s="9" t="n">
        <v>4</v>
      </c>
      <c r="Q158" s="9" t="n">
        <v>5</v>
      </c>
      <c r="R158" s="8" t="n">
        <f aca="false">SUM(B158:Q158)</f>
        <v>72</v>
      </c>
      <c r="S158" s="8" t="str">
        <f aca="false">IF(R158&gt;=5_項目分析!$B$6,"高",IF(R158&lt;=5_項目分析!$B$5,"低",""))</f>
        <v>高</v>
      </c>
      <c r="T158" s="8" t="n">
        <f aca="false">R158-B158</f>
        <v>67</v>
      </c>
      <c r="U158" s="8" t="n">
        <f aca="false">R158-C158</f>
        <v>67</v>
      </c>
      <c r="V158" s="8" t="n">
        <f aca="false">R158-D158</f>
        <v>67</v>
      </c>
      <c r="W158" s="8" t="n">
        <f aca="false">R158-E158</f>
        <v>67</v>
      </c>
      <c r="X158" s="8" t="n">
        <f aca="false">R158-F158</f>
        <v>67</v>
      </c>
      <c r="Y158" s="8" t="n">
        <f aca="false">R158-G158</f>
        <v>68</v>
      </c>
      <c r="Z158" s="8" t="n">
        <f aca="false">R158-H158</f>
        <v>68</v>
      </c>
      <c r="AA158" s="8" t="n">
        <f aca="false">R158-I158</f>
        <v>68</v>
      </c>
      <c r="AB158" s="8" t="n">
        <f aca="false">R158-J158</f>
        <v>68</v>
      </c>
      <c r="AC158" s="8" t="n">
        <f aca="false">R158-K158</f>
        <v>67</v>
      </c>
      <c r="AD158" s="8" t="n">
        <f aca="false">R158-L158</f>
        <v>68</v>
      </c>
      <c r="AE158" s="8" t="n">
        <f aca="false">R158-M158</f>
        <v>67</v>
      </c>
      <c r="AF158" s="8" t="n">
        <f aca="false">R158-N158</f>
        <v>68</v>
      </c>
      <c r="AG158" s="8" t="n">
        <f aca="false">R158-O158</f>
        <v>68</v>
      </c>
      <c r="AH158" s="8" t="n">
        <f aca="false">R158-P158</f>
        <v>68</v>
      </c>
      <c r="AI158" s="8" t="n">
        <f aca="false">R158-Q158</f>
        <v>67</v>
      </c>
    </row>
    <row r="159" customFormat="false" ht="15" hidden="false" customHeight="false" outlineLevel="0" collapsed="false">
      <c r="A159" s="7" t="s">
        <v>245</v>
      </c>
      <c r="B159" s="9" t="n">
        <v>3</v>
      </c>
      <c r="C159" s="9" t="n">
        <v>3</v>
      </c>
      <c r="D159" s="9" t="n">
        <v>3</v>
      </c>
      <c r="E159" s="9" t="n">
        <v>2</v>
      </c>
      <c r="F159" s="9" t="n">
        <v>3</v>
      </c>
      <c r="G159" s="9" t="n">
        <v>3</v>
      </c>
      <c r="H159" s="9" t="n">
        <v>3</v>
      </c>
      <c r="I159" s="9" t="n">
        <v>3</v>
      </c>
      <c r="J159" s="9" t="n">
        <v>2</v>
      </c>
      <c r="K159" s="9" t="n">
        <v>4</v>
      </c>
      <c r="L159" s="9" t="n">
        <v>3</v>
      </c>
      <c r="M159" s="9" t="n">
        <v>4</v>
      </c>
      <c r="N159" s="9" t="n">
        <v>3</v>
      </c>
      <c r="O159" s="9" t="n">
        <v>3</v>
      </c>
      <c r="P159" s="9" t="n">
        <v>4</v>
      </c>
      <c r="Q159" s="9" t="n">
        <v>5</v>
      </c>
      <c r="R159" s="8" t="n">
        <f aca="false">SUM(B159:Q159)</f>
        <v>51</v>
      </c>
      <c r="S159" s="8" t="str">
        <f aca="false">IF(R159&gt;=5_項目分析!$B$6,"高",IF(R159&lt;=5_項目分析!$B$5,"低",""))</f>
        <v>低</v>
      </c>
      <c r="T159" s="8" t="n">
        <f aca="false">R159-B159</f>
        <v>48</v>
      </c>
      <c r="U159" s="8" t="n">
        <f aca="false">R159-C159</f>
        <v>48</v>
      </c>
      <c r="V159" s="8" t="n">
        <f aca="false">R159-D159</f>
        <v>48</v>
      </c>
      <c r="W159" s="8" t="n">
        <f aca="false">R159-E159</f>
        <v>49</v>
      </c>
      <c r="X159" s="8" t="n">
        <f aca="false">R159-F159</f>
        <v>48</v>
      </c>
      <c r="Y159" s="8" t="n">
        <f aca="false">R159-G159</f>
        <v>48</v>
      </c>
      <c r="Z159" s="8" t="n">
        <f aca="false">R159-H159</f>
        <v>48</v>
      </c>
      <c r="AA159" s="8" t="n">
        <f aca="false">R159-I159</f>
        <v>48</v>
      </c>
      <c r="AB159" s="8" t="n">
        <f aca="false">R159-J159</f>
        <v>49</v>
      </c>
      <c r="AC159" s="8" t="n">
        <f aca="false">R159-K159</f>
        <v>47</v>
      </c>
      <c r="AD159" s="8" t="n">
        <f aca="false">R159-L159</f>
        <v>48</v>
      </c>
      <c r="AE159" s="8" t="n">
        <f aca="false">R159-M159</f>
        <v>47</v>
      </c>
      <c r="AF159" s="8" t="n">
        <f aca="false">R159-N159</f>
        <v>48</v>
      </c>
      <c r="AG159" s="8" t="n">
        <f aca="false">R159-O159</f>
        <v>48</v>
      </c>
      <c r="AH159" s="8" t="n">
        <f aca="false">R159-P159</f>
        <v>47</v>
      </c>
      <c r="AI159" s="8" t="n">
        <f aca="false">R159-Q159</f>
        <v>46</v>
      </c>
    </row>
    <row r="160" customFormat="false" ht="15" hidden="false" customHeight="false" outlineLevel="0" collapsed="false">
      <c r="A160" s="7" t="s">
        <v>246</v>
      </c>
      <c r="B160" s="9" t="n">
        <v>3</v>
      </c>
      <c r="C160" s="9" t="n">
        <v>2</v>
      </c>
      <c r="D160" s="9" t="n">
        <v>3</v>
      </c>
      <c r="E160" s="9" t="n">
        <v>3</v>
      </c>
      <c r="F160" s="9" t="n">
        <v>2</v>
      </c>
      <c r="G160" s="9" t="n">
        <v>5</v>
      </c>
      <c r="H160" s="9" t="n">
        <v>4</v>
      </c>
      <c r="I160" s="9" t="n">
        <v>5</v>
      </c>
      <c r="J160" s="9" t="n">
        <v>5</v>
      </c>
      <c r="K160" s="9" t="n">
        <v>5</v>
      </c>
      <c r="L160" s="9" t="n">
        <v>4</v>
      </c>
      <c r="M160" s="9" t="n">
        <v>4</v>
      </c>
      <c r="N160" s="9" t="n">
        <v>5</v>
      </c>
      <c r="O160" s="9" t="n">
        <v>4</v>
      </c>
      <c r="P160" s="9" t="n">
        <v>4</v>
      </c>
      <c r="Q160" s="9" t="n">
        <v>5</v>
      </c>
      <c r="R160" s="8" t="n">
        <f aca="false">SUM(B160:Q160)</f>
        <v>63</v>
      </c>
      <c r="S160" s="8" t="str">
        <f aca="false">IF(R160&gt;=5_項目分析!$B$6,"高",IF(R160&lt;=5_項目分析!$B$5,"低",""))</f>
        <v/>
      </c>
      <c r="T160" s="8" t="n">
        <f aca="false">R160-B160</f>
        <v>60</v>
      </c>
      <c r="U160" s="8" t="n">
        <f aca="false">R160-C160</f>
        <v>61</v>
      </c>
      <c r="V160" s="8" t="n">
        <f aca="false">R160-D160</f>
        <v>60</v>
      </c>
      <c r="W160" s="8" t="n">
        <f aca="false">R160-E160</f>
        <v>60</v>
      </c>
      <c r="X160" s="8" t="n">
        <f aca="false">R160-F160</f>
        <v>61</v>
      </c>
      <c r="Y160" s="8" t="n">
        <f aca="false">R160-G160</f>
        <v>58</v>
      </c>
      <c r="Z160" s="8" t="n">
        <f aca="false">R160-H160</f>
        <v>59</v>
      </c>
      <c r="AA160" s="8" t="n">
        <f aca="false">R160-I160</f>
        <v>58</v>
      </c>
      <c r="AB160" s="8" t="n">
        <f aca="false">R160-J160</f>
        <v>58</v>
      </c>
      <c r="AC160" s="8" t="n">
        <f aca="false">R160-K160</f>
        <v>58</v>
      </c>
      <c r="AD160" s="8" t="n">
        <f aca="false">R160-L160</f>
        <v>59</v>
      </c>
      <c r="AE160" s="8" t="n">
        <f aca="false">R160-M160</f>
        <v>59</v>
      </c>
      <c r="AF160" s="8" t="n">
        <f aca="false">R160-N160</f>
        <v>58</v>
      </c>
      <c r="AG160" s="8" t="n">
        <f aca="false">R160-O160</f>
        <v>59</v>
      </c>
      <c r="AH160" s="8" t="n">
        <f aca="false">R160-P160</f>
        <v>59</v>
      </c>
      <c r="AI160" s="8" t="n">
        <f aca="false">R160-Q160</f>
        <v>58</v>
      </c>
    </row>
    <row r="161" customFormat="false" ht="15" hidden="false" customHeight="false" outlineLevel="0" collapsed="false">
      <c r="A161" s="7" t="s">
        <v>247</v>
      </c>
      <c r="B161" s="9" t="n">
        <v>5</v>
      </c>
      <c r="C161" s="9" t="n">
        <v>4</v>
      </c>
      <c r="D161" s="9" t="n">
        <v>3</v>
      </c>
      <c r="E161" s="9" t="n">
        <v>4</v>
      </c>
      <c r="F161" s="9" t="n">
        <v>4</v>
      </c>
      <c r="G161" s="9" t="n">
        <v>4</v>
      </c>
      <c r="H161" s="9" t="n">
        <v>4</v>
      </c>
      <c r="I161" s="9" t="n">
        <v>4</v>
      </c>
      <c r="J161" s="9" t="n">
        <v>5</v>
      </c>
      <c r="K161" s="9" t="n">
        <v>4</v>
      </c>
      <c r="L161" s="9" t="n">
        <v>1</v>
      </c>
      <c r="M161" s="9" t="n">
        <v>4</v>
      </c>
      <c r="N161" s="9" t="n">
        <v>4</v>
      </c>
      <c r="O161" s="9" t="n">
        <v>3</v>
      </c>
      <c r="P161" s="9" t="n">
        <v>3</v>
      </c>
      <c r="Q161" s="9" t="n">
        <v>5</v>
      </c>
      <c r="R161" s="8" t="n">
        <f aca="false">SUM(B161:Q161)</f>
        <v>61</v>
      </c>
      <c r="S161" s="8" t="str">
        <f aca="false">IF(R161&gt;=5_項目分析!$B$6,"高",IF(R161&lt;=5_項目分析!$B$5,"低",""))</f>
        <v/>
      </c>
      <c r="T161" s="8" t="n">
        <f aca="false">R161-B161</f>
        <v>56</v>
      </c>
      <c r="U161" s="8" t="n">
        <f aca="false">R161-C161</f>
        <v>57</v>
      </c>
      <c r="V161" s="8" t="n">
        <f aca="false">R161-D161</f>
        <v>58</v>
      </c>
      <c r="W161" s="8" t="n">
        <f aca="false">R161-E161</f>
        <v>57</v>
      </c>
      <c r="X161" s="8" t="n">
        <f aca="false">R161-F161</f>
        <v>57</v>
      </c>
      <c r="Y161" s="8" t="n">
        <f aca="false">R161-G161</f>
        <v>57</v>
      </c>
      <c r="Z161" s="8" t="n">
        <f aca="false">R161-H161</f>
        <v>57</v>
      </c>
      <c r="AA161" s="8" t="n">
        <f aca="false">R161-I161</f>
        <v>57</v>
      </c>
      <c r="AB161" s="8" t="n">
        <f aca="false">R161-J161</f>
        <v>56</v>
      </c>
      <c r="AC161" s="8" t="n">
        <f aca="false">R161-K161</f>
        <v>57</v>
      </c>
      <c r="AD161" s="8" t="n">
        <f aca="false">R161-L161</f>
        <v>60</v>
      </c>
      <c r="AE161" s="8" t="n">
        <f aca="false">R161-M161</f>
        <v>57</v>
      </c>
      <c r="AF161" s="8" t="n">
        <f aca="false">R161-N161</f>
        <v>57</v>
      </c>
      <c r="AG161" s="8" t="n">
        <f aca="false">R161-O161</f>
        <v>58</v>
      </c>
      <c r="AH161" s="8" t="n">
        <f aca="false">R161-P161</f>
        <v>58</v>
      </c>
      <c r="AI161" s="8" t="n">
        <f aca="false">R161-Q161</f>
        <v>56</v>
      </c>
    </row>
    <row r="162" customFormat="false" ht="15" hidden="false" customHeight="false" outlineLevel="0" collapsed="false">
      <c r="A162" s="7" t="s">
        <v>248</v>
      </c>
      <c r="B162" s="9" t="n">
        <v>5</v>
      </c>
      <c r="C162" s="9" t="n">
        <v>5</v>
      </c>
      <c r="D162" s="9" t="n">
        <v>5</v>
      </c>
      <c r="E162" s="9" t="n">
        <v>4</v>
      </c>
      <c r="F162" s="9" t="n">
        <v>5</v>
      </c>
      <c r="G162" s="9" t="n">
        <v>5</v>
      </c>
      <c r="H162" s="9" t="n">
        <v>4</v>
      </c>
      <c r="I162" s="9" t="n">
        <v>5</v>
      </c>
      <c r="J162" s="9" t="n">
        <v>3</v>
      </c>
      <c r="K162" s="9" t="n">
        <v>5</v>
      </c>
      <c r="L162" s="9" t="n">
        <v>5</v>
      </c>
      <c r="M162" s="9" t="n">
        <v>4</v>
      </c>
      <c r="N162" s="9" t="n">
        <v>5</v>
      </c>
      <c r="O162" s="9" t="n">
        <v>5</v>
      </c>
      <c r="P162" s="9" t="n">
        <v>5</v>
      </c>
      <c r="Q162" s="9" t="n">
        <v>5</v>
      </c>
      <c r="R162" s="8" t="n">
        <f aca="false">SUM(B162:Q162)</f>
        <v>75</v>
      </c>
      <c r="S162" s="8" t="str">
        <f aca="false">IF(R162&gt;=5_項目分析!$B$6,"高",IF(R162&lt;=5_項目分析!$B$5,"低",""))</f>
        <v>高</v>
      </c>
      <c r="T162" s="8" t="n">
        <f aca="false">R162-B162</f>
        <v>70</v>
      </c>
      <c r="U162" s="8" t="n">
        <f aca="false">R162-C162</f>
        <v>70</v>
      </c>
      <c r="V162" s="8" t="n">
        <f aca="false">R162-D162</f>
        <v>70</v>
      </c>
      <c r="W162" s="8" t="n">
        <f aca="false">R162-E162</f>
        <v>71</v>
      </c>
      <c r="X162" s="8" t="n">
        <f aca="false">R162-F162</f>
        <v>70</v>
      </c>
      <c r="Y162" s="8" t="n">
        <f aca="false">R162-G162</f>
        <v>70</v>
      </c>
      <c r="Z162" s="8" t="n">
        <f aca="false">R162-H162</f>
        <v>71</v>
      </c>
      <c r="AA162" s="8" t="n">
        <f aca="false">R162-I162</f>
        <v>70</v>
      </c>
      <c r="AB162" s="8" t="n">
        <f aca="false">R162-J162</f>
        <v>72</v>
      </c>
      <c r="AC162" s="8" t="n">
        <f aca="false">R162-K162</f>
        <v>70</v>
      </c>
      <c r="AD162" s="8" t="n">
        <f aca="false">R162-L162</f>
        <v>70</v>
      </c>
      <c r="AE162" s="8" t="n">
        <f aca="false">R162-M162</f>
        <v>71</v>
      </c>
      <c r="AF162" s="8" t="n">
        <f aca="false">R162-N162</f>
        <v>70</v>
      </c>
      <c r="AG162" s="8" t="n">
        <f aca="false">R162-O162</f>
        <v>70</v>
      </c>
      <c r="AH162" s="8" t="n">
        <f aca="false">R162-P162</f>
        <v>70</v>
      </c>
      <c r="AI162" s="8" t="n">
        <f aca="false">R162-Q162</f>
        <v>70</v>
      </c>
    </row>
    <row r="163" customFormat="false" ht="15" hidden="false" customHeight="false" outlineLevel="0" collapsed="false">
      <c r="A163" s="7" t="s">
        <v>249</v>
      </c>
      <c r="B163" s="9" t="n">
        <v>4</v>
      </c>
      <c r="C163" s="9" t="n">
        <v>4</v>
      </c>
      <c r="D163" s="9" t="n">
        <v>4</v>
      </c>
      <c r="E163" s="9" t="n">
        <v>4</v>
      </c>
      <c r="F163" s="9" t="n">
        <v>4</v>
      </c>
      <c r="G163" s="9" t="n">
        <v>4</v>
      </c>
      <c r="H163" s="9" t="n">
        <v>4</v>
      </c>
      <c r="I163" s="9" t="n">
        <v>4</v>
      </c>
      <c r="J163" s="9" t="n">
        <v>4</v>
      </c>
      <c r="K163" s="9" t="n">
        <v>5</v>
      </c>
      <c r="L163" s="9" t="n">
        <v>5</v>
      </c>
      <c r="M163" s="9" t="n">
        <v>5</v>
      </c>
      <c r="N163" s="9" t="n">
        <v>4</v>
      </c>
      <c r="O163" s="9" t="n">
        <v>4</v>
      </c>
      <c r="P163" s="9" t="n">
        <v>4</v>
      </c>
      <c r="Q163" s="9" t="n">
        <v>5</v>
      </c>
      <c r="R163" s="8" t="n">
        <f aca="false">SUM(B163:Q163)</f>
        <v>68</v>
      </c>
      <c r="S163" s="8" t="str">
        <f aca="false">IF(R163&gt;=5_項目分析!$B$6,"高",IF(R163&lt;=5_項目分析!$B$5,"低",""))</f>
        <v>高</v>
      </c>
      <c r="T163" s="8" t="n">
        <f aca="false">R163-B163</f>
        <v>64</v>
      </c>
      <c r="U163" s="8" t="n">
        <f aca="false">R163-C163</f>
        <v>64</v>
      </c>
      <c r="V163" s="8" t="n">
        <f aca="false">R163-D163</f>
        <v>64</v>
      </c>
      <c r="W163" s="8" t="n">
        <f aca="false">R163-E163</f>
        <v>64</v>
      </c>
      <c r="X163" s="8" t="n">
        <f aca="false">R163-F163</f>
        <v>64</v>
      </c>
      <c r="Y163" s="8" t="n">
        <f aca="false">R163-G163</f>
        <v>64</v>
      </c>
      <c r="Z163" s="8" t="n">
        <f aca="false">R163-H163</f>
        <v>64</v>
      </c>
      <c r="AA163" s="8" t="n">
        <f aca="false">R163-I163</f>
        <v>64</v>
      </c>
      <c r="AB163" s="8" t="n">
        <f aca="false">R163-J163</f>
        <v>64</v>
      </c>
      <c r="AC163" s="8" t="n">
        <f aca="false">R163-K163</f>
        <v>63</v>
      </c>
      <c r="AD163" s="8" t="n">
        <f aca="false">R163-L163</f>
        <v>63</v>
      </c>
      <c r="AE163" s="8" t="n">
        <f aca="false">R163-M163</f>
        <v>63</v>
      </c>
      <c r="AF163" s="8" t="n">
        <f aca="false">R163-N163</f>
        <v>64</v>
      </c>
      <c r="AG163" s="8" t="n">
        <f aca="false">R163-O163</f>
        <v>64</v>
      </c>
      <c r="AH163" s="8" t="n">
        <f aca="false">R163-P163</f>
        <v>64</v>
      </c>
      <c r="AI163" s="8" t="n">
        <f aca="false">R163-Q163</f>
        <v>63</v>
      </c>
    </row>
    <row r="164" customFormat="false" ht="15" hidden="false" customHeight="false" outlineLevel="0" collapsed="false">
      <c r="A164" s="7" t="s">
        <v>250</v>
      </c>
      <c r="B164" s="9" t="n">
        <v>5</v>
      </c>
      <c r="C164" s="9" t="n">
        <v>5</v>
      </c>
      <c r="D164" s="9" t="n">
        <v>5</v>
      </c>
      <c r="E164" s="9" t="n">
        <v>4</v>
      </c>
      <c r="F164" s="9" t="n">
        <v>4</v>
      </c>
      <c r="G164" s="9" t="n">
        <v>3</v>
      </c>
      <c r="H164" s="9" t="n">
        <v>2</v>
      </c>
      <c r="I164" s="9" t="n">
        <v>3</v>
      </c>
      <c r="J164" s="9" t="n">
        <v>5</v>
      </c>
      <c r="K164" s="9" t="n">
        <v>3</v>
      </c>
      <c r="L164" s="9" t="n">
        <v>4</v>
      </c>
      <c r="M164" s="9" t="n">
        <v>3</v>
      </c>
      <c r="N164" s="9" t="n">
        <v>4</v>
      </c>
      <c r="O164" s="9" t="n">
        <v>4</v>
      </c>
      <c r="P164" s="9" t="n">
        <v>4</v>
      </c>
      <c r="Q164" s="9" t="n">
        <v>4</v>
      </c>
      <c r="R164" s="8" t="n">
        <f aca="false">SUM(B164:Q164)</f>
        <v>62</v>
      </c>
      <c r="S164" s="8" t="str">
        <f aca="false">IF(R164&gt;=5_項目分析!$B$6,"高",IF(R164&lt;=5_項目分析!$B$5,"低",""))</f>
        <v/>
      </c>
      <c r="T164" s="8" t="n">
        <f aca="false">R164-B164</f>
        <v>57</v>
      </c>
      <c r="U164" s="8" t="n">
        <f aca="false">R164-C164</f>
        <v>57</v>
      </c>
      <c r="V164" s="8" t="n">
        <f aca="false">R164-D164</f>
        <v>57</v>
      </c>
      <c r="W164" s="8" t="n">
        <f aca="false">R164-E164</f>
        <v>58</v>
      </c>
      <c r="X164" s="8" t="n">
        <f aca="false">R164-F164</f>
        <v>58</v>
      </c>
      <c r="Y164" s="8" t="n">
        <f aca="false">R164-G164</f>
        <v>59</v>
      </c>
      <c r="Z164" s="8" t="n">
        <f aca="false">R164-H164</f>
        <v>60</v>
      </c>
      <c r="AA164" s="8" t="n">
        <f aca="false">R164-I164</f>
        <v>59</v>
      </c>
      <c r="AB164" s="8" t="n">
        <f aca="false">R164-J164</f>
        <v>57</v>
      </c>
      <c r="AC164" s="8" t="n">
        <f aca="false">R164-K164</f>
        <v>59</v>
      </c>
      <c r="AD164" s="8" t="n">
        <f aca="false">R164-L164</f>
        <v>58</v>
      </c>
      <c r="AE164" s="8" t="n">
        <f aca="false">R164-M164</f>
        <v>59</v>
      </c>
      <c r="AF164" s="8" t="n">
        <f aca="false">R164-N164</f>
        <v>58</v>
      </c>
      <c r="AG164" s="8" t="n">
        <f aca="false">R164-O164</f>
        <v>58</v>
      </c>
      <c r="AH164" s="8" t="n">
        <f aca="false">R164-P164</f>
        <v>58</v>
      </c>
      <c r="AI164" s="8" t="n">
        <f aca="false">R164-Q164</f>
        <v>58</v>
      </c>
    </row>
    <row r="165" customFormat="false" ht="15" hidden="false" customHeight="false" outlineLevel="0" collapsed="false">
      <c r="A165" s="7" t="s">
        <v>251</v>
      </c>
      <c r="B165" s="9" t="n">
        <v>3</v>
      </c>
      <c r="C165" s="9" t="n">
        <v>4</v>
      </c>
      <c r="D165" s="9" t="n">
        <v>4</v>
      </c>
      <c r="E165" s="9" t="n">
        <v>5</v>
      </c>
      <c r="F165" s="9" t="n">
        <v>4</v>
      </c>
      <c r="G165" s="9" t="n">
        <v>3</v>
      </c>
      <c r="H165" s="9" t="n">
        <v>4</v>
      </c>
      <c r="I165" s="9" t="n">
        <v>4</v>
      </c>
      <c r="J165" s="9" t="n">
        <v>4</v>
      </c>
      <c r="K165" s="9" t="n">
        <v>3</v>
      </c>
      <c r="L165" s="9" t="n">
        <v>3</v>
      </c>
      <c r="M165" s="9" t="n">
        <v>2</v>
      </c>
      <c r="N165" s="9" t="n">
        <v>2</v>
      </c>
      <c r="O165" s="9" t="n">
        <v>3</v>
      </c>
      <c r="P165" s="9" t="n">
        <v>1</v>
      </c>
      <c r="Q165" s="9" t="n">
        <v>5</v>
      </c>
      <c r="R165" s="8" t="n">
        <f aca="false">SUM(B165:Q165)</f>
        <v>54</v>
      </c>
      <c r="S165" s="8" t="str">
        <f aca="false">IF(R165&gt;=5_項目分析!$B$6,"高",IF(R165&lt;=5_項目分析!$B$5,"低",""))</f>
        <v>低</v>
      </c>
      <c r="T165" s="8" t="n">
        <f aca="false">R165-B165</f>
        <v>51</v>
      </c>
      <c r="U165" s="8" t="n">
        <f aca="false">R165-C165</f>
        <v>50</v>
      </c>
      <c r="V165" s="8" t="n">
        <f aca="false">R165-D165</f>
        <v>50</v>
      </c>
      <c r="W165" s="8" t="n">
        <f aca="false">R165-E165</f>
        <v>49</v>
      </c>
      <c r="X165" s="8" t="n">
        <f aca="false">R165-F165</f>
        <v>50</v>
      </c>
      <c r="Y165" s="8" t="n">
        <f aca="false">R165-G165</f>
        <v>51</v>
      </c>
      <c r="Z165" s="8" t="n">
        <f aca="false">R165-H165</f>
        <v>50</v>
      </c>
      <c r="AA165" s="8" t="n">
        <f aca="false">R165-I165</f>
        <v>50</v>
      </c>
      <c r="AB165" s="8" t="n">
        <f aca="false">R165-J165</f>
        <v>50</v>
      </c>
      <c r="AC165" s="8" t="n">
        <f aca="false">R165-K165</f>
        <v>51</v>
      </c>
      <c r="AD165" s="8" t="n">
        <f aca="false">R165-L165</f>
        <v>51</v>
      </c>
      <c r="AE165" s="8" t="n">
        <f aca="false">R165-M165</f>
        <v>52</v>
      </c>
      <c r="AF165" s="8" t="n">
        <f aca="false">R165-N165</f>
        <v>52</v>
      </c>
      <c r="AG165" s="8" t="n">
        <f aca="false">R165-O165</f>
        <v>51</v>
      </c>
      <c r="AH165" s="8" t="n">
        <f aca="false">R165-P165</f>
        <v>53</v>
      </c>
      <c r="AI165" s="8" t="n">
        <f aca="false">R165-Q165</f>
        <v>49</v>
      </c>
    </row>
    <row r="166" customFormat="false" ht="15" hidden="false" customHeight="false" outlineLevel="0" collapsed="false">
      <c r="A166" s="7" t="s">
        <v>252</v>
      </c>
      <c r="B166" s="9" t="n">
        <v>5</v>
      </c>
      <c r="C166" s="9" t="n">
        <v>5</v>
      </c>
      <c r="D166" s="9" t="n">
        <v>5</v>
      </c>
      <c r="E166" s="9" t="n">
        <v>4</v>
      </c>
      <c r="F166" s="9" t="n">
        <v>4</v>
      </c>
      <c r="G166" s="9" t="n">
        <v>3</v>
      </c>
      <c r="H166" s="9" t="n">
        <v>4</v>
      </c>
      <c r="I166" s="9" t="n">
        <v>3</v>
      </c>
      <c r="J166" s="9" t="n">
        <v>3</v>
      </c>
      <c r="K166" s="9" t="n">
        <v>4</v>
      </c>
      <c r="L166" s="9" t="n">
        <v>4</v>
      </c>
      <c r="M166" s="9" t="n">
        <v>5</v>
      </c>
      <c r="N166" s="9" t="n">
        <v>4</v>
      </c>
      <c r="O166" s="9" t="n">
        <v>5</v>
      </c>
      <c r="P166" s="9" t="n">
        <v>5</v>
      </c>
      <c r="Q166" s="9" t="n">
        <v>5</v>
      </c>
      <c r="R166" s="8" t="n">
        <f aca="false">SUM(B166:Q166)</f>
        <v>68</v>
      </c>
      <c r="S166" s="8" t="str">
        <f aca="false">IF(R166&gt;=5_項目分析!$B$6,"高",IF(R166&lt;=5_項目分析!$B$5,"低",""))</f>
        <v>高</v>
      </c>
      <c r="T166" s="8" t="n">
        <f aca="false">R166-B166</f>
        <v>63</v>
      </c>
      <c r="U166" s="8" t="n">
        <f aca="false">R166-C166</f>
        <v>63</v>
      </c>
      <c r="V166" s="8" t="n">
        <f aca="false">R166-D166</f>
        <v>63</v>
      </c>
      <c r="W166" s="8" t="n">
        <f aca="false">R166-E166</f>
        <v>64</v>
      </c>
      <c r="X166" s="8" t="n">
        <f aca="false">R166-F166</f>
        <v>64</v>
      </c>
      <c r="Y166" s="8" t="n">
        <f aca="false">R166-G166</f>
        <v>65</v>
      </c>
      <c r="Z166" s="8" t="n">
        <f aca="false">R166-H166</f>
        <v>64</v>
      </c>
      <c r="AA166" s="8" t="n">
        <f aca="false">R166-I166</f>
        <v>65</v>
      </c>
      <c r="AB166" s="8" t="n">
        <f aca="false">R166-J166</f>
        <v>65</v>
      </c>
      <c r="AC166" s="8" t="n">
        <f aca="false">R166-K166</f>
        <v>64</v>
      </c>
      <c r="AD166" s="8" t="n">
        <f aca="false">R166-L166</f>
        <v>64</v>
      </c>
      <c r="AE166" s="8" t="n">
        <f aca="false">R166-M166</f>
        <v>63</v>
      </c>
      <c r="AF166" s="8" t="n">
        <f aca="false">R166-N166</f>
        <v>64</v>
      </c>
      <c r="AG166" s="8" t="n">
        <f aca="false">R166-O166</f>
        <v>63</v>
      </c>
      <c r="AH166" s="8" t="n">
        <f aca="false">R166-P166</f>
        <v>63</v>
      </c>
      <c r="AI166" s="8" t="n">
        <f aca="false">R166-Q166</f>
        <v>63</v>
      </c>
    </row>
    <row r="167" customFormat="false" ht="15" hidden="false" customHeight="false" outlineLevel="0" collapsed="false">
      <c r="A167" s="7" t="s">
        <v>253</v>
      </c>
      <c r="B167" s="9" t="n">
        <v>5</v>
      </c>
      <c r="C167" s="9" t="n">
        <v>5</v>
      </c>
      <c r="D167" s="9" t="n">
        <v>5</v>
      </c>
      <c r="E167" s="9" t="n">
        <v>5</v>
      </c>
      <c r="F167" s="9" t="n">
        <v>5</v>
      </c>
      <c r="G167" s="9" t="n">
        <v>3</v>
      </c>
      <c r="H167" s="9" t="n">
        <v>4</v>
      </c>
      <c r="I167" s="9" t="n">
        <v>4</v>
      </c>
      <c r="J167" s="9" t="n">
        <v>3</v>
      </c>
      <c r="K167" s="9" t="n">
        <v>4</v>
      </c>
      <c r="L167" s="9" t="n">
        <v>5</v>
      </c>
      <c r="M167" s="9" t="n">
        <v>4</v>
      </c>
      <c r="N167" s="9" t="n">
        <v>5</v>
      </c>
      <c r="O167" s="9" t="n">
        <v>5</v>
      </c>
      <c r="P167" s="9" t="n">
        <v>4</v>
      </c>
      <c r="Q167" s="9" t="n">
        <v>5</v>
      </c>
      <c r="R167" s="8" t="n">
        <f aca="false">SUM(B167:Q167)</f>
        <v>71</v>
      </c>
      <c r="S167" s="8" t="str">
        <f aca="false">IF(R167&gt;=5_項目分析!$B$6,"高",IF(R167&lt;=5_項目分析!$B$5,"低",""))</f>
        <v>高</v>
      </c>
      <c r="T167" s="8" t="n">
        <f aca="false">R167-B167</f>
        <v>66</v>
      </c>
      <c r="U167" s="8" t="n">
        <f aca="false">R167-C167</f>
        <v>66</v>
      </c>
      <c r="V167" s="8" t="n">
        <f aca="false">R167-D167</f>
        <v>66</v>
      </c>
      <c r="W167" s="8" t="n">
        <f aca="false">R167-E167</f>
        <v>66</v>
      </c>
      <c r="X167" s="8" t="n">
        <f aca="false">R167-F167</f>
        <v>66</v>
      </c>
      <c r="Y167" s="8" t="n">
        <f aca="false">R167-G167</f>
        <v>68</v>
      </c>
      <c r="Z167" s="8" t="n">
        <f aca="false">R167-H167</f>
        <v>67</v>
      </c>
      <c r="AA167" s="8" t="n">
        <f aca="false">R167-I167</f>
        <v>67</v>
      </c>
      <c r="AB167" s="8" t="n">
        <f aca="false">R167-J167</f>
        <v>68</v>
      </c>
      <c r="AC167" s="8" t="n">
        <f aca="false">R167-K167</f>
        <v>67</v>
      </c>
      <c r="AD167" s="8" t="n">
        <f aca="false">R167-L167</f>
        <v>66</v>
      </c>
      <c r="AE167" s="8" t="n">
        <f aca="false">R167-M167</f>
        <v>67</v>
      </c>
      <c r="AF167" s="8" t="n">
        <f aca="false">R167-N167</f>
        <v>66</v>
      </c>
      <c r="AG167" s="8" t="n">
        <f aca="false">R167-O167</f>
        <v>66</v>
      </c>
      <c r="AH167" s="8" t="n">
        <f aca="false">R167-P167</f>
        <v>67</v>
      </c>
      <c r="AI167" s="8" t="n">
        <f aca="false">R167-Q167</f>
        <v>66</v>
      </c>
    </row>
    <row r="168" customFormat="false" ht="15" hidden="false" customHeight="false" outlineLevel="0" collapsed="false">
      <c r="A168" s="7" t="s">
        <v>254</v>
      </c>
      <c r="B168" s="9" t="n">
        <v>5</v>
      </c>
      <c r="C168" s="9" t="n">
        <v>5</v>
      </c>
      <c r="D168" s="9" t="n">
        <v>5</v>
      </c>
      <c r="E168" s="9" t="n">
        <v>5</v>
      </c>
      <c r="F168" s="9" t="n">
        <v>5</v>
      </c>
      <c r="G168" s="9" t="n">
        <v>3</v>
      </c>
      <c r="H168" s="9" t="n">
        <v>2</v>
      </c>
      <c r="I168" s="9" t="n">
        <v>2</v>
      </c>
      <c r="J168" s="9" t="n">
        <v>4</v>
      </c>
      <c r="K168" s="9" t="n">
        <v>3</v>
      </c>
      <c r="L168" s="9" t="n">
        <v>4</v>
      </c>
      <c r="M168" s="9" t="n">
        <v>4</v>
      </c>
      <c r="N168" s="9" t="n">
        <v>4</v>
      </c>
      <c r="O168" s="9" t="n">
        <v>4</v>
      </c>
      <c r="P168" s="9" t="n">
        <v>3</v>
      </c>
      <c r="Q168" s="9" t="n">
        <v>5</v>
      </c>
      <c r="R168" s="8" t="n">
        <f aca="false">SUM(B168:Q168)</f>
        <v>63</v>
      </c>
      <c r="S168" s="8" t="str">
        <f aca="false">IF(R168&gt;=5_項目分析!$B$6,"高",IF(R168&lt;=5_項目分析!$B$5,"低",""))</f>
        <v/>
      </c>
      <c r="T168" s="8" t="n">
        <f aca="false">R168-B168</f>
        <v>58</v>
      </c>
      <c r="U168" s="8" t="n">
        <f aca="false">R168-C168</f>
        <v>58</v>
      </c>
      <c r="V168" s="8" t="n">
        <f aca="false">R168-D168</f>
        <v>58</v>
      </c>
      <c r="W168" s="8" t="n">
        <f aca="false">R168-E168</f>
        <v>58</v>
      </c>
      <c r="X168" s="8" t="n">
        <f aca="false">R168-F168</f>
        <v>58</v>
      </c>
      <c r="Y168" s="8" t="n">
        <f aca="false">R168-G168</f>
        <v>60</v>
      </c>
      <c r="Z168" s="8" t="n">
        <f aca="false">R168-H168</f>
        <v>61</v>
      </c>
      <c r="AA168" s="8" t="n">
        <f aca="false">R168-I168</f>
        <v>61</v>
      </c>
      <c r="AB168" s="8" t="n">
        <f aca="false">R168-J168</f>
        <v>59</v>
      </c>
      <c r="AC168" s="8" t="n">
        <f aca="false">R168-K168</f>
        <v>60</v>
      </c>
      <c r="AD168" s="8" t="n">
        <f aca="false">R168-L168</f>
        <v>59</v>
      </c>
      <c r="AE168" s="8" t="n">
        <f aca="false">R168-M168</f>
        <v>59</v>
      </c>
      <c r="AF168" s="8" t="n">
        <f aca="false">R168-N168</f>
        <v>59</v>
      </c>
      <c r="AG168" s="8" t="n">
        <f aca="false">R168-O168</f>
        <v>59</v>
      </c>
      <c r="AH168" s="8" t="n">
        <f aca="false">R168-P168</f>
        <v>60</v>
      </c>
      <c r="AI168" s="8" t="n">
        <f aca="false">R168-Q168</f>
        <v>58</v>
      </c>
    </row>
    <row r="169" customFormat="false" ht="15" hidden="false" customHeight="false" outlineLevel="0" collapsed="false">
      <c r="A169" s="7" t="s">
        <v>255</v>
      </c>
      <c r="B169" s="9" t="n">
        <v>4</v>
      </c>
      <c r="C169" s="9" t="n">
        <v>4</v>
      </c>
      <c r="D169" s="9" t="n">
        <v>4</v>
      </c>
      <c r="E169" s="9" t="n">
        <v>4</v>
      </c>
      <c r="F169" s="9" t="n">
        <v>4</v>
      </c>
      <c r="G169" s="9" t="n">
        <v>4</v>
      </c>
      <c r="H169" s="9" t="n">
        <v>3</v>
      </c>
      <c r="I169" s="9" t="n">
        <v>4</v>
      </c>
      <c r="J169" s="9" t="n">
        <v>4</v>
      </c>
      <c r="K169" s="9" t="n">
        <v>5</v>
      </c>
      <c r="L169" s="9" t="n">
        <v>4</v>
      </c>
      <c r="M169" s="9" t="n">
        <v>5</v>
      </c>
      <c r="N169" s="9" t="n">
        <v>4</v>
      </c>
      <c r="O169" s="9" t="n">
        <v>4</v>
      </c>
      <c r="P169" s="9" t="n">
        <v>4</v>
      </c>
      <c r="Q169" s="9" t="n">
        <v>5</v>
      </c>
      <c r="R169" s="8" t="n">
        <f aca="false">SUM(B169:Q169)</f>
        <v>66</v>
      </c>
      <c r="S169" s="8" t="str">
        <f aca="false">IF(R169&gt;=5_項目分析!$B$6,"高",IF(R169&lt;=5_項目分析!$B$5,"低",""))</f>
        <v>高</v>
      </c>
      <c r="T169" s="8" t="n">
        <f aca="false">R169-B169</f>
        <v>62</v>
      </c>
      <c r="U169" s="8" t="n">
        <f aca="false">R169-C169</f>
        <v>62</v>
      </c>
      <c r="V169" s="8" t="n">
        <f aca="false">R169-D169</f>
        <v>62</v>
      </c>
      <c r="W169" s="8" t="n">
        <f aca="false">R169-E169</f>
        <v>62</v>
      </c>
      <c r="X169" s="8" t="n">
        <f aca="false">R169-F169</f>
        <v>62</v>
      </c>
      <c r="Y169" s="8" t="n">
        <f aca="false">R169-G169</f>
        <v>62</v>
      </c>
      <c r="Z169" s="8" t="n">
        <f aca="false">R169-H169</f>
        <v>63</v>
      </c>
      <c r="AA169" s="8" t="n">
        <f aca="false">R169-I169</f>
        <v>62</v>
      </c>
      <c r="AB169" s="8" t="n">
        <f aca="false">R169-J169</f>
        <v>62</v>
      </c>
      <c r="AC169" s="8" t="n">
        <f aca="false">R169-K169</f>
        <v>61</v>
      </c>
      <c r="AD169" s="8" t="n">
        <f aca="false">R169-L169</f>
        <v>62</v>
      </c>
      <c r="AE169" s="8" t="n">
        <f aca="false">R169-M169</f>
        <v>61</v>
      </c>
      <c r="AF169" s="8" t="n">
        <f aca="false">R169-N169</f>
        <v>62</v>
      </c>
      <c r="AG169" s="8" t="n">
        <f aca="false">R169-O169</f>
        <v>62</v>
      </c>
      <c r="AH169" s="8" t="n">
        <f aca="false">R169-P169</f>
        <v>62</v>
      </c>
      <c r="AI169" s="8" t="n">
        <f aca="false">R169-Q169</f>
        <v>61</v>
      </c>
    </row>
    <row r="170" customFormat="false" ht="15" hidden="false" customHeight="false" outlineLevel="0" collapsed="false">
      <c r="A170" s="7" t="s">
        <v>256</v>
      </c>
      <c r="B170" s="9" t="n">
        <v>4</v>
      </c>
      <c r="C170" s="9" t="n">
        <v>4</v>
      </c>
      <c r="D170" s="9" t="n">
        <v>4</v>
      </c>
      <c r="E170" s="9" t="n">
        <v>4</v>
      </c>
      <c r="F170" s="9" t="n">
        <v>4</v>
      </c>
      <c r="G170" s="9" t="n">
        <v>3</v>
      </c>
      <c r="H170" s="9" t="n">
        <v>4</v>
      </c>
      <c r="I170" s="9" t="n">
        <v>4</v>
      </c>
      <c r="J170" s="9" t="n">
        <v>4</v>
      </c>
      <c r="K170" s="9" t="n">
        <v>3</v>
      </c>
      <c r="L170" s="9" t="n">
        <v>3</v>
      </c>
      <c r="M170" s="9" t="n">
        <v>3</v>
      </c>
      <c r="N170" s="9" t="n">
        <v>3</v>
      </c>
      <c r="O170" s="9" t="n">
        <v>5</v>
      </c>
      <c r="P170" s="9" t="n">
        <v>3</v>
      </c>
      <c r="Q170" s="9" t="n">
        <v>4</v>
      </c>
      <c r="R170" s="8" t="n">
        <f aca="false">SUM(B170:Q170)</f>
        <v>59</v>
      </c>
      <c r="S170" s="8" t="str">
        <f aca="false">IF(R170&gt;=5_項目分析!$B$6,"高",IF(R170&lt;=5_項目分析!$B$5,"低",""))</f>
        <v/>
      </c>
      <c r="T170" s="8" t="n">
        <f aca="false">R170-B170</f>
        <v>55</v>
      </c>
      <c r="U170" s="8" t="n">
        <f aca="false">R170-C170</f>
        <v>55</v>
      </c>
      <c r="V170" s="8" t="n">
        <f aca="false">R170-D170</f>
        <v>55</v>
      </c>
      <c r="W170" s="8" t="n">
        <f aca="false">R170-E170</f>
        <v>55</v>
      </c>
      <c r="X170" s="8" t="n">
        <f aca="false">R170-F170</f>
        <v>55</v>
      </c>
      <c r="Y170" s="8" t="n">
        <f aca="false">R170-G170</f>
        <v>56</v>
      </c>
      <c r="Z170" s="8" t="n">
        <f aca="false">R170-H170</f>
        <v>55</v>
      </c>
      <c r="AA170" s="8" t="n">
        <f aca="false">R170-I170</f>
        <v>55</v>
      </c>
      <c r="AB170" s="8" t="n">
        <f aca="false">R170-J170</f>
        <v>55</v>
      </c>
      <c r="AC170" s="8" t="n">
        <f aca="false">R170-K170</f>
        <v>56</v>
      </c>
      <c r="AD170" s="8" t="n">
        <f aca="false">R170-L170</f>
        <v>56</v>
      </c>
      <c r="AE170" s="8" t="n">
        <f aca="false">R170-M170</f>
        <v>56</v>
      </c>
      <c r="AF170" s="8" t="n">
        <f aca="false">R170-N170</f>
        <v>56</v>
      </c>
      <c r="AG170" s="8" t="n">
        <f aca="false">R170-O170</f>
        <v>54</v>
      </c>
      <c r="AH170" s="8" t="n">
        <f aca="false">R170-P170</f>
        <v>56</v>
      </c>
      <c r="AI170" s="8" t="n">
        <f aca="false">R170-Q170</f>
        <v>55</v>
      </c>
    </row>
    <row r="171" customFormat="false" ht="15" hidden="false" customHeight="false" outlineLevel="0" collapsed="false">
      <c r="A171" s="7" t="s">
        <v>257</v>
      </c>
      <c r="B171" s="9" t="n">
        <v>3</v>
      </c>
      <c r="C171" s="9" t="n">
        <v>3</v>
      </c>
      <c r="D171" s="9" t="n">
        <v>3</v>
      </c>
      <c r="E171" s="9" t="n">
        <v>4</v>
      </c>
      <c r="F171" s="9" t="n">
        <v>4</v>
      </c>
      <c r="G171" s="9" t="n">
        <v>1</v>
      </c>
      <c r="H171" s="9" t="n">
        <v>2</v>
      </c>
      <c r="I171" s="9" t="n">
        <v>2</v>
      </c>
      <c r="J171" s="9" t="n">
        <v>2</v>
      </c>
      <c r="K171" s="9" t="n">
        <v>1</v>
      </c>
      <c r="L171" s="9" t="n">
        <v>4</v>
      </c>
      <c r="M171" s="9" t="n">
        <v>4</v>
      </c>
      <c r="N171" s="9" t="n">
        <v>4</v>
      </c>
      <c r="O171" s="9" t="n">
        <v>3</v>
      </c>
      <c r="P171" s="9" t="n">
        <v>3</v>
      </c>
      <c r="Q171" s="9" t="n">
        <v>5</v>
      </c>
      <c r="R171" s="8" t="n">
        <f aca="false">SUM(B171:Q171)</f>
        <v>48</v>
      </c>
      <c r="S171" s="8" t="str">
        <f aca="false">IF(R171&gt;=5_項目分析!$B$6,"高",IF(R171&lt;=5_項目分析!$B$5,"低",""))</f>
        <v>低</v>
      </c>
      <c r="T171" s="8" t="n">
        <f aca="false">R171-B171</f>
        <v>45</v>
      </c>
      <c r="U171" s="8" t="n">
        <f aca="false">R171-C171</f>
        <v>45</v>
      </c>
      <c r="V171" s="8" t="n">
        <f aca="false">R171-D171</f>
        <v>45</v>
      </c>
      <c r="W171" s="8" t="n">
        <f aca="false">R171-E171</f>
        <v>44</v>
      </c>
      <c r="X171" s="8" t="n">
        <f aca="false">R171-F171</f>
        <v>44</v>
      </c>
      <c r="Y171" s="8" t="n">
        <f aca="false">R171-G171</f>
        <v>47</v>
      </c>
      <c r="Z171" s="8" t="n">
        <f aca="false">R171-H171</f>
        <v>46</v>
      </c>
      <c r="AA171" s="8" t="n">
        <f aca="false">R171-I171</f>
        <v>46</v>
      </c>
      <c r="AB171" s="8" t="n">
        <f aca="false">R171-J171</f>
        <v>46</v>
      </c>
      <c r="AC171" s="8" t="n">
        <f aca="false">R171-K171</f>
        <v>47</v>
      </c>
      <c r="AD171" s="8" t="n">
        <f aca="false">R171-L171</f>
        <v>44</v>
      </c>
      <c r="AE171" s="8" t="n">
        <f aca="false">R171-M171</f>
        <v>44</v>
      </c>
      <c r="AF171" s="8" t="n">
        <f aca="false">R171-N171</f>
        <v>44</v>
      </c>
      <c r="AG171" s="8" t="n">
        <f aca="false">R171-O171</f>
        <v>45</v>
      </c>
      <c r="AH171" s="8" t="n">
        <f aca="false">R171-P171</f>
        <v>45</v>
      </c>
      <c r="AI171" s="8" t="n">
        <f aca="false">R171-Q171</f>
        <v>43</v>
      </c>
    </row>
    <row r="172" customFormat="false" ht="15" hidden="false" customHeight="false" outlineLevel="0" collapsed="false">
      <c r="A172" s="7" t="s">
        <v>258</v>
      </c>
      <c r="B172" s="9" t="n">
        <v>4</v>
      </c>
      <c r="C172" s="9" t="n">
        <v>3</v>
      </c>
      <c r="D172" s="9" t="n">
        <v>4</v>
      </c>
      <c r="E172" s="9" t="n">
        <v>5</v>
      </c>
      <c r="F172" s="9" t="n">
        <v>3</v>
      </c>
      <c r="G172" s="9" t="n">
        <v>4</v>
      </c>
      <c r="H172" s="9" t="n">
        <v>3</v>
      </c>
      <c r="I172" s="9" t="n">
        <v>5</v>
      </c>
      <c r="J172" s="9" t="n">
        <v>1</v>
      </c>
      <c r="K172" s="9" t="n">
        <v>4</v>
      </c>
      <c r="L172" s="9" t="n">
        <v>4</v>
      </c>
      <c r="M172" s="9" t="n">
        <v>3</v>
      </c>
      <c r="N172" s="9" t="n">
        <v>3</v>
      </c>
      <c r="O172" s="9" t="n">
        <v>4</v>
      </c>
      <c r="P172" s="9" t="n">
        <v>4</v>
      </c>
      <c r="Q172" s="9" t="n">
        <v>5</v>
      </c>
      <c r="R172" s="8" t="n">
        <f aca="false">SUM(B172:Q172)</f>
        <v>59</v>
      </c>
      <c r="S172" s="8" t="str">
        <f aca="false">IF(R172&gt;=5_項目分析!$B$6,"高",IF(R172&lt;=5_項目分析!$B$5,"低",""))</f>
        <v/>
      </c>
      <c r="T172" s="8" t="n">
        <f aca="false">R172-B172</f>
        <v>55</v>
      </c>
      <c r="U172" s="8" t="n">
        <f aca="false">R172-C172</f>
        <v>56</v>
      </c>
      <c r="V172" s="8" t="n">
        <f aca="false">R172-D172</f>
        <v>55</v>
      </c>
      <c r="W172" s="8" t="n">
        <f aca="false">R172-E172</f>
        <v>54</v>
      </c>
      <c r="X172" s="8" t="n">
        <f aca="false">R172-F172</f>
        <v>56</v>
      </c>
      <c r="Y172" s="8" t="n">
        <f aca="false">R172-G172</f>
        <v>55</v>
      </c>
      <c r="Z172" s="8" t="n">
        <f aca="false">R172-H172</f>
        <v>56</v>
      </c>
      <c r="AA172" s="8" t="n">
        <f aca="false">R172-I172</f>
        <v>54</v>
      </c>
      <c r="AB172" s="8" t="n">
        <f aca="false">R172-J172</f>
        <v>58</v>
      </c>
      <c r="AC172" s="8" t="n">
        <f aca="false">R172-K172</f>
        <v>55</v>
      </c>
      <c r="AD172" s="8" t="n">
        <f aca="false">R172-L172</f>
        <v>55</v>
      </c>
      <c r="AE172" s="8" t="n">
        <f aca="false">R172-M172</f>
        <v>56</v>
      </c>
      <c r="AF172" s="8" t="n">
        <f aca="false">R172-N172</f>
        <v>56</v>
      </c>
      <c r="AG172" s="8" t="n">
        <f aca="false">R172-O172</f>
        <v>55</v>
      </c>
      <c r="AH172" s="8" t="n">
        <f aca="false">R172-P172</f>
        <v>55</v>
      </c>
      <c r="AI172" s="8" t="n">
        <f aca="false">R172-Q172</f>
        <v>54</v>
      </c>
    </row>
    <row r="173" customFormat="false" ht="15" hidden="false" customHeight="false" outlineLevel="0" collapsed="false">
      <c r="A173" s="7" t="s">
        <v>259</v>
      </c>
      <c r="B173" s="9" t="n">
        <v>4</v>
      </c>
      <c r="C173" s="9" t="n">
        <v>4</v>
      </c>
      <c r="D173" s="9" t="n">
        <v>5</v>
      </c>
      <c r="E173" s="9" t="n">
        <v>5</v>
      </c>
      <c r="F173" s="9" t="n">
        <v>4</v>
      </c>
      <c r="G173" s="9" t="n">
        <v>3</v>
      </c>
      <c r="H173" s="9" t="n">
        <v>4</v>
      </c>
      <c r="I173" s="9" t="n">
        <v>3</v>
      </c>
      <c r="J173" s="9" t="n">
        <v>2</v>
      </c>
      <c r="K173" s="9" t="n">
        <v>2</v>
      </c>
      <c r="L173" s="9" t="n">
        <v>4</v>
      </c>
      <c r="M173" s="9" t="n">
        <v>4</v>
      </c>
      <c r="N173" s="9" t="n">
        <v>5</v>
      </c>
      <c r="O173" s="9" t="n">
        <v>3</v>
      </c>
      <c r="P173" s="9" t="n">
        <v>4</v>
      </c>
      <c r="Q173" s="9" t="n">
        <v>5</v>
      </c>
      <c r="R173" s="8" t="n">
        <f aca="false">SUM(B173:Q173)</f>
        <v>61</v>
      </c>
      <c r="S173" s="8" t="str">
        <f aca="false">IF(R173&gt;=5_項目分析!$B$6,"高",IF(R173&lt;=5_項目分析!$B$5,"低",""))</f>
        <v/>
      </c>
      <c r="T173" s="8" t="n">
        <f aca="false">R173-B173</f>
        <v>57</v>
      </c>
      <c r="U173" s="8" t="n">
        <f aca="false">R173-C173</f>
        <v>57</v>
      </c>
      <c r="V173" s="8" t="n">
        <f aca="false">R173-D173</f>
        <v>56</v>
      </c>
      <c r="W173" s="8" t="n">
        <f aca="false">R173-E173</f>
        <v>56</v>
      </c>
      <c r="X173" s="8" t="n">
        <f aca="false">R173-F173</f>
        <v>57</v>
      </c>
      <c r="Y173" s="8" t="n">
        <f aca="false">R173-G173</f>
        <v>58</v>
      </c>
      <c r="Z173" s="8" t="n">
        <f aca="false">R173-H173</f>
        <v>57</v>
      </c>
      <c r="AA173" s="8" t="n">
        <f aca="false">R173-I173</f>
        <v>58</v>
      </c>
      <c r="AB173" s="8" t="n">
        <f aca="false">R173-J173</f>
        <v>59</v>
      </c>
      <c r="AC173" s="8" t="n">
        <f aca="false">R173-K173</f>
        <v>59</v>
      </c>
      <c r="AD173" s="8" t="n">
        <f aca="false">R173-L173</f>
        <v>57</v>
      </c>
      <c r="AE173" s="8" t="n">
        <f aca="false">R173-M173</f>
        <v>57</v>
      </c>
      <c r="AF173" s="8" t="n">
        <f aca="false">R173-N173</f>
        <v>56</v>
      </c>
      <c r="AG173" s="8" t="n">
        <f aca="false">R173-O173</f>
        <v>58</v>
      </c>
      <c r="AH173" s="8" t="n">
        <f aca="false">R173-P173</f>
        <v>57</v>
      </c>
      <c r="AI173" s="8" t="n">
        <f aca="false">R173-Q173</f>
        <v>56</v>
      </c>
    </row>
    <row r="174" customFormat="false" ht="15" hidden="false" customHeight="false" outlineLevel="0" collapsed="false">
      <c r="A174" s="7" t="s">
        <v>260</v>
      </c>
      <c r="B174" s="9" t="n">
        <v>1</v>
      </c>
      <c r="C174" s="9" t="n">
        <v>2</v>
      </c>
      <c r="D174" s="9" t="n">
        <v>2</v>
      </c>
      <c r="E174" s="9" t="n">
        <v>4</v>
      </c>
      <c r="F174" s="9" t="n">
        <v>3</v>
      </c>
      <c r="G174" s="9" t="n">
        <v>4</v>
      </c>
      <c r="H174" s="9" t="n">
        <v>4</v>
      </c>
      <c r="I174" s="9" t="n">
        <v>5</v>
      </c>
      <c r="J174" s="9" t="n">
        <v>3</v>
      </c>
      <c r="K174" s="9" t="n">
        <v>4</v>
      </c>
      <c r="L174" s="9" t="n">
        <v>5</v>
      </c>
      <c r="M174" s="9" t="n">
        <v>5</v>
      </c>
      <c r="N174" s="9" t="n">
        <v>5</v>
      </c>
      <c r="O174" s="9" t="n">
        <v>5</v>
      </c>
      <c r="P174" s="9" t="n">
        <v>4</v>
      </c>
      <c r="Q174" s="9" t="n">
        <v>5</v>
      </c>
      <c r="R174" s="8" t="n">
        <f aca="false">SUM(B174:Q174)</f>
        <v>61</v>
      </c>
      <c r="S174" s="8" t="str">
        <f aca="false">IF(R174&gt;=5_項目分析!$B$6,"高",IF(R174&lt;=5_項目分析!$B$5,"低",""))</f>
        <v/>
      </c>
      <c r="T174" s="8" t="n">
        <f aca="false">R174-B174</f>
        <v>60</v>
      </c>
      <c r="U174" s="8" t="n">
        <f aca="false">R174-C174</f>
        <v>59</v>
      </c>
      <c r="V174" s="8" t="n">
        <f aca="false">R174-D174</f>
        <v>59</v>
      </c>
      <c r="W174" s="8" t="n">
        <f aca="false">R174-E174</f>
        <v>57</v>
      </c>
      <c r="X174" s="8" t="n">
        <f aca="false">R174-F174</f>
        <v>58</v>
      </c>
      <c r="Y174" s="8" t="n">
        <f aca="false">R174-G174</f>
        <v>57</v>
      </c>
      <c r="Z174" s="8" t="n">
        <f aca="false">R174-H174</f>
        <v>57</v>
      </c>
      <c r="AA174" s="8" t="n">
        <f aca="false">R174-I174</f>
        <v>56</v>
      </c>
      <c r="AB174" s="8" t="n">
        <f aca="false">R174-J174</f>
        <v>58</v>
      </c>
      <c r="AC174" s="8" t="n">
        <f aca="false">R174-K174</f>
        <v>57</v>
      </c>
      <c r="AD174" s="8" t="n">
        <f aca="false">R174-L174</f>
        <v>56</v>
      </c>
      <c r="AE174" s="8" t="n">
        <f aca="false">R174-M174</f>
        <v>56</v>
      </c>
      <c r="AF174" s="8" t="n">
        <f aca="false">R174-N174</f>
        <v>56</v>
      </c>
      <c r="AG174" s="8" t="n">
        <f aca="false">R174-O174</f>
        <v>56</v>
      </c>
      <c r="AH174" s="8" t="n">
        <f aca="false">R174-P174</f>
        <v>57</v>
      </c>
      <c r="AI174" s="8" t="n">
        <f aca="false">R174-Q174</f>
        <v>56</v>
      </c>
    </row>
    <row r="175" customFormat="false" ht="15" hidden="false" customHeight="false" outlineLevel="0" collapsed="false">
      <c r="A175" s="7" t="s">
        <v>261</v>
      </c>
      <c r="B175" s="9" t="n">
        <v>5</v>
      </c>
      <c r="C175" s="9" t="n">
        <v>5</v>
      </c>
      <c r="D175" s="9" t="n">
        <v>4</v>
      </c>
      <c r="E175" s="9" t="n">
        <v>4</v>
      </c>
      <c r="F175" s="9" t="n">
        <v>4</v>
      </c>
      <c r="G175" s="9" t="n">
        <v>3</v>
      </c>
      <c r="H175" s="9" t="n">
        <v>2</v>
      </c>
      <c r="I175" s="9" t="n">
        <v>3</v>
      </c>
      <c r="J175" s="9" t="n">
        <v>3</v>
      </c>
      <c r="K175" s="9" t="n">
        <v>3</v>
      </c>
      <c r="L175" s="9" t="n">
        <v>4</v>
      </c>
      <c r="M175" s="9" t="n">
        <v>4</v>
      </c>
      <c r="N175" s="9" t="n">
        <v>4</v>
      </c>
      <c r="O175" s="9" t="n">
        <v>3</v>
      </c>
      <c r="P175" s="9" t="n">
        <v>4</v>
      </c>
      <c r="Q175" s="9" t="n">
        <v>5</v>
      </c>
      <c r="R175" s="8" t="n">
        <f aca="false">SUM(B175:Q175)</f>
        <v>60</v>
      </c>
      <c r="S175" s="8" t="str">
        <f aca="false">IF(R175&gt;=5_項目分析!$B$6,"高",IF(R175&lt;=5_項目分析!$B$5,"低",""))</f>
        <v/>
      </c>
      <c r="T175" s="8" t="n">
        <f aca="false">R175-B175</f>
        <v>55</v>
      </c>
      <c r="U175" s="8" t="n">
        <f aca="false">R175-C175</f>
        <v>55</v>
      </c>
      <c r="V175" s="8" t="n">
        <f aca="false">R175-D175</f>
        <v>56</v>
      </c>
      <c r="W175" s="8" t="n">
        <f aca="false">R175-E175</f>
        <v>56</v>
      </c>
      <c r="X175" s="8" t="n">
        <f aca="false">R175-F175</f>
        <v>56</v>
      </c>
      <c r="Y175" s="8" t="n">
        <f aca="false">R175-G175</f>
        <v>57</v>
      </c>
      <c r="Z175" s="8" t="n">
        <f aca="false">R175-H175</f>
        <v>58</v>
      </c>
      <c r="AA175" s="8" t="n">
        <f aca="false">R175-I175</f>
        <v>57</v>
      </c>
      <c r="AB175" s="8" t="n">
        <f aca="false">R175-J175</f>
        <v>57</v>
      </c>
      <c r="AC175" s="8" t="n">
        <f aca="false">R175-K175</f>
        <v>57</v>
      </c>
      <c r="AD175" s="8" t="n">
        <f aca="false">R175-L175</f>
        <v>56</v>
      </c>
      <c r="AE175" s="8" t="n">
        <f aca="false">R175-M175</f>
        <v>56</v>
      </c>
      <c r="AF175" s="8" t="n">
        <f aca="false">R175-N175</f>
        <v>56</v>
      </c>
      <c r="AG175" s="8" t="n">
        <f aca="false">R175-O175</f>
        <v>57</v>
      </c>
      <c r="AH175" s="8" t="n">
        <f aca="false">R175-P175</f>
        <v>56</v>
      </c>
      <c r="AI175" s="8" t="n">
        <f aca="false">R175-Q175</f>
        <v>55</v>
      </c>
    </row>
    <row r="176" customFormat="false" ht="15" hidden="false" customHeight="false" outlineLevel="0" collapsed="false">
      <c r="A176" s="7" t="s">
        <v>262</v>
      </c>
      <c r="B176" s="9" t="n">
        <v>5</v>
      </c>
      <c r="C176" s="9" t="n">
        <v>5</v>
      </c>
      <c r="D176" s="9" t="n">
        <v>4</v>
      </c>
      <c r="E176" s="9" t="n">
        <v>4</v>
      </c>
      <c r="F176" s="9" t="n">
        <v>5</v>
      </c>
      <c r="G176" s="9" t="n">
        <v>4</v>
      </c>
      <c r="H176" s="9" t="n">
        <v>4</v>
      </c>
      <c r="I176" s="9" t="n">
        <v>4</v>
      </c>
      <c r="J176" s="9" t="n">
        <v>4</v>
      </c>
      <c r="K176" s="9" t="n">
        <v>5</v>
      </c>
      <c r="L176" s="9" t="n">
        <v>5</v>
      </c>
      <c r="M176" s="9" t="n">
        <v>4</v>
      </c>
      <c r="N176" s="9" t="n">
        <v>5</v>
      </c>
      <c r="O176" s="9" t="n">
        <v>5</v>
      </c>
      <c r="P176" s="9" t="n">
        <v>4</v>
      </c>
      <c r="Q176" s="9" t="n">
        <v>5</v>
      </c>
      <c r="R176" s="8" t="n">
        <f aca="false">SUM(B176:Q176)</f>
        <v>72</v>
      </c>
      <c r="S176" s="8" t="str">
        <f aca="false">IF(R176&gt;=5_項目分析!$B$6,"高",IF(R176&lt;=5_項目分析!$B$5,"低",""))</f>
        <v>高</v>
      </c>
      <c r="T176" s="8" t="n">
        <f aca="false">R176-B176</f>
        <v>67</v>
      </c>
      <c r="U176" s="8" t="n">
        <f aca="false">R176-C176</f>
        <v>67</v>
      </c>
      <c r="V176" s="8" t="n">
        <f aca="false">R176-D176</f>
        <v>68</v>
      </c>
      <c r="W176" s="8" t="n">
        <f aca="false">R176-E176</f>
        <v>68</v>
      </c>
      <c r="X176" s="8" t="n">
        <f aca="false">R176-F176</f>
        <v>67</v>
      </c>
      <c r="Y176" s="8" t="n">
        <f aca="false">R176-G176</f>
        <v>68</v>
      </c>
      <c r="Z176" s="8" t="n">
        <f aca="false">R176-H176</f>
        <v>68</v>
      </c>
      <c r="AA176" s="8" t="n">
        <f aca="false">R176-I176</f>
        <v>68</v>
      </c>
      <c r="AB176" s="8" t="n">
        <f aca="false">R176-J176</f>
        <v>68</v>
      </c>
      <c r="AC176" s="8" t="n">
        <f aca="false">R176-K176</f>
        <v>67</v>
      </c>
      <c r="AD176" s="8" t="n">
        <f aca="false">R176-L176</f>
        <v>67</v>
      </c>
      <c r="AE176" s="8" t="n">
        <f aca="false">R176-M176</f>
        <v>68</v>
      </c>
      <c r="AF176" s="8" t="n">
        <f aca="false">R176-N176</f>
        <v>67</v>
      </c>
      <c r="AG176" s="8" t="n">
        <f aca="false">R176-O176</f>
        <v>67</v>
      </c>
      <c r="AH176" s="8" t="n">
        <f aca="false">R176-P176</f>
        <v>68</v>
      </c>
      <c r="AI176" s="8" t="n">
        <f aca="false">R176-Q176</f>
        <v>67</v>
      </c>
    </row>
    <row r="177" customFormat="false" ht="15" hidden="false" customHeight="false" outlineLevel="0" collapsed="false">
      <c r="A177" s="7" t="s">
        <v>263</v>
      </c>
      <c r="B177" s="9" t="n">
        <v>3</v>
      </c>
      <c r="C177" s="9" t="n">
        <v>3</v>
      </c>
      <c r="D177" s="9" t="n">
        <v>4</v>
      </c>
      <c r="E177" s="9" t="n">
        <v>2</v>
      </c>
      <c r="F177" s="9" t="n">
        <v>2</v>
      </c>
      <c r="G177" s="9" t="n">
        <v>3</v>
      </c>
      <c r="H177" s="9" t="n">
        <v>3</v>
      </c>
      <c r="I177" s="9" t="n">
        <v>4</v>
      </c>
      <c r="J177" s="9" t="n">
        <v>4</v>
      </c>
      <c r="K177" s="9" t="n">
        <v>3</v>
      </c>
      <c r="L177" s="9" t="n">
        <v>2</v>
      </c>
      <c r="M177" s="9" t="n">
        <v>3</v>
      </c>
      <c r="N177" s="9" t="n">
        <v>2</v>
      </c>
      <c r="O177" s="9" t="n">
        <v>1</v>
      </c>
      <c r="P177" s="9" t="n">
        <v>1</v>
      </c>
      <c r="Q177" s="9" t="n">
        <v>5</v>
      </c>
      <c r="R177" s="8" t="n">
        <f aca="false">SUM(B177:Q177)</f>
        <v>45</v>
      </c>
      <c r="S177" s="8" t="str">
        <f aca="false">IF(R177&gt;=5_項目分析!$B$6,"高",IF(R177&lt;=5_項目分析!$B$5,"低",""))</f>
        <v>低</v>
      </c>
      <c r="T177" s="8" t="n">
        <f aca="false">R177-B177</f>
        <v>42</v>
      </c>
      <c r="U177" s="8" t="n">
        <f aca="false">R177-C177</f>
        <v>42</v>
      </c>
      <c r="V177" s="8" t="n">
        <f aca="false">R177-D177</f>
        <v>41</v>
      </c>
      <c r="W177" s="8" t="n">
        <f aca="false">R177-E177</f>
        <v>43</v>
      </c>
      <c r="X177" s="8" t="n">
        <f aca="false">R177-F177</f>
        <v>43</v>
      </c>
      <c r="Y177" s="8" t="n">
        <f aca="false">R177-G177</f>
        <v>42</v>
      </c>
      <c r="Z177" s="8" t="n">
        <f aca="false">R177-H177</f>
        <v>42</v>
      </c>
      <c r="AA177" s="8" t="n">
        <f aca="false">R177-I177</f>
        <v>41</v>
      </c>
      <c r="AB177" s="8" t="n">
        <f aca="false">R177-J177</f>
        <v>41</v>
      </c>
      <c r="AC177" s="8" t="n">
        <f aca="false">R177-K177</f>
        <v>42</v>
      </c>
      <c r="AD177" s="8" t="n">
        <f aca="false">R177-L177</f>
        <v>43</v>
      </c>
      <c r="AE177" s="8" t="n">
        <f aca="false">R177-M177</f>
        <v>42</v>
      </c>
      <c r="AF177" s="8" t="n">
        <f aca="false">R177-N177</f>
        <v>43</v>
      </c>
      <c r="AG177" s="8" t="n">
        <f aca="false">R177-O177</f>
        <v>44</v>
      </c>
      <c r="AH177" s="8" t="n">
        <f aca="false">R177-P177</f>
        <v>44</v>
      </c>
      <c r="AI177" s="8" t="n">
        <f aca="false">R177-Q177</f>
        <v>40</v>
      </c>
    </row>
    <row r="178" customFormat="false" ht="15" hidden="false" customHeight="false" outlineLevel="0" collapsed="false">
      <c r="A178" s="7" t="s">
        <v>264</v>
      </c>
      <c r="B178" s="9" t="n">
        <v>5</v>
      </c>
      <c r="C178" s="9" t="n">
        <v>3</v>
      </c>
      <c r="D178" s="9" t="n">
        <v>5</v>
      </c>
      <c r="E178" s="9" t="n">
        <v>5</v>
      </c>
      <c r="F178" s="9" t="n">
        <v>4</v>
      </c>
      <c r="G178" s="9" t="n">
        <v>4</v>
      </c>
      <c r="H178" s="9" t="n">
        <v>4</v>
      </c>
      <c r="I178" s="9" t="n">
        <v>4</v>
      </c>
      <c r="J178" s="9" t="n">
        <v>3</v>
      </c>
      <c r="K178" s="9" t="n">
        <v>3</v>
      </c>
      <c r="L178" s="9" t="n">
        <v>4</v>
      </c>
      <c r="M178" s="9" t="n">
        <v>4</v>
      </c>
      <c r="N178" s="9" t="n">
        <v>3</v>
      </c>
      <c r="O178" s="9" t="n">
        <v>2</v>
      </c>
      <c r="P178" s="9" t="n">
        <v>4</v>
      </c>
      <c r="Q178" s="9" t="n">
        <v>4</v>
      </c>
      <c r="R178" s="8" t="n">
        <f aca="false">SUM(B178:Q178)</f>
        <v>61</v>
      </c>
      <c r="S178" s="8" t="str">
        <f aca="false">IF(R178&gt;=5_項目分析!$B$6,"高",IF(R178&lt;=5_項目分析!$B$5,"低",""))</f>
        <v/>
      </c>
      <c r="T178" s="8" t="n">
        <f aca="false">R178-B178</f>
        <v>56</v>
      </c>
      <c r="U178" s="8" t="n">
        <f aca="false">R178-C178</f>
        <v>58</v>
      </c>
      <c r="V178" s="8" t="n">
        <f aca="false">R178-D178</f>
        <v>56</v>
      </c>
      <c r="W178" s="8" t="n">
        <f aca="false">R178-E178</f>
        <v>56</v>
      </c>
      <c r="X178" s="8" t="n">
        <f aca="false">R178-F178</f>
        <v>57</v>
      </c>
      <c r="Y178" s="8" t="n">
        <f aca="false">R178-G178</f>
        <v>57</v>
      </c>
      <c r="Z178" s="8" t="n">
        <f aca="false">R178-H178</f>
        <v>57</v>
      </c>
      <c r="AA178" s="8" t="n">
        <f aca="false">R178-I178</f>
        <v>57</v>
      </c>
      <c r="AB178" s="8" t="n">
        <f aca="false">R178-J178</f>
        <v>58</v>
      </c>
      <c r="AC178" s="8" t="n">
        <f aca="false">R178-K178</f>
        <v>58</v>
      </c>
      <c r="AD178" s="8" t="n">
        <f aca="false">R178-L178</f>
        <v>57</v>
      </c>
      <c r="AE178" s="8" t="n">
        <f aca="false">R178-M178</f>
        <v>57</v>
      </c>
      <c r="AF178" s="8" t="n">
        <f aca="false">R178-N178</f>
        <v>58</v>
      </c>
      <c r="AG178" s="8" t="n">
        <f aca="false">R178-O178</f>
        <v>59</v>
      </c>
      <c r="AH178" s="8" t="n">
        <f aca="false">R178-P178</f>
        <v>57</v>
      </c>
      <c r="AI178" s="8" t="n">
        <f aca="false">R178-Q178</f>
        <v>57</v>
      </c>
    </row>
    <row r="179" customFormat="false" ht="15" hidden="false" customHeight="false" outlineLevel="0" collapsed="false">
      <c r="A179" s="7" t="s">
        <v>265</v>
      </c>
      <c r="B179" s="9" t="n">
        <v>4</v>
      </c>
      <c r="C179" s="9" t="n">
        <v>4</v>
      </c>
      <c r="D179" s="9" t="n">
        <v>4</v>
      </c>
      <c r="E179" s="9" t="n">
        <v>4</v>
      </c>
      <c r="F179" s="9" t="n">
        <v>5</v>
      </c>
      <c r="G179" s="9" t="n">
        <v>3</v>
      </c>
      <c r="H179" s="9" t="n">
        <v>4</v>
      </c>
      <c r="I179" s="9" t="n">
        <v>3</v>
      </c>
      <c r="J179" s="9" t="n">
        <v>4</v>
      </c>
      <c r="K179" s="9" t="n">
        <v>4</v>
      </c>
      <c r="L179" s="9" t="n">
        <v>4</v>
      </c>
      <c r="M179" s="9" t="n">
        <v>4</v>
      </c>
      <c r="N179" s="9" t="n">
        <v>4</v>
      </c>
      <c r="O179" s="9" t="n">
        <v>3</v>
      </c>
      <c r="P179" s="9" t="n">
        <v>3</v>
      </c>
      <c r="Q179" s="9" t="n">
        <v>5</v>
      </c>
      <c r="R179" s="8" t="n">
        <f aca="false">SUM(B179:Q179)</f>
        <v>62</v>
      </c>
      <c r="S179" s="8" t="str">
        <f aca="false">IF(R179&gt;=5_項目分析!$B$6,"高",IF(R179&lt;=5_項目分析!$B$5,"低",""))</f>
        <v/>
      </c>
      <c r="T179" s="8" t="n">
        <f aca="false">R179-B179</f>
        <v>58</v>
      </c>
      <c r="U179" s="8" t="n">
        <f aca="false">R179-C179</f>
        <v>58</v>
      </c>
      <c r="V179" s="8" t="n">
        <f aca="false">R179-D179</f>
        <v>58</v>
      </c>
      <c r="W179" s="8" t="n">
        <f aca="false">R179-E179</f>
        <v>58</v>
      </c>
      <c r="X179" s="8" t="n">
        <f aca="false">R179-F179</f>
        <v>57</v>
      </c>
      <c r="Y179" s="8" t="n">
        <f aca="false">R179-G179</f>
        <v>59</v>
      </c>
      <c r="Z179" s="8" t="n">
        <f aca="false">R179-H179</f>
        <v>58</v>
      </c>
      <c r="AA179" s="8" t="n">
        <f aca="false">R179-I179</f>
        <v>59</v>
      </c>
      <c r="AB179" s="8" t="n">
        <f aca="false">R179-J179</f>
        <v>58</v>
      </c>
      <c r="AC179" s="8" t="n">
        <f aca="false">R179-K179</f>
        <v>58</v>
      </c>
      <c r="AD179" s="8" t="n">
        <f aca="false">R179-L179</f>
        <v>58</v>
      </c>
      <c r="AE179" s="8" t="n">
        <f aca="false">R179-M179</f>
        <v>58</v>
      </c>
      <c r="AF179" s="8" t="n">
        <f aca="false">R179-N179</f>
        <v>58</v>
      </c>
      <c r="AG179" s="8" t="n">
        <f aca="false">R179-O179</f>
        <v>59</v>
      </c>
      <c r="AH179" s="8" t="n">
        <f aca="false">R179-P179</f>
        <v>59</v>
      </c>
      <c r="AI179" s="8" t="n">
        <f aca="false">R179-Q179</f>
        <v>57</v>
      </c>
    </row>
    <row r="180" customFormat="false" ht="15" hidden="false" customHeight="false" outlineLevel="0" collapsed="false">
      <c r="A180" s="7" t="s">
        <v>266</v>
      </c>
      <c r="B180" s="9" t="n">
        <v>4</v>
      </c>
      <c r="C180" s="9" t="n">
        <v>5</v>
      </c>
      <c r="D180" s="9" t="n">
        <v>4</v>
      </c>
      <c r="E180" s="9" t="n">
        <v>4</v>
      </c>
      <c r="F180" s="9" t="n">
        <v>4</v>
      </c>
      <c r="G180" s="9" t="n">
        <v>3</v>
      </c>
      <c r="H180" s="9" t="n">
        <v>3</v>
      </c>
      <c r="I180" s="9" t="n">
        <v>3</v>
      </c>
      <c r="J180" s="9" t="n">
        <v>3</v>
      </c>
      <c r="K180" s="9" t="n">
        <v>2</v>
      </c>
      <c r="L180" s="9" t="n">
        <v>3</v>
      </c>
      <c r="M180" s="9" t="n">
        <v>4</v>
      </c>
      <c r="N180" s="9" t="n">
        <v>3</v>
      </c>
      <c r="O180" s="9" t="n">
        <v>3</v>
      </c>
      <c r="P180" s="9" t="n">
        <v>4</v>
      </c>
      <c r="Q180" s="9" t="n">
        <v>5</v>
      </c>
      <c r="R180" s="8" t="n">
        <f aca="false">SUM(B180:Q180)</f>
        <v>57</v>
      </c>
      <c r="S180" s="8" t="str">
        <f aca="false">IF(R180&gt;=5_項目分析!$B$6,"高",IF(R180&lt;=5_項目分析!$B$5,"低",""))</f>
        <v/>
      </c>
      <c r="T180" s="8" t="n">
        <f aca="false">R180-B180</f>
        <v>53</v>
      </c>
      <c r="U180" s="8" t="n">
        <f aca="false">R180-C180</f>
        <v>52</v>
      </c>
      <c r="V180" s="8" t="n">
        <f aca="false">R180-D180</f>
        <v>53</v>
      </c>
      <c r="W180" s="8" t="n">
        <f aca="false">R180-E180</f>
        <v>53</v>
      </c>
      <c r="X180" s="8" t="n">
        <f aca="false">R180-F180</f>
        <v>53</v>
      </c>
      <c r="Y180" s="8" t="n">
        <f aca="false">R180-G180</f>
        <v>54</v>
      </c>
      <c r="Z180" s="8" t="n">
        <f aca="false">R180-H180</f>
        <v>54</v>
      </c>
      <c r="AA180" s="8" t="n">
        <f aca="false">R180-I180</f>
        <v>54</v>
      </c>
      <c r="AB180" s="8" t="n">
        <f aca="false">R180-J180</f>
        <v>54</v>
      </c>
      <c r="AC180" s="8" t="n">
        <f aca="false">R180-K180</f>
        <v>55</v>
      </c>
      <c r="AD180" s="8" t="n">
        <f aca="false">R180-L180</f>
        <v>54</v>
      </c>
      <c r="AE180" s="8" t="n">
        <f aca="false">R180-M180</f>
        <v>53</v>
      </c>
      <c r="AF180" s="8" t="n">
        <f aca="false">R180-N180</f>
        <v>54</v>
      </c>
      <c r="AG180" s="8" t="n">
        <f aca="false">R180-O180</f>
        <v>54</v>
      </c>
      <c r="AH180" s="8" t="n">
        <f aca="false">R180-P180</f>
        <v>53</v>
      </c>
      <c r="AI180" s="8" t="n">
        <f aca="false">R180-Q180</f>
        <v>52</v>
      </c>
    </row>
    <row r="181" customFormat="false" ht="15" hidden="false" customHeight="false" outlineLevel="0" collapsed="false">
      <c r="A181" s="7" t="s">
        <v>267</v>
      </c>
      <c r="B181" s="9" t="n">
        <v>3</v>
      </c>
      <c r="C181" s="9" t="n">
        <v>4</v>
      </c>
      <c r="D181" s="9" t="n">
        <v>2</v>
      </c>
      <c r="E181" s="9" t="n">
        <v>3</v>
      </c>
      <c r="F181" s="9" t="n">
        <v>4</v>
      </c>
      <c r="G181" s="9" t="n">
        <v>5</v>
      </c>
      <c r="H181" s="9" t="n">
        <v>3</v>
      </c>
      <c r="I181" s="9" t="n">
        <v>3</v>
      </c>
      <c r="J181" s="9" t="n">
        <v>3</v>
      </c>
      <c r="K181" s="9" t="n">
        <v>2</v>
      </c>
      <c r="L181" s="9" t="n">
        <v>4</v>
      </c>
      <c r="M181" s="9" t="n">
        <v>3</v>
      </c>
      <c r="N181" s="9" t="n">
        <v>4</v>
      </c>
      <c r="O181" s="9" t="n">
        <v>2</v>
      </c>
      <c r="P181" s="9" t="n">
        <v>3</v>
      </c>
      <c r="Q181" s="9" t="n">
        <v>5</v>
      </c>
      <c r="R181" s="8" t="n">
        <f aca="false">SUM(B181:Q181)</f>
        <v>53</v>
      </c>
      <c r="S181" s="8" t="str">
        <f aca="false">IF(R181&gt;=5_項目分析!$B$6,"高",IF(R181&lt;=5_項目分析!$B$5,"低",""))</f>
        <v>低</v>
      </c>
      <c r="T181" s="8" t="n">
        <f aca="false">R181-B181</f>
        <v>50</v>
      </c>
      <c r="U181" s="8" t="n">
        <f aca="false">R181-C181</f>
        <v>49</v>
      </c>
      <c r="V181" s="8" t="n">
        <f aca="false">R181-D181</f>
        <v>51</v>
      </c>
      <c r="W181" s="8" t="n">
        <f aca="false">R181-E181</f>
        <v>50</v>
      </c>
      <c r="X181" s="8" t="n">
        <f aca="false">R181-F181</f>
        <v>49</v>
      </c>
      <c r="Y181" s="8" t="n">
        <f aca="false">R181-G181</f>
        <v>48</v>
      </c>
      <c r="Z181" s="8" t="n">
        <f aca="false">R181-H181</f>
        <v>50</v>
      </c>
      <c r="AA181" s="8" t="n">
        <f aca="false">R181-I181</f>
        <v>50</v>
      </c>
      <c r="AB181" s="8" t="n">
        <f aca="false">R181-J181</f>
        <v>50</v>
      </c>
      <c r="AC181" s="8" t="n">
        <f aca="false">R181-K181</f>
        <v>51</v>
      </c>
      <c r="AD181" s="8" t="n">
        <f aca="false">R181-L181</f>
        <v>49</v>
      </c>
      <c r="AE181" s="8" t="n">
        <f aca="false">R181-M181</f>
        <v>50</v>
      </c>
      <c r="AF181" s="8" t="n">
        <f aca="false">R181-N181</f>
        <v>49</v>
      </c>
      <c r="AG181" s="8" t="n">
        <f aca="false">R181-O181</f>
        <v>51</v>
      </c>
      <c r="AH181" s="8" t="n">
        <f aca="false">R181-P181</f>
        <v>50</v>
      </c>
      <c r="AI181" s="8" t="n">
        <f aca="false">R181-Q181</f>
        <v>48</v>
      </c>
    </row>
    <row r="182" customFormat="false" ht="15" hidden="false" customHeight="false" outlineLevel="0" collapsed="false">
      <c r="A182" s="7" t="s">
        <v>268</v>
      </c>
      <c r="B182" s="9" t="n">
        <v>4</v>
      </c>
      <c r="C182" s="9" t="n">
        <v>4</v>
      </c>
      <c r="D182" s="9" t="n">
        <v>4</v>
      </c>
      <c r="E182" s="9" t="n">
        <v>4</v>
      </c>
      <c r="F182" s="9" t="n">
        <v>5</v>
      </c>
      <c r="G182" s="9" t="n">
        <v>3</v>
      </c>
      <c r="H182" s="9" t="n">
        <v>3</v>
      </c>
      <c r="I182" s="9" t="n">
        <v>4</v>
      </c>
      <c r="J182" s="9" t="n">
        <v>2</v>
      </c>
      <c r="K182" s="9" t="n">
        <v>3</v>
      </c>
      <c r="L182" s="9" t="n">
        <v>4</v>
      </c>
      <c r="M182" s="9" t="n">
        <v>4</v>
      </c>
      <c r="N182" s="9" t="n">
        <v>4</v>
      </c>
      <c r="O182" s="9" t="n">
        <v>4</v>
      </c>
      <c r="P182" s="9" t="n">
        <v>3</v>
      </c>
      <c r="Q182" s="9" t="n">
        <v>5</v>
      </c>
      <c r="R182" s="8" t="n">
        <f aca="false">SUM(B182:Q182)</f>
        <v>60</v>
      </c>
      <c r="S182" s="8" t="str">
        <f aca="false">IF(R182&gt;=5_項目分析!$B$6,"高",IF(R182&lt;=5_項目分析!$B$5,"低",""))</f>
        <v/>
      </c>
      <c r="T182" s="8" t="n">
        <f aca="false">R182-B182</f>
        <v>56</v>
      </c>
      <c r="U182" s="8" t="n">
        <f aca="false">R182-C182</f>
        <v>56</v>
      </c>
      <c r="V182" s="8" t="n">
        <f aca="false">R182-D182</f>
        <v>56</v>
      </c>
      <c r="W182" s="8" t="n">
        <f aca="false">R182-E182</f>
        <v>56</v>
      </c>
      <c r="X182" s="8" t="n">
        <f aca="false">R182-F182</f>
        <v>55</v>
      </c>
      <c r="Y182" s="8" t="n">
        <f aca="false">R182-G182</f>
        <v>57</v>
      </c>
      <c r="Z182" s="8" t="n">
        <f aca="false">R182-H182</f>
        <v>57</v>
      </c>
      <c r="AA182" s="8" t="n">
        <f aca="false">R182-I182</f>
        <v>56</v>
      </c>
      <c r="AB182" s="8" t="n">
        <f aca="false">R182-J182</f>
        <v>58</v>
      </c>
      <c r="AC182" s="8" t="n">
        <f aca="false">R182-K182</f>
        <v>57</v>
      </c>
      <c r="AD182" s="8" t="n">
        <f aca="false">R182-L182</f>
        <v>56</v>
      </c>
      <c r="AE182" s="8" t="n">
        <f aca="false">R182-M182</f>
        <v>56</v>
      </c>
      <c r="AF182" s="8" t="n">
        <f aca="false">R182-N182</f>
        <v>56</v>
      </c>
      <c r="AG182" s="8" t="n">
        <f aca="false">R182-O182</f>
        <v>56</v>
      </c>
      <c r="AH182" s="8" t="n">
        <f aca="false">R182-P182</f>
        <v>57</v>
      </c>
      <c r="AI182" s="8" t="n">
        <f aca="false">R182-Q182</f>
        <v>55</v>
      </c>
    </row>
    <row r="183" customFormat="false" ht="15" hidden="false" customHeight="false" outlineLevel="0" collapsed="false">
      <c r="A183" s="7" t="s">
        <v>269</v>
      </c>
      <c r="B183" s="9" t="n">
        <v>4</v>
      </c>
      <c r="C183" s="9" t="n">
        <v>4</v>
      </c>
      <c r="D183" s="9" t="n">
        <v>4</v>
      </c>
      <c r="E183" s="9" t="n">
        <v>3</v>
      </c>
      <c r="F183" s="9" t="n">
        <v>4</v>
      </c>
      <c r="G183" s="9" t="n">
        <v>3</v>
      </c>
      <c r="H183" s="9" t="n">
        <v>5</v>
      </c>
      <c r="I183" s="9" t="n">
        <v>4</v>
      </c>
      <c r="J183" s="9" t="n">
        <v>4</v>
      </c>
      <c r="K183" s="9" t="n">
        <v>4</v>
      </c>
      <c r="L183" s="9" t="n">
        <v>5</v>
      </c>
      <c r="M183" s="9" t="n">
        <v>4</v>
      </c>
      <c r="N183" s="9" t="n">
        <v>4</v>
      </c>
      <c r="O183" s="9" t="n">
        <v>5</v>
      </c>
      <c r="P183" s="9" t="n">
        <v>5</v>
      </c>
      <c r="Q183" s="9" t="n">
        <v>5</v>
      </c>
      <c r="R183" s="8" t="n">
        <f aca="false">SUM(B183:Q183)</f>
        <v>67</v>
      </c>
      <c r="S183" s="8" t="str">
        <f aca="false">IF(R183&gt;=5_項目分析!$B$6,"高",IF(R183&lt;=5_項目分析!$B$5,"低",""))</f>
        <v>高</v>
      </c>
      <c r="T183" s="8" t="n">
        <f aca="false">R183-B183</f>
        <v>63</v>
      </c>
      <c r="U183" s="8" t="n">
        <f aca="false">R183-C183</f>
        <v>63</v>
      </c>
      <c r="V183" s="8" t="n">
        <f aca="false">R183-D183</f>
        <v>63</v>
      </c>
      <c r="W183" s="8" t="n">
        <f aca="false">R183-E183</f>
        <v>64</v>
      </c>
      <c r="X183" s="8" t="n">
        <f aca="false">R183-F183</f>
        <v>63</v>
      </c>
      <c r="Y183" s="8" t="n">
        <f aca="false">R183-G183</f>
        <v>64</v>
      </c>
      <c r="Z183" s="8" t="n">
        <f aca="false">R183-H183</f>
        <v>62</v>
      </c>
      <c r="AA183" s="8" t="n">
        <f aca="false">R183-I183</f>
        <v>63</v>
      </c>
      <c r="AB183" s="8" t="n">
        <f aca="false">R183-J183</f>
        <v>63</v>
      </c>
      <c r="AC183" s="8" t="n">
        <f aca="false">R183-K183</f>
        <v>63</v>
      </c>
      <c r="AD183" s="8" t="n">
        <f aca="false">R183-L183</f>
        <v>62</v>
      </c>
      <c r="AE183" s="8" t="n">
        <f aca="false">R183-M183</f>
        <v>63</v>
      </c>
      <c r="AF183" s="8" t="n">
        <f aca="false">R183-N183</f>
        <v>63</v>
      </c>
      <c r="AG183" s="8" t="n">
        <f aca="false">R183-O183</f>
        <v>62</v>
      </c>
      <c r="AH183" s="8" t="n">
        <f aca="false">R183-P183</f>
        <v>62</v>
      </c>
      <c r="AI183" s="8" t="n">
        <f aca="false">R183-Q183</f>
        <v>62</v>
      </c>
    </row>
    <row r="184" customFormat="false" ht="15" hidden="false" customHeight="false" outlineLevel="0" collapsed="false">
      <c r="A184" s="7" t="s">
        <v>270</v>
      </c>
      <c r="B184" s="9" t="n">
        <v>4</v>
      </c>
      <c r="C184" s="9" t="n">
        <v>4</v>
      </c>
      <c r="D184" s="9" t="n">
        <v>4</v>
      </c>
      <c r="E184" s="9" t="n">
        <v>4</v>
      </c>
      <c r="F184" s="9" t="n">
        <v>3</v>
      </c>
      <c r="G184" s="9" t="n">
        <v>4</v>
      </c>
      <c r="H184" s="9" t="n">
        <v>5</v>
      </c>
      <c r="I184" s="9" t="n">
        <v>5</v>
      </c>
      <c r="J184" s="9" t="n">
        <v>2</v>
      </c>
      <c r="K184" s="9" t="n">
        <v>4</v>
      </c>
      <c r="L184" s="9" t="n">
        <v>3</v>
      </c>
      <c r="M184" s="9" t="n">
        <v>5</v>
      </c>
      <c r="N184" s="9" t="n">
        <v>4</v>
      </c>
      <c r="O184" s="9" t="n">
        <v>3</v>
      </c>
      <c r="P184" s="9" t="n">
        <v>2</v>
      </c>
      <c r="Q184" s="9" t="n">
        <v>2</v>
      </c>
      <c r="R184" s="8" t="n">
        <f aca="false">SUM(B184:Q184)</f>
        <v>58</v>
      </c>
      <c r="S184" s="8" t="str">
        <f aca="false">IF(R184&gt;=5_項目分析!$B$6,"高",IF(R184&lt;=5_項目分析!$B$5,"低",""))</f>
        <v/>
      </c>
      <c r="T184" s="8" t="n">
        <f aca="false">R184-B184</f>
        <v>54</v>
      </c>
      <c r="U184" s="8" t="n">
        <f aca="false">R184-C184</f>
        <v>54</v>
      </c>
      <c r="V184" s="8" t="n">
        <f aca="false">R184-D184</f>
        <v>54</v>
      </c>
      <c r="W184" s="8" t="n">
        <f aca="false">R184-E184</f>
        <v>54</v>
      </c>
      <c r="X184" s="8" t="n">
        <f aca="false">R184-F184</f>
        <v>55</v>
      </c>
      <c r="Y184" s="8" t="n">
        <f aca="false">R184-G184</f>
        <v>54</v>
      </c>
      <c r="Z184" s="8" t="n">
        <f aca="false">R184-H184</f>
        <v>53</v>
      </c>
      <c r="AA184" s="8" t="n">
        <f aca="false">R184-I184</f>
        <v>53</v>
      </c>
      <c r="AB184" s="8" t="n">
        <f aca="false">R184-J184</f>
        <v>56</v>
      </c>
      <c r="AC184" s="8" t="n">
        <f aca="false">R184-K184</f>
        <v>54</v>
      </c>
      <c r="AD184" s="8" t="n">
        <f aca="false">R184-L184</f>
        <v>55</v>
      </c>
      <c r="AE184" s="8" t="n">
        <f aca="false">R184-M184</f>
        <v>53</v>
      </c>
      <c r="AF184" s="8" t="n">
        <f aca="false">R184-N184</f>
        <v>54</v>
      </c>
      <c r="AG184" s="8" t="n">
        <f aca="false">R184-O184</f>
        <v>55</v>
      </c>
      <c r="AH184" s="8" t="n">
        <f aca="false">R184-P184</f>
        <v>56</v>
      </c>
      <c r="AI184" s="8" t="n">
        <f aca="false">R184-Q184</f>
        <v>56</v>
      </c>
    </row>
    <row r="185" customFormat="false" ht="15" hidden="false" customHeight="false" outlineLevel="0" collapsed="false">
      <c r="A185" s="7" t="s">
        <v>271</v>
      </c>
      <c r="B185" s="9" t="n">
        <v>2</v>
      </c>
      <c r="C185" s="9" t="n">
        <v>3</v>
      </c>
      <c r="D185" s="9" t="n">
        <v>3</v>
      </c>
      <c r="E185" s="9" t="n">
        <v>3</v>
      </c>
      <c r="F185" s="9" t="n">
        <v>4</v>
      </c>
      <c r="G185" s="9" t="n">
        <v>5</v>
      </c>
      <c r="H185" s="9" t="n">
        <v>4</v>
      </c>
      <c r="I185" s="9" t="n">
        <v>4</v>
      </c>
      <c r="J185" s="9" t="n">
        <v>3</v>
      </c>
      <c r="K185" s="9" t="n">
        <v>5</v>
      </c>
      <c r="L185" s="9" t="n">
        <v>3</v>
      </c>
      <c r="M185" s="9" t="n">
        <v>3</v>
      </c>
      <c r="N185" s="9" t="n">
        <v>3</v>
      </c>
      <c r="O185" s="9" t="n">
        <v>3</v>
      </c>
      <c r="P185" s="9" t="n">
        <v>2</v>
      </c>
      <c r="Q185" s="9" t="n">
        <v>5</v>
      </c>
      <c r="R185" s="8" t="n">
        <f aca="false">SUM(B185:Q185)</f>
        <v>55</v>
      </c>
      <c r="S185" s="8" t="str">
        <f aca="false">IF(R185&gt;=5_項目分析!$B$6,"高",IF(R185&lt;=5_項目分析!$B$5,"低",""))</f>
        <v>低</v>
      </c>
      <c r="T185" s="8" t="n">
        <f aca="false">R185-B185</f>
        <v>53</v>
      </c>
      <c r="U185" s="8" t="n">
        <f aca="false">R185-C185</f>
        <v>52</v>
      </c>
      <c r="V185" s="8" t="n">
        <f aca="false">R185-D185</f>
        <v>52</v>
      </c>
      <c r="W185" s="8" t="n">
        <f aca="false">R185-E185</f>
        <v>52</v>
      </c>
      <c r="X185" s="8" t="n">
        <f aca="false">R185-F185</f>
        <v>51</v>
      </c>
      <c r="Y185" s="8" t="n">
        <f aca="false">R185-G185</f>
        <v>50</v>
      </c>
      <c r="Z185" s="8" t="n">
        <f aca="false">R185-H185</f>
        <v>51</v>
      </c>
      <c r="AA185" s="8" t="n">
        <f aca="false">R185-I185</f>
        <v>51</v>
      </c>
      <c r="AB185" s="8" t="n">
        <f aca="false">R185-J185</f>
        <v>52</v>
      </c>
      <c r="AC185" s="8" t="n">
        <f aca="false">R185-K185</f>
        <v>50</v>
      </c>
      <c r="AD185" s="8" t="n">
        <f aca="false">R185-L185</f>
        <v>52</v>
      </c>
      <c r="AE185" s="8" t="n">
        <f aca="false">R185-M185</f>
        <v>52</v>
      </c>
      <c r="AF185" s="8" t="n">
        <f aca="false">R185-N185</f>
        <v>52</v>
      </c>
      <c r="AG185" s="8" t="n">
        <f aca="false">R185-O185</f>
        <v>52</v>
      </c>
      <c r="AH185" s="8" t="n">
        <f aca="false">R185-P185</f>
        <v>53</v>
      </c>
      <c r="AI185" s="8" t="n">
        <f aca="false">R185-Q185</f>
        <v>50</v>
      </c>
    </row>
    <row r="186" customFormat="false" ht="15" hidden="false" customHeight="false" outlineLevel="0" collapsed="false">
      <c r="A186" s="7" t="s">
        <v>272</v>
      </c>
      <c r="B186" s="9" t="n">
        <v>5</v>
      </c>
      <c r="C186" s="9" t="n">
        <v>4</v>
      </c>
      <c r="D186" s="9" t="n">
        <v>5</v>
      </c>
      <c r="E186" s="9" t="n">
        <v>4</v>
      </c>
      <c r="F186" s="9" t="n">
        <v>4</v>
      </c>
      <c r="G186" s="9" t="n">
        <v>4</v>
      </c>
      <c r="H186" s="9" t="n">
        <v>3</v>
      </c>
      <c r="I186" s="9" t="n">
        <v>4</v>
      </c>
      <c r="J186" s="9" t="n">
        <v>3</v>
      </c>
      <c r="K186" s="9" t="n">
        <v>3</v>
      </c>
      <c r="L186" s="9" t="n">
        <v>4</v>
      </c>
      <c r="M186" s="9" t="n">
        <v>4</v>
      </c>
      <c r="N186" s="9" t="n">
        <v>4</v>
      </c>
      <c r="O186" s="9" t="n">
        <v>4</v>
      </c>
      <c r="P186" s="9" t="n">
        <v>3</v>
      </c>
      <c r="Q186" s="9" t="n">
        <v>5</v>
      </c>
      <c r="R186" s="8" t="n">
        <f aca="false">SUM(B186:Q186)</f>
        <v>63</v>
      </c>
      <c r="S186" s="8" t="str">
        <f aca="false">IF(R186&gt;=5_項目分析!$B$6,"高",IF(R186&lt;=5_項目分析!$B$5,"低",""))</f>
        <v/>
      </c>
      <c r="T186" s="8" t="n">
        <f aca="false">R186-B186</f>
        <v>58</v>
      </c>
      <c r="U186" s="8" t="n">
        <f aca="false">R186-C186</f>
        <v>59</v>
      </c>
      <c r="V186" s="8" t="n">
        <f aca="false">R186-D186</f>
        <v>58</v>
      </c>
      <c r="W186" s="8" t="n">
        <f aca="false">R186-E186</f>
        <v>59</v>
      </c>
      <c r="X186" s="8" t="n">
        <f aca="false">R186-F186</f>
        <v>59</v>
      </c>
      <c r="Y186" s="8" t="n">
        <f aca="false">R186-G186</f>
        <v>59</v>
      </c>
      <c r="Z186" s="8" t="n">
        <f aca="false">R186-H186</f>
        <v>60</v>
      </c>
      <c r="AA186" s="8" t="n">
        <f aca="false">R186-I186</f>
        <v>59</v>
      </c>
      <c r="AB186" s="8" t="n">
        <f aca="false">R186-J186</f>
        <v>60</v>
      </c>
      <c r="AC186" s="8" t="n">
        <f aca="false">R186-K186</f>
        <v>60</v>
      </c>
      <c r="AD186" s="8" t="n">
        <f aca="false">R186-L186</f>
        <v>59</v>
      </c>
      <c r="AE186" s="8" t="n">
        <f aca="false">R186-M186</f>
        <v>59</v>
      </c>
      <c r="AF186" s="8" t="n">
        <f aca="false">R186-N186</f>
        <v>59</v>
      </c>
      <c r="AG186" s="8" t="n">
        <f aca="false">R186-O186</f>
        <v>59</v>
      </c>
      <c r="AH186" s="8" t="n">
        <f aca="false">R186-P186</f>
        <v>60</v>
      </c>
      <c r="AI186" s="8" t="n">
        <f aca="false">R186-Q186</f>
        <v>58</v>
      </c>
    </row>
    <row r="187" customFormat="false" ht="15" hidden="false" customHeight="false" outlineLevel="0" collapsed="false">
      <c r="A187" s="7" t="s">
        <v>273</v>
      </c>
      <c r="B187" s="9" t="n">
        <v>3</v>
      </c>
      <c r="C187" s="9" t="n">
        <v>4</v>
      </c>
      <c r="D187" s="9" t="n">
        <v>4</v>
      </c>
      <c r="E187" s="9" t="n">
        <v>5</v>
      </c>
      <c r="F187" s="9" t="n">
        <v>4</v>
      </c>
      <c r="G187" s="9" t="n">
        <v>4</v>
      </c>
      <c r="H187" s="9" t="n">
        <v>2</v>
      </c>
      <c r="I187" s="9" t="n">
        <v>3</v>
      </c>
      <c r="J187" s="9" t="n">
        <v>4</v>
      </c>
      <c r="K187" s="9" t="n">
        <v>3</v>
      </c>
      <c r="L187" s="9" t="n">
        <v>4</v>
      </c>
      <c r="M187" s="9" t="n">
        <v>4</v>
      </c>
      <c r="N187" s="9" t="n">
        <v>3</v>
      </c>
      <c r="O187" s="9" t="n">
        <v>3</v>
      </c>
      <c r="P187" s="9" t="n">
        <v>4</v>
      </c>
      <c r="Q187" s="9" t="n">
        <v>5</v>
      </c>
      <c r="R187" s="8" t="n">
        <f aca="false">SUM(B187:Q187)</f>
        <v>59</v>
      </c>
      <c r="S187" s="8" t="str">
        <f aca="false">IF(R187&gt;=5_項目分析!$B$6,"高",IF(R187&lt;=5_項目分析!$B$5,"低",""))</f>
        <v/>
      </c>
      <c r="T187" s="8" t="n">
        <f aca="false">R187-B187</f>
        <v>56</v>
      </c>
      <c r="U187" s="8" t="n">
        <f aca="false">R187-C187</f>
        <v>55</v>
      </c>
      <c r="V187" s="8" t="n">
        <f aca="false">R187-D187</f>
        <v>55</v>
      </c>
      <c r="W187" s="8" t="n">
        <f aca="false">R187-E187</f>
        <v>54</v>
      </c>
      <c r="X187" s="8" t="n">
        <f aca="false">R187-F187</f>
        <v>55</v>
      </c>
      <c r="Y187" s="8" t="n">
        <f aca="false">R187-G187</f>
        <v>55</v>
      </c>
      <c r="Z187" s="8" t="n">
        <f aca="false">R187-H187</f>
        <v>57</v>
      </c>
      <c r="AA187" s="8" t="n">
        <f aca="false">R187-I187</f>
        <v>56</v>
      </c>
      <c r="AB187" s="8" t="n">
        <f aca="false">R187-J187</f>
        <v>55</v>
      </c>
      <c r="AC187" s="8" t="n">
        <f aca="false">R187-K187</f>
        <v>56</v>
      </c>
      <c r="AD187" s="8" t="n">
        <f aca="false">R187-L187</f>
        <v>55</v>
      </c>
      <c r="AE187" s="8" t="n">
        <f aca="false">R187-M187</f>
        <v>55</v>
      </c>
      <c r="AF187" s="8" t="n">
        <f aca="false">R187-N187</f>
        <v>56</v>
      </c>
      <c r="AG187" s="8" t="n">
        <f aca="false">R187-O187</f>
        <v>56</v>
      </c>
      <c r="AH187" s="8" t="n">
        <f aca="false">R187-P187</f>
        <v>55</v>
      </c>
      <c r="AI187" s="8" t="n">
        <f aca="false">R187-Q187</f>
        <v>54</v>
      </c>
    </row>
    <row r="188" customFormat="false" ht="15" hidden="false" customHeight="false" outlineLevel="0" collapsed="false">
      <c r="A188" s="7" t="s">
        <v>274</v>
      </c>
      <c r="B188" s="9" t="n">
        <v>4</v>
      </c>
      <c r="C188" s="9" t="n">
        <v>4</v>
      </c>
      <c r="D188" s="9" t="n">
        <v>4</v>
      </c>
      <c r="E188" s="9" t="n">
        <v>3</v>
      </c>
      <c r="F188" s="9" t="n">
        <v>5</v>
      </c>
      <c r="G188" s="9" t="n">
        <v>3</v>
      </c>
      <c r="H188" s="9" t="n">
        <v>3</v>
      </c>
      <c r="I188" s="9" t="n">
        <v>4</v>
      </c>
      <c r="J188" s="9" t="n">
        <v>3</v>
      </c>
      <c r="K188" s="9" t="n">
        <v>3</v>
      </c>
      <c r="L188" s="9" t="n">
        <v>5</v>
      </c>
      <c r="M188" s="9" t="n">
        <v>4</v>
      </c>
      <c r="N188" s="9" t="n">
        <v>5</v>
      </c>
      <c r="O188" s="9" t="n">
        <v>4</v>
      </c>
      <c r="P188" s="9" t="n">
        <v>4</v>
      </c>
      <c r="Q188" s="9" t="n">
        <v>4</v>
      </c>
      <c r="R188" s="8" t="n">
        <f aca="false">SUM(B188:Q188)</f>
        <v>62</v>
      </c>
      <c r="S188" s="8" t="str">
        <f aca="false">IF(R188&gt;=5_項目分析!$B$6,"高",IF(R188&lt;=5_項目分析!$B$5,"低",""))</f>
        <v/>
      </c>
      <c r="T188" s="8" t="n">
        <f aca="false">R188-B188</f>
        <v>58</v>
      </c>
      <c r="U188" s="8" t="n">
        <f aca="false">R188-C188</f>
        <v>58</v>
      </c>
      <c r="V188" s="8" t="n">
        <f aca="false">R188-D188</f>
        <v>58</v>
      </c>
      <c r="W188" s="8" t="n">
        <f aca="false">R188-E188</f>
        <v>59</v>
      </c>
      <c r="X188" s="8" t="n">
        <f aca="false">R188-F188</f>
        <v>57</v>
      </c>
      <c r="Y188" s="8" t="n">
        <f aca="false">R188-G188</f>
        <v>59</v>
      </c>
      <c r="Z188" s="8" t="n">
        <f aca="false">R188-H188</f>
        <v>59</v>
      </c>
      <c r="AA188" s="8" t="n">
        <f aca="false">R188-I188</f>
        <v>58</v>
      </c>
      <c r="AB188" s="8" t="n">
        <f aca="false">R188-J188</f>
        <v>59</v>
      </c>
      <c r="AC188" s="8" t="n">
        <f aca="false">R188-K188</f>
        <v>59</v>
      </c>
      <c r="AD188" s="8" t="n">
        <f aca="false">R188-L188</f>
        <v>57</v>
      </c>
      <c r="AE188" s="8" t="n">
        <f aca="false">R188-M188</f>
        <v>58</v>
      </c>
      <c r="AF188" s="8" t="n">
        <f aca="false">R188-N188</f>
        <v>57</v>
      </c>
      <c r="AG188" s="8" t="n">
        <f aca="false">R188-O188</f>
        <v>58</v>
      </c>
      <c r="AH188" s="8" t="n">
        <f aca="false">R188-P188</f>
        <v>58</v>
      </c>
      <c r="AI188" s="8" t="n">
        <f aca="false">R188-Q188</f>
        <v>58</v>
      </c>
    </row>
    <row r="189" customFormat="false" ht="15" hidden="false" customHeight="false" outlineLevel="0" collapsed="false">
      <c r="A189" s="7" t="s">
        <v>275</v>
      </c>
      <c r="B189" s="9" t="n">
        <v>5</v>
      </c>
      <c r="C189" s="9" t="n">
        <v>4</v>
      </c>
      <c r="D189" s="9" t="n">
        <v>4</v>
      </c>
      <c r="E189" s="9" t="n">
        <v>4</v>
      </c>
      <c r="F189" s="9" t="n">
        <v>4</v>
      </c>
      <c r="G189" s="9" t="n">
        <v>3</v>
      </c>
      <c r="H189" s="9" t="n">
        <v>2</v>
      </c>
      <c r="I189" s="9" t="n">
        <v>3</v>
      </c>
      <c r="J189" s="9" t="n">
        <v>4</v>
      </c>
      <c r="K189" s="9" t="n">
        <v>4</v>
      </c>
      <c r="L189" s="9" t="n">
        <v>4</v>
      </c>
      <c r="M189" s="9" t="n">
        <v>3</v>
      </c>
      <c r="N189" s="9" t="n">
        <v>4</v>
      </c>
      <c r="O189" s="9" t="n">
        <v>4</v>
      </c>
      <c r="P189" s="9" t="n">
        <v>4</v>
      </c>
      <c r="Q189" s="9" t="n">
        <v>5</v>
      </c>
      <c r="R189" s="8" t="n">
        <f aca="false">SUM(B189:Q189)</f>
        <v>61</v>
      </c>
      <c r="S189" s="8" t="str">
        <f aca="false">IF(R189&gt;=5_項目分析!$B$6,"高",IF(R189&lt;=5_項目分析!$B$5,"低",""))</f>
        <v/>
      </c>
      <c r="T189" s="8" t="n">
        <f aca="false">R189-B189</f>
        <v>56</v>
      </c>
      <c r="U189" s="8" t="n">
        <f aca="false">R189-C189</f>
        <v>57</v>
      </c>
      <c r="V189" s="8" t="n">
        <f aca="false">R189-D189</f>
        <v>57</v>
      </c>
      <c r="W189" s="8" t="n">
        <f aca="false">R189-E189</f>
        <v>57</v>
      </c>
      <c r="X189" s="8" t="n">
        <f aca="false">R189-F189</f>
        <v>57</v>
      </c>
      <c r="Y189" s="8" t="n">
        <f aca="false">R189-G189</f>
        <v>58</v>
      </c>
      <c r="Z189" s="8" t="n">
        <f aca="false">R189-H189</f>
        <v>59</v>
      </c>
      <c r="AA189" s="8" t="n">
        <f aca="false">R189-I189</f>
        <v>58</v>
      </c>
      <c r="AB189" s="8" t="n">
        <f aca="false">R189-J189</f>
        <v>57</v>
      </c>
      <c r="AC189" s="8" t="n">
        <f aca="false">R189-K189</f>
        <v>57</v>
      </c>
      <c r="AD189" s="8" t="n">
        <f aca="false">R189-L189</f>
        <v>57</v>
      </c>
      <c r="AE189" s="8" t="n">
        <f aca="false">R189-M189</f>
        <v>58</v>
      </c>
      <c r="AF189" s="8" t="n">
        <f aca="false">R189-N189</f>
        <v>57</v>
      </c>
      <c r="AG189" s="8" t="n">
        <f aca="false">R189-O189</f>
        <v>57</v>
      </c>
      <c r="AH189" s="8" t="n">
        <f aca="false">R189-P189</f>
        <v>57</v>
      </c>
      <c r="AI189" s="8" t="n">
        <f aca="false">R189-Q189</f>
        <v>56</v>
      </c>
    </row>
    <row r="190" customFormat="false" ht="15" hidden="false" customHeight="false" outlineLevel="0" collapsed="false">
      <c r="A190" s="7" t="s">
        <v>276</v>
      </c>
      <c r="B190" s="9" t="n">
        <v>4</v>
      </c>
      <c r="C190" s="9" t="n">
        <v>4</v>
      </c>
      <c r="D190" s="9" t="n">
        <v>4</v>
      </c>
      <c r="E190" s="9" t="n">
        <v>4</v>
      </c>
      <c r="F190" s="9" t="n">
        <v>4</v>
      </c>
      <c r="G190" s="9" t="n">
        <v>3</v>
      </c>
      <c r="H190" s="9" t="n">
        <v>4</v>
      </c>
      <c r="I190" s="9" t="n">
        <v>3</v>
      </c>
      <c r="J190" s="9" t="n">
        <v>4</v>
      </c>
      <c r="K190" s="9" t="n">
        <v>4</v>
      </c>
      <c r="L190" s="9" t="n">
        <v>5</v>
      </c>
      <c r="M190" s="9" t="n">
        <v>5</v>
      </c>
      <c r="N190" s="9" t="n">
        <v>5</v>
      </c>
      <c r="O190" s="9" t="n">
        <v>5</v>
      </c>
      <c r="P190" s="9" t="n">
        <v>4</v>
      </c>
      <c r="Q190" s="9" t="n">
        <v>5</v>
      </c>
      <c r="R190" s="8" t="n">
        <f aca="false">SUM(B190:Q190)</f>
        <v>67</v>
      </c>
      <c r="S190" s="8" t="str">
        <f aca="false">IF(R190&gt;=5_項目分析!$B$6,"高",IF(R190&lt;=5_項目分析!$B$5,"低",""))</f>
        <v>高</v>
      </c>
      <c r="T190" s="8" t="n">
        <f aca="false">R190-B190</f>
        <v>63</v>
      </c>
      <c r="U190" s="8" t="n">
        <f aca="false">R190-C190</f>
        <v>63</v>
      </c>
      <c r="V190" s="8" t="n">
        <f aca="false">R190-D190</f>
        <v>63</v>
      </c>
      <c r="W190" s="8" t="n">
        <f aca="false">R190-E190</f>
        <v>63</v>
      </c>
      <c r="X190" s="8" t="n">
        <f aca="false">R190-F190</f>
        <v>63</v>
      </c>
      <c r="Y190" s="8" t="n">
        <f aca="false">R190-G190</f>
        <v>64</v>
      </c>
      <c r="Z190" s="8" t="n">
        <f aca="false">R190-H190</f>
        <v>63</v>
      </c>
      <c r="AA190" s="8" t="n">
        <f aca="false">R190-I190</f>
        <v>64</v>
      </c>
      <c r="AB190" s="8" t="n">
        <f aca="false">R190-J190</f>
        <v>63</v>
      </c>
      <c r="AC190" s="8" t="n">
        <f aca="false">R190-K190</f>
        <v>63</v>
      </c>
      <c r="AD190" s="8" t="n">
        <f aca="false">R190-L190</f>
        <v>62</v>
      </c>
      <c r="AE190" s="8" t="n">
        <f aca="false">R190-M190</f>
        <v>62</v>
      </c>
      <c r="AF190" s="8" t="n">
        <f aca="false">R190-N190</f>
        <v>62</v>
      </c>
      <c r="AG190" s="8" t="n">
        <f aca="false">R190-O190</f>
        <v>62</v>
      </c>
      <c r="AH190" s="8" t="n">
        <f aca="false">R190-P190</f>
        <v>63</v>
      </c>
      <c r="AI190" s="8" t="n">
        <f aca="false">R190-Q190</f>
        <v>62</v>
      </c>
    </row>
    <row r="191" customFormat="false" ht="15" hidden="false" customHeight="false" outlineLevel="0" collapsed="false">
      <c r="A191" s="7" t="s">
        <v>277</v>
      </c>
      <c r="B191" s="9" t="n">
        <v>3</v>
      </c>
      <c r="C191" s="9" t="n">
        <v>2</v>
      </c>
      <c r="D191" s="9" t="n">
        <v>4</v>
      </c>
      <c r="E191" s="9" t="n">
        <v>3</v>
      </c>
      <c r="F191" s="9" t="n">
        <v>3</v>
      </c>
      <c r="G191" s="9" t="n">
        <v>5</v>
      </c>
      <c r="H191" s="9" t="n">
        <v>3</v>
      </c>
      <c r="I191" s="9" t="n">
        <v>3</v>
      </c>
      <c r="J191" s="9" t="n">
        <v>4</v>
      </c>
      <c r="K191" s="9" t="n">
        <v>4</v>
      </c>
      <c r="L191" s="9" t="n">
        <v>3</v>
      </c>
      <c r="M191" s="9" t="n">
        <v>4</v>
      </c>
      <c r="N191" s="9" t="n">
        <v>3</v>
      </c>
      <c r="O191" s="9" t="n">
        <v>4</v>
      </c>
      <c r="P191" s="9" t="n">
        <v>5</v>
      </c>
      <c r="Q191" s="9" t="n">
        <v>5</v>
      </c>
      <c r="R191" s="8" t="n">
        <f aca="false">SUM(B191:Q191)</f>
        <v>58</v>
      </c>
      <c r="S191" s="8" t="str">
        <f aca="false">IF(R191&gt;=5_項目分析!$B$6,"高",IF(R191&lt;=5_項目分析!$B$5,"低",""))</f>
        <v/>
      </c>
      <c r="T191" s="8" t="n">
        <f aca="false">R191-B191</f>
        <v>55</v>
      </c>
      <c r="U191" s="8" t="n">
        <f aca="false">R191-C191</f>
        <v>56</v>
      </c>
      <c r="V191" s="8" t="n">
        <f aca="false">R191-D191</f>
        <v>54</v>
      </c>
      <c r="W191" s="8" t="n">
        <f aca="false">R191-E191</f>
        <v>55</v>
      </c>
      <c r="X191" s="8" t="n">
        <f aca="false">R191-F191</f>
        <v>55</v>
      </c>
      <c r="Y191" s="8" t="n">
        <f aca="false">R191-G191</f>
        <v>53</v>
      </c>
      <c r="Z191" s="8" t="n">
        <f aca="false">R191-H191</f>
        <v>55</v>
      </c>
      <c r="AA191" s="8" t="n">
        <f aca="false">R191-I191</f>
        <v>55</v>
      </c>
      <c r="AB191" s="8" t="n">
        <f aca="false">R191-J191</f>
        <v>54</v>
      </c>
      <c r="AC191" s="8" t="n">
        <f aca="false">R191-K191</f>
        <v>54</v>
      </c>
      <c r="AD191" s="8" t="n">
        <f aca="false">R191-L191</f>
        <v>55</v>
      </c>
      <c r="AE191" s="8" t="n">
        <f aca="false">R191-M191</f>
        <v>54</v>
      </c>
      <c r="AF191" s="8" t="n">
        <f aca="false">R191-N191</f>
        <v>55</v>
      </c>
      <c r="AG191" s="8" t="n">
        <f aca="false">R191-O191</f>
        <v>54</v>
      </c>
      <c r="AH191" s="8" t="n">
        <f aca="false">R191-P191</f>
        <v>53</v>
      </c>
      <c r="AI191" s="8" t="n">
        <f aca="false">R191-Q191</f>
        <v>53</v>
      </c>
    </row>
    <row r="192" customFormat="false" ht="15" hidden="false" customHeight="false" outlineLevel="0" collapsed="false">
      <c r="A192" s="7" t="s">
        <v>278</v>
      </c>
      <c r="B192" s="9" t="n">
        <v>3</v>
      </c>
      <c r="C192" s="9" t="n">
        <v>4</v>
      </c>
      <c r="D192" s="9" t="n">
        <v>4</v>
      </c>
      <c r="E192" s="9" t="n">
        <v>3</v>
      </c>
      <c r="F192" s="9" t="n">
        <v>3</v>
      </c>
      <c r="G192" s="9" t="n">
        <v>2</v>
      </c>
      <c r="H192" s="9" t="n">
        <v>3</v>
      </c>
      <c r="I192" s="9" t="n">
        <v>3</v>
      </c>
      <c r="J192" s="9" t="n">
        <v>4</v>
      </c>
      <c r="K192" s="9" t="n">
        <v>3</v>
      </c>
      <c r="L192" s="9" t="n">
        <v>3</v>
      </c>
      <c r="M192" s="9" t="n">
        <v>3</v>
      </c>
      <c r="N192" s="9" t="n">
        <v>3</v>
      </c>
      <c r="O192" s="9" t="n">
        <v>4</v>
      </c>
      <c r="P192" s="9" t="n">
        <v>2</v>
      </c>
      <c r="Q192" s="9" t="n">
        <v>5</v>
      </c>
      <c r="R192" s="8" t="n">
        <f aca="false">SUM(B192:Q192)</f>
        <v>52</v>
      </c>
      <c r="S192" s="8" t="str">
        <f aca="false">IF(R192&gt;=5_項目分析!$B$6,"高",IF(R192&lt;=5_項目分析!$B$5,"低",""))</f>
        <v>低</v>
      </c>
      <c r="T192" s="8" t="n">
        <f aca="false">R192-B192</f>
        <v>49</v>
      </c>
      <c r="U192" s="8" t="n">
        <f aca="false">R192-C192</f>
        <v>48</v>
      </c>
      <c r="V192" s="8" t="n">
        <f aca="false">R192-D192</f>
        <v>48</v>
      </c>
      <c r="W192" s="8" t="n">
        <f aca="false">R192-E192</f>
        <v>49</v>
      </c>
      <c r="X192" s="8" t="n">
        <f aca="false">R192-F192</f>
        <v>49</v>
      </c>
      <c r="Y192" s="8" t="n">
        <f aca="false">R192-G192</f>
        <v>50</v>
      </c>
      <c r="Z192" s="8" t="n">
        <f aca="false">R192-H192</f>
        <v>49</v>
      </c>
      <c r="AA192" s="8" t="n">
        <f aca="false">R192-I192</f>
        <v>49</v>
      </c>
      <c r="AB192" s="8" t="n">
        <f aca="false">R192-J192</f>
        <v>48</v>
      </c>
      <c r="AC192" s="8" t="n">
        <f aca="false">R192-K192</f>
        <v>49</v>
      </c>
      <c r="AD192" s="8" t="n">
        <f aca="false">R192-L192</f>
        <v>49</v>
      </c>
      <c r="AE192" s="8" t="n">
        <f aca="false">R192-M192</f>
        <v>49</v>
      </c>
      <c r="AF192" s="8" t="n">
        <f aca="false">R192-N192</f>
        <v>49</v>
      </c>
      <c r="AG192" s="8" t="n">
        <f aca="false">R192-O192</f>
        <v>48</v>
      </c>
      <c r="AH192" s="8" t="n">
        <f aca="false">R192-P192</f>
        <v>50</v>
      </c>
      <c r="AI192" s="8" t="n">
        <f aca="false">R192-Q192</f>
        <v>47</v>
      </c>
    </row>
    <row r="193" customFormat="false" ht="15" hidden="false" customHeight="false" outlineLevel="0" collapsed="false">
      <c r="A193" s="7" t="s">
        <v>279</v>
      </c>
      <c r="B193" s="9" t="n">
        <v>3</v>
      </c>
      <c r="C193" s="9" t="n">
        <v>2</v>
      </c>
      <c r="D193" s="9" t="n">
        <v>3</v>
      </c>
      <c r="E193" s="9" t="n">
        <v>3</v>
      </c>
      <c r="F193" s="9" t="n">
        <v>3</v>
      </c>
      <c r="G193" s="9" t="n">
        <v>3</v>
      </c>
      <c r="H193" s="9" t="n">
        <v>3</v>
      </c>
      <c r="I193" s="9" t="n">
        <v>3</v>
      </c>
      <c r="J193" s="9" t="n">
        <v>4</v>
      </c>
      <c r="K193" s="9" t="n">
        <v>2</v>
      </c>
      <c r="L193" s="9" t="n">
        <v>1</v>
      </c>
      <c r="M193" s="9" t="n">
        <v>3</v>
      </c>
      <c r="N193" s="9" t="n">
        <v>3</v>
      </c>
      <c r="O193" s="9" t="n">
        <v>3</v>
      </c>
      <c r="P193" s="9" t="n">
        <v>4</v>
      </c>
      <c r="Q193" s="9" t="n">
        <v>5</v>
      </c>
      <c r="R193" s="8" t="n">
        <f aca="false">SUM(B193:Q193)</f>
        <v>48</v>
      </c>
      <c r="S193" s="8" t="str">
        <f aca="false">IF(R193&gt;=5_項目分析!$B$6,"高",IF(R193&lt;=5_項目分析!$B$5,"低",""))</f>
        <v>低</v>
      </c>
      <c r="T193" s="8" t="n">
        <f aca="false">R193-B193</f>
        <v>45</v>
      </c>
      <c r="U193" s="8" t="n">
        <f aca="false">R193-C193</f>
        <v>46</v>
      </c>
      <c r="V193" s="8" t="n">
        <f aca="false">R193-D193</f>
        <v>45</v>
      </c>
      <c r="W193" s="8" t="n">
        <f aca="false">R193-E193</f>
        <v>45</v>
      </c>
      <c r="X193" s="8" t="n">
        <f aca="false">R193-F193</f>
        <v>45</v>
      </c>
      <c r="Y193" s="8" t="n">
        <f aca="false">R193-G193</f>
        <v>45</v>
      </c>
      <c r="Z193" s="8" t="n">
        <f aca="false">R193-H193</f>
        <v>45</v>
      </c>
      <c r="AA193" s="8" t="n">
        <f aca="false">R193-I193</f>
        <v>45</v>
      </c>
      <c r="AB193" s="8" t="n">
        <f aca="false">R193-J193</f>
        <v>44</v>
      </c>
      <c r="AC193" s="8" t="n">
        <f aca="false">R193-K193</f>
        <v>46</v>
      </c>
      <c r="AD193" s="8" t="n">
        <f aca="false">R193-L193</f>
        <v>47</v>
      </c>
      <c r="AE193" s="8" t="n">
        <f aca="false">R193-M193</f>
        <v>45</v>
      </c>
      <c r="AF193" s="8" t="n">
        <f aca="false">R193-N193</f>
        <v>45</v>
      </c>
      <c r="AG193" s="8" t="n">
        <f aca="false">R193-O193</f>
        <v>45</v>
      </c>
      <c r="AH193" s="8" t="n">
        <f aca="false">R193-P193</f>
        <v>44</v>
      </c>
      <c r="AI193" s="8" t="n">
        <f aca="false">R193-Q193</f>
        <v>43</v>
      </c>
    </row>
    <row r="194" customFormat="false" ht="15" hidden="false" customHeight="false" outlineLevel="0" collapsed="false">
      <c r="A194" s="7" t="s">
        <v>280</v>
      </c>
      <c r="B194" s="9" t="n">
        <v>4</v>
      </c>
      <c r="C194" s="9" t="n">
        <v>3</v>
      </c>
      <c r="D194" s="9" t="n">
        <v>4</v>
      </c>
      <c r="E194" s="9" t="n">
        <v>4</v>
      </c>
      <c r="F194" s="9" t="n">
        <v>3</v>
      </c>
      <c r="G194" s="9" t="n">
        <v>5</v>
      </c>
      <c r="H194" s="9" t="n">
        <v>5</v>
      </c>
      <c r="I194" s="9" t="n">
        <v>5</v>
      </c>
      <c r="J194" s="9" t="n">
        <v>4</v>
      </c>
      <c r="K194" s="9" t="n">
        <v>5</v>
      </c>
      <c r="L194" s="9" t="n">
        <v>3</v>
      </c>
      <c r="M194" s="9" t="n">
        <v>3</v>
      </c>
      <c r="N194" s="9" t="n">
        <v>2</v>
      </c>
      <c r="O194" s="9" t="n">
        <v>3</v>
      </c>
      <c r="P194" s="9" t="n">
        <v>4</v>
      </c>
      <c r="Q194" s="9" t="n">
        <v>5</v>
      </c>
      <c r="R194" s="8" t="n">
        <f aca="false">SUM(B194:Q194)</f>
        <v>62</v>
      </c>
      <c r="S194" s="8" t="str">
        <f aca="false">IF(R194&gt;=5_項目分析!$B$6,"高",IF(R194&lt;=5_項目分析!$B$5,"低",""))</f>
        <v/>
      </c>
      <c r="T194" s="8" t="n">
        <f aca="false">R194-B194</f>
        <v>58</v>
      </c>
      <c r="U194" s="8" t="n">
        <f aca="false">R194-C194</f>
        <v>59</v>
      </c>
      <c r="V194" s="8" t="n">
        <f aca="false">R194-D194</f>
        <v>58</v>
      </c>
      <c r="W194" s="8" t="n">
        <f aca="false">R194-E194</f>
        <v>58</v>
      </c>
      <c r="X194" s="8" t="n">
        <f aca="false">R194-F194</f>
        <v>59</v>
      </c>
      <c r="Y194" s="8" t="n">
        <f aca="false">R194-G194</f>
        <v>57</v>
      </c>
      <c r="Z194" s="8" t="n">
        <f aca="false">R194-H194</f>
        <v>57</v>
      </c>
      <c r="AA194" s="8" t="n">
        <f aca="false">R194-I194</f>
        <v>57</v>
      </c>
      <c r="AB194" s="8" t="n">
        <f aca="false">R194-J194</f>
        <v>58</v>
      </c>
      <c r="AC194" s="8" t="n">
        <f aca="false">R194-K194</f>
        <v>57</v>
      </c>
      <c r="AD194" s="8" t="n">
        <f aca="false">R194-L194</f>
        <v>59</v>
      </c>
      <c r="AE194" s="8" t="n">
        <f aca="false">R194-M194</f>
        <v>59</v>
      </c>
      <c r="AF194" s="8" t="n">
        <f aca="false">R194-N194</f>
        <v>60</v>
      </c>
      <c r="AG194" s="8" t="n">
        <f aca="false">R194-O194</f>
        <v>59</v>
      </c>
      <c r="AH194" s="8" t="n">
        <f aca="false">R194-P194</f>
        <v>58</v>
      </c>
      <c r="AI194" s="8" t="n">
        <f aca="false">R194-Q194</f>
        <v>57</v>
      </c>
    </row>
    <row r="195" customFormat="false" ht="15" hidden="false" customHeight="false" outlineLevel="0" collapsed="false">
      <c r="A195" s="7" t="s">
        <v>281</v>
      </c>
      <c r="B195" s="9" t="n">
        <v>3</v>
      </c>
      <c r="C195" s="9" t="n">
        <v>2</v>
      </c>
      <c r="D195" s="9" t="n">
        <v>4</v>
      </c>
      <c r="E195" s="9" t="n">
        <v>3</v>
      </c>
      <c r="F195" s="9" t="n">
        <v>4</v>
      </c>
      <c r="G195" s="9" t="n">
        <v>3</v>
      </c>
      <c r="H195" s="9" t="n">
        <v>3</v>
      </c>
      <c r="I195" s="9" t="n">
        <v>3</v>
      </c>
      <c r="J195" s="9" t="n">
        <v>1</v>
      </c>
      <c r="K195" s="9" t="n">
        <v>3</v>
      </c>
      <c r="L195" s="9" t="n">
        <v>3</v>
      </c>
      <c r="M195" s="9" t="n">
        <v>4</v>
      </c>
      <c r="N195" s="9" t="n">
        <v>4</v>
      </c>
      <c r="O195" s="9" t="n">
        <v>5</v>
      </c>
      <c r="P195" s="9" t="n">
        <v>4</v>
      </c>
      <c r="Q195" s="9" t="n">
        <v>5</v>
      </c>
      <c r="R195" s="8" t="n">
        <f aca="false">SUM(B195:Q195)</f>
        <v>54</v>
      </c>
      <c r="S195" s="8" t="str">
        <f aca="false">IF(R195&gt;=5_項目分析!$B$6,"高",IF(R195&lt;=5_項目分析!$B$5,"低",""))</f>
        <v>低</v>
      </c>
      <c r="T195" s="8" t="n">
        <f aca="false">R195-B195</f>
        <v>51</v>
      </c>
      <c r="U195" s="8" t="n">
        <f aca="false">R195-C195</f>
        <v>52</v>
      </c>
      <c r="V195" s="8" t="n">
        <f aca="false">R195-D195</f>
        <v>50</v>
      </c>
      <c r="W195" s="8" t="n">
        <f aca="false">R195-E195</f>
        <v>51</v>
      </c>
      <c r="X195" s="8" t="n">
        <f aca="false">R195-F195</f>
        <v>50</v>
      </c>
      <c r="Y195" s="8" t="n">
        <f aca="false">R195-G195</f>
        <v>51</v>
      </c>
      <c r="Z195" s="8" t="n">
        <f aca="false">R195-H195</f>
        <v>51</v>
      </c>
      <c r="AA195" s="8" t="n">
        <f aca="false">R195-I195</f>
        <v>51</v>
      </c>
      <c r="AB195" s="8" t="n">
        <f aca="false">R195-J195</f>
        <v>53</v>
      </c>
      <c r="AC195" s="8" t="n">
        <f aca="false">R195-K195</f>
        <v>51</v>
      </c>
      <c r="AD195" s="8" t="n">
        <f aca="false">R195-L195</f>
        <v>51</v>
      </c>
      <c r="AE195" s="8" t="n">
        <f aca="false">R195-M195</f>
        <v>50</v>
      </c>
      <c r="AF195" s="8" t="n">
        <f aca="false">R195-N195</f>
        <v>50</v>
      </c>
      <c r="AG195" s="8" t="n">
        <f aca="false">R195-O195</f>
        <v>49</v>
      </c>
      <c r="AH195" s="8" t="n">
        <f aca="false">R195-P195</f>
        <v>50</v>
      </c>
      <c r="AI195" s="8" t="n">
        <f aca="false">R195-Q195</f>
        <v>49</v>
      </c>
    </row>
    <row r="196" customFormat="false" ht="15" hidden="false" customHeight="false" outlineLevel="0" collapsed="false">
      <c r="A196" s="7" t="s">
        <v>282</v>
      </c>
      <c r="B196" s="9" t="n">
        <v>4</v>
      </c>
      <c r="C196" s="9" t="n">
        <v>2</v>
      </c>
      <c r="D196" s="9" t="n">
        <v>3</v>
      </c>
      <c r="E196" s="9" t="n">
        <v>4</v>
      </c>
      <c r="F196" s="9" t="n">
        <v>3</v>
      </c>
      <c r="G196" s="9" t="n">
        <v>2</v>
      </c>
      <c r="H196" s="9" t="n">
        <v>3</v>
      </c>
      <c r="I196" s="9" t="n">
        <v>2</v>
      </c>
      <c r="J196" s="9" t="n">
        <v>4</v>
      </c>
      <c r="K196" s="9" t="n">
        <v>2</v>
      </c>
      <c r="L196" s="9" t="n">
        <v>2</v>
      </c>
      <c r="M196" s="9" t="n">
        <v>3</v>
      </c>
      <c r="N196" s="9" t="n">
        <v>4</v>
      </c>
      <c r="O196" s="9" t="n">
        <v>4</v>
      </c>
      <c r="P196" s="9" t="n">
        <v>2</v>
      </c>
      <c r="Q196" s="9" t="n">
        <v>5</v>
      </c>
      <c r="R196" s="8" t="n">
        <f aca="false">SUM(B196:Q196)</f>
        <v>49</v>
      </c>
      <c r="S196" s="8" t="str">
        <f aca="false">IF(R196&gt;=5_項目分析!$B$6,"高",IF(R196&lt;=5_項目分析!$B$5,"低",""))</f>
        <v>低</v>
      </c>
      <c r="T196" s="8" t="n">
        <f aca="false">R196-B196</f>
        <v>45</v>
      </c>
      <c r="U196" s="8" t="n">
        <f aca="false">R196-C196</f>
        <v>47</v>
      </c>
      <c r="V196" s="8" t="n">
        <f aca="false">R196-D196</f>
        <v>46</v>
      </c>
      <c r="W196" s="8" t="n">
        <f aca="false">R196-E196</f>
        <v>45</v>
      </c>
      <c r="X196" s="8" t="n">
        <f aca="false">R196-F196</f>
        <v>46</v>
      </c>
      <c r="Y196" s="8" t="n">
        <f aca="false">R196-G196</f>
        <v>47</v>
      </c>
      <c r="Z196" s="8" t="n">
        <f aca="false">R196-H196</f>
        <v>46</v>
      </c>
      <c r="AA196" s="8" t="n">
        <f aca="false">R196-I196</f>
        <v>47</v>
      </c>
      <c r="AB196" s="8" t="n">
        <f aca="false">R196-J196</f>
        <v>45</v>
      </c>
      <c r="AC196" s="8" t="n">
        <f aca="false">R196-K196</f>
        <v>47</v>
      </c>
      <c r="AD196" s="8" t="n">
        <f aca="false">R196-L196</f>
        <v>47</v>
      </c>
      <c r="AE196" s="8" t="n">
        <f aca="false">R196-M196</f>
        <v>46</v>
      </c>
      <c r="AF196" s="8" t="n">
        <f aca="false">R196-N196</f>
        <v>45</v>
      </c>
      <c r="AG196" s="8" t="n">
        <f aca="false">R196-O196</f>
        <v>45</v>
      </c>
      <c r="AH196" s="8" t="n">
        <f aca="false">R196-P196</f>
        <v>47</v>
      </c>
      <c r="AI196" s="8" t="n">
        <f aca="false">R196-Q196</f>
        <v>44</v>
      </c>
    </row>
    <row r="197" customFormat="false" ht="15" hidden="false" customHeight="false" outlineLevel="0" collapsed="false">
      <c r="A197" s="7" t="s">
        <v>283</v>
      </c>
      <c r="B197" s="9" t="n">
        <v>2</v>
      </c>
      <c r="C197" s="9" t="n">
        <v>3</v>
      </c>
      <c r="D197" s="9" t="n">
        <v>4</v>
      </c>
      <c r="E197" s="9" t="n">
        <v>3</v>
      </c>
      <c r="F197" s="9" t="n">
        <v>3</v>
      </c>
      <c r="G197" s="9" t="n">
        <v>5</v>
      </c>
      <c r="H197" s="9" t="n">
        <v>4</v>
      </c>
      <c r="I197" s="9" t="n">
        <v>4</v>
      </c>
      <c r="J197" s="9" t="n">
        <v>4</v>
      </c>
      <c r="K197" s="9" t="n">
        <v>5</v>
      </c>
      <c r="L197" s="9" t="n">
        <v>3</v>
      </c>
      <c r="M197" s="9" t="n">
        <v>4</v>
      </c>
      <c r="N197" s="9" t="n">
        <v>3</v>
      </c>
      <c r="O197" s="9" t="n">
        <v>4</v>
      </c>
      <c r="P197" s="9" t="n">
        <v>4</v>
      </c>
      <c r="Q197" s="9" t="n">
        <v>4</v>
      </c>
      <c r="R197" s="8" t="n">
        <f aca="false">SUM(B197:Q197)</f>
        <v>59</v>
      </c>
      <c r="S197" s="8" t="str">
        <f aca="false">IF(R197&gt;=5_項目分析!$B$6,"高",IF(R197&lt;=5_項目分析!$B$5,"低",""))</f>
        <v/>
      </c>
      <c r="T197" s="8" t="n">
        <f aca="false">R197-B197</f>
        <v>57</v>
      </c>
      <c r="U197" s="8" t="n">
        <f aca="false">R197-C197</f>
        <v>56</v>
      </c>
      <c r="V197" s="8" t="n">
        <f aca="false">R197-D197</f>
        <v>55</v>
      </c>
      <c r="W197" s="8" t="n">
        <f aca="false">R197-E197</f>
        <v>56</v>
      </c>
      <c r="X197" s="8" t="n">
        <f aca="false">R197-F197</f>
        <v>56</v>
      </c>
      <c r="Y197" s="8" t="n">
        <f aca="false">R197-G197</f>
        <v>54</v>
      </c>
      <c r="Z197" s="8" t="n">
        <f aca="false">R197-H197</f>
        <v>55</v>
      </c>
      <c r="AA197" s="8" t="n">
        <f aca="false">R197-I197</f>
        <v>55</v>
      </c>
      <c r="AB197" s="8" t="n">
        <f aca="false">R197-J197</f>
        <v>55</v>
      </c>
      <c r="AC197" s="8" t="n">
        <f aca="false">R197-K197</f>
        <v>54</v>
      </c>
      <c r="AD197" s="8" t="n">
        <f aca="false">R197-L197</f>
        <v>56</v>
      </c>
      <c r="AE197" s="8" t="n">
        <f aca="false">R197-M197</f>
        <v>55</v>
      </c>
      <c r="AF197" s="8" t="n">
        <f aca="false">R197-N197</f>
        <v>56</v>
      </c>
      <c r="AG197" s="8" t="n">
        <f aca="false">R197-O197</f>
        <v>55</v>
      </c>
      <c r="AH197" s="8" t="n">
        <f aca="false">R197-P197</f>
        <v>55</v>
      </c>
      <c r="AI197" s="8" t="n">
        <f aca="false">R197-Q197</f>
        <v>55</v>
      </c>
    </row>
    <row r="198" customFormat="false" ht="15" hidden="false" customHeight="false" outlineLevel="0" collapsed="false">
      <c r="A198" s="7" t="s">
        <v>284</v>
      </c>
      <c r="B198" s="9" t="n">
        <v>5</v>
      </c>
      <c r="C198" s="9" t="n">
        <v>3</v>
      </c>
      <c r="D198" s="9" t="n">
        <v>5</v>
      </c>
      <c r="E198" s="9" t="n">
        <v>4</v>
      </c>
      <c r="F198" s="9" t="n">
        <v>4</v>
      </c>
      <c r="G198" s="9" t="n">
        <v>5</v>
      </c>
      <c r="H198" s="9" t="n">
        <v>5</v>
      </c>
      <c r="I198" s="9" t="n">
        <v>5</v>
      </c>
      <c r="J198" s="9" t="n">
        <v>3</v>
      </c>
      <c r="K198" s="9" t="n">
        <v>5</v>
      </c>
      <c r="L198" s="9" t="n">
        <v>4</v>
      </c>
      <c r="M198" s="9" t="n">
        <v>4</v>
      </c>
      <c r="N198" s="9" t="n">
        <v>3</v>
      </c>
      <c r="O198" s="9" t="n">
        <v>3</v>
      </c>
      <c r="P198" s="9" t="n">
        <v>3</v>
      </c>
      <c r="Q198" s="9" t="n">
        <v>4</v>
      </c>
      <c r="R198" s="8" t="n">
        <f aca="false">SUM(B198:Q198)</f>
        <v>65</v>
      </c>
      <c r="S198" s="8" t="str">
        <f aca="false">IF(R198&gt;=5_項目分析!$B$6,"高",IF(R198&lt;=5_項目分析!$B$5,"低",""))</f>
        <v>高</v>
      </c>
      <c r="T198" s="8" t="n">
        <f aca="false">R198-B198</f>
        <v>60</v>
      </c>
      <c r="U198" s="8" t="n">
        <f aca="false">R198-C198</f>
        <v>62</v>
      </c>
      <c r="V198" s="8" t="n">
        <f aca="false">R198-D198</f>
        <v>60</v>
      </c>
      <c r="W198" s="8" t="n">
        <f aca="false">R198-E198</f>
        <v>61</v>
      </c>
      <c r="X198" s="8" t="n">
        <f aca="false">R198-F198</f>
        <v>61</v>
      </c>
      <c r="Y198" s="8" t="n">
        <f aca="false">R198-G198</f>
        <v>60</v>
      </c>
      <c r="Z198" s="8" t="n">
        <f aca="false">R198-H198</f>
        <v>60</v>
      </c>
      <c r="AA198" s="8" t="n">
        <f aca="false">R198-I198</f>
        <v>60</v>
      </c>
      <c r="AB198" s="8" t="n">
        <f aca="false">R198-J198</f>
        <v>62</v>
      </c>
      <c r="AC198" s="8" t="n">
        <f aca="false">R198-K198</f>
        <v>60</v>
      </c>
      <c r="AD198" s="8" t="n">
        <f aca="false">R198-L198</f>
        <v>61</v>
      </c>
      <c r="AE198" s="8" t="n">
        <f aca="false">R198-M198</f>
        <v>61</v>
      </c>
      <c r="AF198" s="8" t="n">
        <f aca="false">R198-N198</f>
        <v>62</v>
      </c>
      <c r="AG198" s="8" t="n">
        <f aca="false">R198-O198</f>
        <v>62</v>
      </c>
      <c r="AH198" s="8" t="n">
        <f aca="false">R198-P198</f>
        <v>62</v>
      </c>
      <c r="AI198" s="8" t="n">
        <f aca="false">R198-Q198</f>
        <v>61</v>
      </c>
    </row>
    <row r="199" customFormat="false" ht="15" hidden="false" customHeight="false" outlineLevel="0" collapsed="false">
      <c r="A199" s="7" t="s">
        <v>285</v>
      </c>
      <c r="B199" s="9" t="n">
        <v>3</v>
      </c>
      <c r="C199" s="9" t="n">
        <v>3</v>
      </c>
      <c r="D199" s="9" t="n">
        <v>4</v>
      </c>
      <c r="E199" s="9" t="n">
        <v>3</v>
      </c>
      <c r="F199" s="9" t="n">
        <v>4</v>
      </c>
      <c r="G199" s="9" t="n">
        <v>5</v>
      </c>
      <c r="H199" s="9" t="n">
        <v>4</v>
      </c>
      <c r="I199" s="9" t="n">
        <v>4</v>
      </c>
      <c r="J199" s="9" t="n">
        <v>5</v>
      </c>
      <c r="K199" s="9" t="n">
        <v>4</v>
      </c>
      <c r="L199" s="9" t="n">
        <v>5</v>
      </c>
      <c r="M199" s="9" t="n">
        <v>5</v>
      </c>
      <c r="N199" s="9" t="n">
        <v>4</v>
      </c>
      <c r="O199" s="9" t="n">
        <v>5</v>
      </c>
      <c r="P199" s="9" t="n">
        <v>4</v>
      </c>
      <c r="Q199" s="9" t="n">
        <v>5</v>
      </c>
      <c r="R199" s="8" t="n">
        <f aca="false">SUM(B199:Q199)</f>
        <v>67</v>
      </c>
      <c r="S199" s="8" t="str">
        <f aca="false">IF(R199&gt;=5_項目分析!$B$6,"高",IF(R199&lt;=5_項目分析!$B$5,"低",""))</f>
        <v>高</v>
      </c>
      <c r="T199" s="8" t="n">
        <f aca="false">R199-B199</f>
        <v>64</v>
      </c>
      <c r="U199" s="8" t="n">
        <f aca="false">R199-C199</f>
        <v>64</v>
      </c>
      <c r="V199" s="8" t="n">
        <f aca="false">R199-D199</f>
        <v>63</v>
      </c>
      <c r="W199" s="8" t="n">
        <f aca="false">R199-E199</f>
        <v>64</v>
      </c>
      <c r="X199" s="8" t="n">
        <f aca="false">R199-F199</f>
        <v>63</v>
      </c>
      <c r="Y199" s="8" t="n">
        <f aca="false">R199-G199</f>
        <v>62</v>
      </c>
      <c r="Z199" s="8" t="n">
        <f aca="false">R199-H199</f>
        <v>63</v>
      </c>
      <c r="AA199" s="8" t="n">
        <f aca="false">R199-I199</f>
        <v>63</v>
      </c>
      <c r="AB199" s="8" t="n">
        <f aca="false">R199-J199</f>
        <v>62</v>
      </c>
      <c r="AC199" s="8" t="n">
        <f aca="false">R199-K199</f>
        <v>63</v>
      </c>
      <c r="AD199" s="8" t="n">
        <f aca="false">R199-L199</f>
        <v>62</v>
      </c>
      <c r="AE199" s="8" t="n">
        <f aca="false">R199-M199</f>
        <v>62</v>
      </c>
      <c r="AF199" s="8" t="n">
        <f aca="false">R199-N199</f>
        <v>63</v>
      </c>
      <c r="AG199" s="8" t="n">
        <f aca="false">R199-O199</f>
        <v>62</v>
      </c>
      <c r="AH199" s="8" t="n">
        <f aca="false">R199-P199</f>
        <v>63</v>
      </c>
      <c r="AI199" s="8" t="n">
        <f aca="false">R199-Q199</f>
        <v>62</v>
      </c>
    </row>
    <row r="200" customFormat="false" ht="15" hidden="false" customHeight="false" outlineLevel="0" collapsed="false">
      <c r="A200" s="7" t="s">
        <v>286</v>
      </c>
      <c r="B200" s="9" t="n">
        <v>3</v>
      </c>
      <c r="C200" s="9" t="n">
        <v>3</v>
      </c>
      <c r="D200" s="9" t="n">
        <v>2</v>
      </c>
      <c r="E200" s="9" t="n">
        <v>2</v>
      </c>
      <c r="F200" s="9" t="n">
        <v>4</v>
      </c>
      <c r="G200" s="9" t="n">
        <v>3</v>
      </c>
      <c r="H200" s="9" t="n">
        <v>3</v>
      </c>
      <c r="I200" s="9" t="n">
        <v>4</v>
      </c>
      <c r="J200" s="9" t="n">
        <v>4</v>
      </c>
      <c r="K200" s="9" t="n">
        <v>3</v>
      </c>
      <c r="L200" s="9" t="n">
        <v>5</v>
      </c>
      <c r="M200" s="9" t="n">
        <v>4</v>
      </c>
      <c r="N200" s="9" t="n">
        <v>5</v>
      </c>
      <c r="O200" s="9" t="n">
        <v>5</v>
      </c>
      <c r="P200" s="9" t="n">
        <v>4</v>
      </c>
      <c r="Q200" s="9" t="n">
        <v>5</v>
      </c>
      <c r="R200" s="8" t="n">
        <f aca="false">SUM(B200:Q200)</f>
        <v>59</v>
      </c>
      <c r="S200" s="8" t="str">
        <f aca="false">IF(R200&gt;=5_項目分析!$B$6,"高",IF(R200&lt;=5_項目分析!$B$5,"低",""))</f>
        <v/>
      </c>
      <c r="T200" s="8" t="n">
        <f aca="false">R200-B200</f>
        <v>56</v>
      </c>
      <c r="U200" s="8" t="n">
        <f aca="false">R200-C200</f>
        <v>56</v>
      </c>
      <c r="V200" s="8" t="n">
        <f aca="false">R200-D200</f>
        <v>57</v>
      </c>
      <c r="W200" s="8" t="n">
        <f aca="false">R200-E200</f>
        <v>57</v>
      </c>
      <c r="X200" s="8" t="n">
        <f aca="false">R200-F200</f>
        <v>55</v>
      </c>
      <c r="Y200" s="8" t="n">
        <f aca="false">R200-G200</f>
        <v>56</v>
      </c>
      <c r="Z200" s="8" t="n">
        <f aca="false">R200-H200</f>
        <v>56</v>
      </c>
      <c r="AA200" s="8" t="n">
        <f aca="false">R200-I200</f>
        <v>55</v>
      </c>
      <c r="AB200" s="8" t="n">
        <f aca="false">R200-J200</f>
        <v>55</v>
      </c>
      <c r="AC200" s="8" t="n">
        <f aca="false">R200-K200</f>
        <v>56</v>
      </c>
      <c r="AD200" s="8" t="n">
        <f aca="false">R200-L200</f>
        <v>54</v>
      </c>
      <c r="AE200" s="8" t="n">
        <f aca="false">R200-M200</f>
        <v>55</v>
      </c>
      <c r="AF200" s="8" t="n">
        <f aca="false">R200-N200</f>
        <v>54</v>
      </c>
      <c r="AG200" s="8" t="n">
        <f aca="false">R200-O200</f>
        <v>54</v>
      </c>
      <c r="AH200" s="8" t="n">
        <f aca="false">R200-P200</f>
        <v>55</v>
      </c>
      <c r="AI200" s="8" t="n">
        <f aca="false">R200-Q200</f>
        <v>54</v>
      </c>
    </row>
    <row r="201" customFormat="false" ht="15" hidden="false" customHeight="false" outlineLevel="0" collapsed="false">
      <c r="A201" s="7" t="s">
        <v>287</v>
      </c>
      <c r="B201" s="9" t="n">
        <v>2</v>
      </c>
      <c r="C201" s="9" t="n">
        <v>3</v>
      </c>
      <c r="D201" s="9" t="n">
        <v>3</v>
      </c>
      <c r="E201" s="9" t="n">
        <v>3</v>
      </c>
      <c r="F201" s="9" t="n">
        <v>3</v>
      </c>
      <c r="G201" s="9" t="n">
        <v>2</v>
      </c>
      <c r="H201" s="9" t="n">
        <v>3</v>
      </c>
      <c r="I201" s="9" t="n">
        <v>3</v>
      </c>
      <c r="J201" s="9" t="n">
        <v>2</v>
      </c>
      <c r="K201" s="9" t="n">
        <v>3</v>
      </c>
      <c r="L201" s="9" t="n">
        <v>4</v>
      </c>
      <c r="M201" s="9" t="n">
        <v>3</v>
      </c>
      <c r="N201" s="9" t="n">
        <v>4</v>
      </c>
      <c r="O201" s="9" t="n">
        <v>3</v>
      </c>
      <c r="P201" s="9" t="n">
        <v>3</v>
      </c>
      <c r="Q201" s="9" t="n">
        <v>5</v>
      </c>
      <c r="R201" s="8" t="n">
        <f aca="false">SUM(B201:Q201)</f>
        <v>49</v>
      </c>
      <c r="S201" s="8" t="str">
        <f aca="false">IF(R201&gt;=5_項目分析!$B$6,"高",IF(R201&lt;=5_項目分析!$B$5,"低",""))</f>
        <v>低</v>
      </c>
      <c r="T201" s="8" t="n">
        <f aca="false">R201-B201</f>
        <v>47</v>
      </c>
      <c r="U201" s="8" t="n">
        <f aca="false">R201-C201</f>
        <v>46</v>
      </c>
      <c r="V201" s="8" t="n">
        <f aca="false">R201-D201</f>
        <v>46</v>
      </c>
      <c r="W201" s="8" t="n">
        <f aca="false">R201-E201</f>
        <v>46</v>
      </c>
      <c r="X201" s="8" t="n">
        <f aca="false">R201-F201</f>
        <v>46</v>
      </c>
      <c r="Y201" s="8" t="n">
        <f aca="false">R201-G201</f>
        <v>47</v>
      </c>
      <c r="Z201" s="8" t="n">
        <f aca="false">R201-H201</f>
        <v>46</v>
      </c>
      <c r="AA201" s="8" t="n">
        <f aca="false">R201-I201</f>
        <v>46</v>
      </c>
      <c r="AB201" s="8" t="n">
        <f aca="false">R201-J201</f>
        <v>47</v>
      </c>
      <c r="AC201" s="8" t="n">
        <f aca="false">R201-K201</f>
        <v>46</v>
      </c>
      <c r="AD201" s="8" t="n">
        <f aca="false">R201-L201</f>
        <v>45</v>
      </c>
      <c r="AE201" s="8" t="n">
        <f aca="false">R201-M201</f>
        <v>46</v>
      </c>
      <c r="AF201" s="8" t="n">
        <f aca="false">R201-N201</f>
        <v>45</v>
      </c>
      <c r="AG201" s="8" t="n">
        <f aca="false">R201-O201</f>
        <v>46</v>
      </c>
      <c r="AH201" s="8" t="n">
        <f aca="false">R201-P201</f>
        <v>46</v>
      </c>
      <c r="AI201" s="8" t="n">
        <f aca="false">R201-Q201</f>
        <v>44</v>
      </c>
    </row>
    <row r="202" customFormat="false" ht="15" hidden="false" customHeight="false" outlineLevel="0" collapsed="false">
      <c r="A202" s="7" t="s">
        <v>288</v>
      </c>
      <c r="B202" s="9" t="n">
        <v>5</v>
      </c>
      <c r="C202" s="9" t="n">
        <v>5</v>
      </c>
      <c r="D202" s="9" t="n">
        <v>4</v>
      </c>
      <c r="E202" s="9" t="n">
        <v>5</v>
      </c>
      <c r="F202" s="9" t="n">
        <v>4</v>
      </c>
      <c r="G202" s="9" t="n">
        <v>4</v>
      </c>
      <c r="H202" s="9" t="n">
        <v>4</v>
      </c>
      <c r="I202" s="9" t="n">
        <v>4</v>
      </c>
      <c r="J202" s="9" t="n">
        <v>3</v>
      </c>
      <c r="K202" s="9" t="n">
        <v>5</v>
      </c>
      <c r="L202" s="9" t="n">
        <v>4</v>
      </c>
      <c r="M202" s="9" t="n">
        <v>3</v>
      </c>
      <c r="N202" s="9" t="n">
        <v>3</v>
      </c>
      <c r="O202" s="9" t="n">
        <v>4</v>
      </c>
      <c r="P202" s="9" t="n">
        <v>2</v>
      </c>
      <c r="Q202" s="9" t="n">
        <v>5</v>
      </c>
      <c r="R202" s="8" t="n">
        <f aca="false">SUM(B202:Q202)</f>
        <v>64</v>
      </c>
      <c r="S202" s="8" t="str">
        <f aca="false">IF(R202&gt;=5_項目分析!$B$6,"高",IF(R202&lt;=5_項目分析!$B$5,"低",""))</f>
        <v/>
      </c>
      <c r="T202" s="8" t="n">
        <f aca="false">R202-B202</f>
        <v>59</v>
      </c>
      <c r="U202" s="8" t="n">
        <f aca="false">R202-C202</f>
        <v>59</v>
      </c>
      <c r="V202" s="8" t="n">
        <f aca="false">R202-D202</f>
        <v>60</v>
      </c>
      <c r="W202" s="8" t="n">
        <f aca="false">R202-E202</f>
        <v>59</v>
      </c>
      <c r="X202" s="8" t="n">
        <f aca="false">R202-F202</f>
        <v>60</v>
      </c>
      <c r="Y202" s="8" t="n">
        <f aca="false">R202-G202</f>
        <v>60</v>
      </c>
      <c r="Z202" s="8" t="n">
        <f aca="false">R202-H202</f>
        <v>60</v>
      </c>
      <c r="AA202" s="8" t="n">
        <f aca="false">R202-I202</f>
        <v>60</v>
      </c>
      <c r="AB202" s="8" t="n">
        <f aca="false">R202-J202</f>
        <v>61</v>
      </c>
      <c r="AC202" s="8" t="n">
        <f aca="false">R202-K202</f>
        <v>59</v>
      </c>
      <c r="AD202" s="8" t="n">
        <f aca="false">R202-L202</f>
        <v>60</v>
      </c>
      <c r="AE202" s="8" t="n">
        <f aca="false">R202-M202</f>
        <v>61</v>
      </c>
      <c r="AF202" s="8" t="n">
        <f aca="false">R202-N202</f>
        <v>61</v>
      </c>
      <c r="AG202" s="8" t="n">
        <f aca="false">R202-O202</f>
        <v>60</v>
      </c>
      <c r="AH202" s="8" t="n">
        <f aca="false">R202-P202</f>
        <v>62</v>
      </c>
      <c r="AI202" s="8" t="n">
        <f aca="false">R202-Q202</f>
        <v>59</v>
      </c>
    </row>
    <row r="203" customFormat="false" ht="15" hidden="false" customHeight="false" outlineLevel="0" collapsed="false">
      <c r="A203" s="7" t="s">
        <v>289</v>
      </c>
      <c r="B203" s="9" t="n">
        <v>5</v>
      </c>
      <c r="C203" s="9" t="n">
        <v>4</v>
      </c>
      <c r="D203" s="9" t="n">
        <v>4</v>
      </c>
      <c r="E203" s="9" t="n">
        <v>3</v>
      </c>
      <c r="F203" s="9" t="n">
        <v>4</v>
      </c>
      <c r="G203" s="9" t="n">
        <v>3</v>
      </c>
      <c r="H203" s="9" t="n">
        <v>5</v>
      </c>
      <c r="I203" s="9" t="n">
        <v>3</v>
      </c>
      <c r="J203" s="9" t="n">
        <v>4</v>
      </c>
      <c r="K203" s="9" t="n">
        <v>3</v>
      </c>
      <c r="L203" s="9" t="n">
        <v>5</v>
      </c>
      <c r="M203" s="9" t="n">
        <v>5</v>
      </c>
      <c r="N203" s="9" t="n">
        <v>5</v>
      </c>
      <c r="O203" s="9" t="n">
        <v>5</v>
      </c>
      <c r="P203" s="9" t="n">
        <v>5</v>
      </c>
      <c r="Q203" s="9" t="n">
        <v>4</v>
      </c>
      <c r="R203" s="8" t="n">
        <f aca="false">SUM(B203:Q203)</f>
        <v>67</v>
      </c>
      <c r="S203" s="8" t="str">
        <f aca="false">IF(R203&gt;=5_項目分析!$B$6,"高",IF(R203&lt;=5_項目分析!$B$5,"低",""))</f>
        <v>高</v>
      </c>
      <c r="T203" s="8" t="n">
        <f aca="false">R203-B203</f>
        <v>62</v>
      </c>
      <c r="U203" s="8" t="n">
        <f aca="false">R203-C203</f>
        <v>63</v>
      </c>
      <c r="V203" s="8" t="n">
        <f aca="false">R203-D203</f>
        <v>63</v>
      </c>
      <c r="W203" s="8" t="n">
        <f aca="false">R203-E203</f>
        <v>64</v>
      </c>
      <c r="X203" s="8" t="n">
        <f aca="false">R203-F203</f>
        <v>63</v>
      </c>
      <c r="Y203" s="8" t="n">
        <f aca="false">R203-G203</f>
        <v>64</v>
      </c>
      <c r="Z203" s="8" t="n">
        <f aca="false">R203-H203</f>
        <v>62</v>
      </c>
      <c r="AA203" s="8" t="n">
        <f aca="false">R203-I203</f>
        <v>64</v>
      </c>
      <c r="AB203" s="8" t="n">
        <f aca="false">R203-J203</f>
        <v>63</v>
      </c>
      <c r="AC203" s="8" t="n">
        <f aca="false">R203-K203</f>
        <v>64</v>
      </c>
      <c r="AD203" s="8" t="n">
        <f aca="false">R203-L203</f>
        <v>62</v>
      </c>
      <c r="AE203" s="8" t="n">
        <f aca="false">R203-M203</f>
        <v>62</v>
      </c>
      <c r="AF203" s="8" t="n">
        <f aca="false">R203-N203</f>
        <v>62</v>
      </c>
      <c r="AG203" s="8" t="n">
        <f aca="false">R203-O203</f>
        <v>62</v>
      </c>
      <c r="AH203" s="8" t="n">
        <f aca="false">R203-P203</f>
        <v>62</v>
      </c>
      <c r="AI203" s="8" t="n">
        <f aca="false">R203-Q203</f>
        <v>63</v>
      </c>
    </row>
    <row r="204" customFormat="false" ht="15" hidden="false" customHeight="false" outlineLevel="0" collapsed="false">
      <c r="A204" s="7" t="s">
        <v>290</v>
      </c>
      <c r="B204" s="9" t="n">
        <v>4</v>
      </c>
      <c r="C204" s="9" t="n">
        <v>4</v>
      </c>
      <c r="D204" s="9" t="n">
        <v>4</v>
      </c>
      <c r="E204" s="9" t="n">
        <v>4</v>
      </c>
      <c r="F204" s="9" t="n">
        <v>4</v>
      </c>
      <c r="G204" s="9" t="n">
        <v>2</v>
      </c>
      <c r="H204" s="9" t="n">
        <v>2</v>
      </c>
      <c r="I204" s="9" t="n">
        <v>2</v>
      </c>
      <c r="J204" s="9" t="n">
        <v>3</v>
      </c>
      <c r="K204" s="9" t="n">
        <v>3</v>
      </c>
      <c r="L204" s="9" t="n">
        <v>5</v>
      </c>
      <c r="M204" s="9" t="n">
        <v>4</v>
      </c>
      <c r="N204" s="9" t="n">
        <v>4</v>
      </c>
      <c r="O204" s="9" t="n">
        <v>5</v>
      </c>
      <c r="P204" s="9" t="n">
        <v>5</v>
      </c>
      <c r="Q204" s="9" t="n">
        <v>5</v>
      </c>
      <c r="R204" s="8" t="n">
        <f aca="false">SUM(B204:Q204)</f>
        <v>60</v>
      </c>
      <c r="S204" s="8" t="str">
        <f aca="false">IF(R204&gt;=5_項目分析!$B$6,"高",IF(R204&lt;=5_項目分析!$B$5,"低",""))</f>
        <v/>
      </c>
      <c r="T204" s="8" t="n">
        <f aca="false">R204-B204</f>
        <v>56</v>
      </c>
      <c r="U204" s="8" t="n">
        <f aca="false">R204-C204</f>
        <v>56</v>
      </c>
      <c r="V204" s="8" t="n">
        <f aca="false">R204-D204</f>
        <v>56</v>
      </c>
      <c r="W204" s="8" t="n">
        <f aca="false">R204-E204</f>
        <v>56</v>
      </c>
      <c r="X204" s="8" t="n">
        <f aca="false">R204-F204</f>
        <v>56</v>
      </c>
      <c r="Y204" s="8" t="n">
        <f aca="false">R204-G204</f>
        <v>58</v>
      </c>
      <c r="Z204" s="8" t="n">
        <f aca="false">R204-H204</f>
        <v>58</v>
      </c>
      <c r="AA204" s="8" t="n">
        <f aca="false">R204-I204</f>
        <v>58</v>
      </c>
      <c r="AB204" s="8" t="n">
        <f aca="false">R204-J204</f>
        <v>57</v>
      </c>
      <c r="AC204" s="8" t="n">
        <f aca="false">R204-K204</f>
        <v>57</v>
      </c>
      <c r="AD204" s="8" t="n">
        <f aca="false">R204-L204</f>
        <v>55</v>
      </c>
      <c r="AE204" s="8" t="n">
        <f aca="false">R204-M204</f>
        <v>56</v>
      </c>
      <c r="AF204" s="8" t="n">
        <f aca="false">R204-N204</f>
        <v>56</v>
      </c>
      <c r="AG204" s="8" t="n">
        <f aca="false">R204-O204</f>
        <v>55</v>
      </c>
      <c r="AH204" s="8" t="n">
        <f aca="false">R204-P204</f>
        <v>55</v>
      </c>
      <c r="AI204" s="8" t="n">
        <f aca="false">R204-Q204</f>
        <v>55</v>
      </c>
    </row>
    <row r="205" customFormat="false" ht="15" hidden="false" customHeight="false" outlineLevel="0" collapsed="false">
      <c r="A205" s="7" t="s">
        <v>291</v>
      </c>
      <c r="B205" s="9" t="n">
        <v>4</v>
      </c>
      <c r="C205" s="9" t="n">
        <v>4</v>
      </c>
      <c r="D205" s="9" t="n">
        <v>3</v>
      </c>
      <c r="E205" s="9" t="n">
        <v>4</v>
      </c>
      <c r="F205" s="9" t="n">
        <v>4</v>
      </c>
      <c r="G205" s="9" t="n">
        <v>5</v>
      </c>
      <c r="H205" s="9" t="n">
        <v>4</v>
      </c>
      <c r="I205" s="9" t="n">
        <v>4</v>
      </c>
      <c r="J205" s="9" t="n">
        <v>5</v>
      </c>
      <c r="K205" s="9" t="n">
        <v>4</v>
      </c>
      <c r="L205" s="9" t="n">
        <v>5</v>
      </c>
      <c r="M205" s="9" t="n">
        <v>4</v>
      </c>
      <c r="N205" s="9" t="n">
        <v>5</v>
      </c>
      <c r="O205" s="9" t="n">
        <v>4</v>
      </c>
      <c r="P205" s="9" t="n">
        <v>4</v>
      </c>
      <c r="Q205" s="9" t="n">
        <v>4</v>
      </c>
      <c r="R205" s="8" t="n">
        <f aca="false">SUM(B205:Q205)</f>
        <v>67</v>
      </c>
      <c r="S205" s="8" t="str">
        <f aca="false">IF(R205&gt;=5_項目分析!$B$6,"高",IF(R205&lt;=5_項目分析!$B$5,"低",""))</f>
        <v>高</v>
      </c>
      <c r="T205" s="8" t="n">
        <f aca="false">R205-B205</f>
        <v>63</v>
      </c>
      <c r="U205" s="8" t="n">
        <f aca="false">R205-C205</f>
        <v>63</v>
      </c>
      <c r="V205" s="8" t="n">
        <f aca="false">R205-D205</f>
        <v>64</v>
      </c>
      <c r="W205" s="8" t="n">
        <f aca="false">R205-E205</f>
        <v>63</v>
      </c>
      <c r="X205" s="8" t="n">
        <f aca="false">R205-F205</f>
        <v>63</v>
      </c>
      <c r="Y205" s="8" t="n">
        <f aca="false">R205-G205</f>
        <v>62</v>
      </c>
      <c r="Z205" s="8" t="n">
        <f aca="false">R205-H205</f>
        <v>63</v>
      </c>
      <c r="AA205" s="8" t="n">
        <f aca="false">R205-I205</f>
        <v>63</v>
      </c>
      <c r="AB205" s="8" t="n">
        <f aca="false">R205-J205</f>
        <v>62</v>
      </c>
      <c r="AC205" s="8" t="n">
        <f aca="false">R205-K205</f>
        <v>63</v>
      </c>
      <c r="AD205" s="8" t="n">
        <f aca="false">R205-L205</f>
        <v>62</v>
      </c>
      <c r="AE205" s="8" t="n">
        <f aca="false">R205-M205</f>
        <v>63</v>
      </c>
      <c r="AF205" s="8" t="n">
        <f aca="false">R205-N205</f>
        <v>62</v>
      </c>
      <c r="AG205" s="8" t="n">
        <f aca="false">R205-O205</f>
        <v>63</v>
      </c>
      <c r="AH205" s="8" t="n">
        <f aca="false">R205-P205</f>
        <v>63</v>
      </c>
      <c r="AI205" s="8" t="n">
        <f aca="false">R205-Q205</f>
        <v>63</v>
      </c>
    </row>
    <row r="206" customFormat="false" ht="15" hidden="false" customHeight="false" outlineLevel="0" collapsed="false">
      <c r="A206" s="7" t="s">
        <v>292</v>
      </c>
      <c r="B206" s="9" t="n">
        <v>5</v>
      </c>
      <c r="C206" s="9" t="n">
        <v>4</v>
      </c>
      <c r="D206" s="9" t="n">
        <v>5</v>
      </c>
      <c r="E206" s="9" t="n">
        <v>4</v>
      </c>
      <c r="F206" s="9" t="n">
        <v>4</v>
      </c>
      <c r="G206" s="9" t="n">
        <v>4</v>
      </c>
      <c r="H206" s="9" t="n">
        <v>4</v>
      </c>
      <c r="I206" s="9" t="n">
        <v>4</v>
      </c>
      <c r="J206" s="9" t="n">
        <v>4</v>
      </c>
      <c r="K206" s="9" t="n">
        <v>5</v>
      </c>
      <c r="L206" s="9" t="n">
        <v>3</v>
      </c>
      <c r="M206" s="9" t="n">
        <v>4</v>
      </c>
      <c r="N206" s="9" t="n">
        <v>3</v>
      </c>
      <c r="O206" s="9" t="n">
        <v>4</v>
      </c>
      <c r="P206" s="9" t="n">
        <v>2</v>
      </c>
      <c r="Q206" s="9" t="n">
        <v>5</v>
      </c>
      <c r="R206" s="8" t="n">
        <f aca="false">SUM(B206:Q206)</f>
        <v>64</v>
      </c>
      <c r="S206" s="8" t="str">
        <f aca="false">IF(R206&gt;=5_項目分析!$B$6,"高",IF(R206&lt;=5_項目分析!$B$5,"低",""))</f>
        <v/>
      </c>
      <c r="T206" s="8" t="n">
        <f aca="false">R206-B206</f>
        <v>59</v>
      </c>
      <c r="U206" s="8" t="n">
        <f aca="false">R206-C206</f>
        <v>60</v>
      </c>
      <c r="V206" s="8" t="n">
        <f aca="false">R206-D206</f>
        <v>59</v>
      </c>
      <c r="W206" s="8" t="n">
        <f aca="false">R206-E206</f>
        <v>60</v>
      </c>
      <c r="X206" s="8" t="n">
        <f aca="false">R206-F206</f>
        <v>60</v>
      </c>
      <c r="Y206" s="8" t="n">
        <f aca="false">R206-G206</f>
        <v>60</v>
      </c>
      <c r="Z206" s="8" t="n">
        <f aca="false">R206-H206</f>
        <v>60</v>
      </c>
      <c r="AA206" s="8" t="n">
        <f aca="false">R206-I206</f>
        <v>60</v>
      </c>
      <c r="AB206" s="8" t="n">
        <f aca="false">R206-J206</f>
        <v>60</v>
      </c>
      <c r="AC206" s="8" t="n">
        <f aca="false">R206-K206</f>
        <v>59</v>
      </c>
      <c r="AD206" s="8" t="n">
        <f aca="false">R206-L206</f>
        <v>61</v>
      </c>
      <c r="AE206" s="8" t="n">
        <f aca="false">R206-M206</f>
        <v>60</v>
      </c>
      <c r="AF206" s="8" t="n">
        <f aca="false">R206-N206</f>
        <v>61</v>
      </c>
      <c r="AG206" s="8" t="n">
        <f aca="false">R206-O206</f>
        <v>60</v>
      </c>
      <c r="AH206" s="8" t="n">
        <f aca="false">R206-P206</f>
        <v>62</v>
      </c>
      <c r="AI206" s="8" t="n">
        <f aca="false">R206-Q206</f>
        <v>59</v>
      </c>
    </row>
    <row r="207" customFormat="false" ht="15" hidden="false" customHeight="false" outlineLevel="0" collapsed="false">
      <c r="A207" s="7" t="s">
        <v>293</v>
      </c>
      <c r="B207" s="9" t="n">
        <v>4</v>
      </c>
      <c r="C207" s="9" t="n">
        <v>4</v>
      </c>
      <c r="D207" s="9" t="n">
        <v>5</v>
      </c>
      <c r="E207" s="9" t="n">
        <v>5</v>
      </c>
      <c r="F207" s="9" t="n">
        <v>5</v>
      </c>
      <c r="G207" s="9" t="n">
        <v>4</v>
      </c>
      <c r="H207" s="9" t="n">
        <v>4</v>
      </c>
      <c r="I207" s="9" t="n">
        <v>5</v>
      </c>
      <c r="J207" s="9" t="n">
        <v>1</v>
      </c>
      <c r="K207" s="9" t="n">
        <v>5</v>
      </c>
      <c r="L207" s="9" t="n">
        <v>5</v>
      </c>
      <c r="M207" s="9" t="n">
        <v>4</v>
      </c>
      <c r="N207" s="9" t="n">
        <v>4</v>
      </c>
      <c r="O207" s="9" t="n">
        <v>4</v>
      </c>
      <c r="P207" s="9" t="n">
        <v>5</v>
      </c>
      <c r="Q207" s="9" t="n">
        <v>5</v>
      </c>
      <c r="R207" s="8" t="n">
        <f aca="false">SUM(B207:Q207)</f>
        <v>69</v>
      </c>
      <c r="S207" s="8" t="str">
        <f aca="false">IF(R207&gt;=5_項目分析!$B$6,"高",IF(R207&lt;=5_項目分析!$B$5,"低",""))</f>
        <v>高</v>
      </c>
      <c r="T207" s="8" t="n">
        <f aca="false">R207-B207</f>
        <v>65</v>
      </c>
      <c r="U207" s="8" t="n">
        <f aca="false">R207-C207</f>
        <v>65</v>
      </c>
      <c r="V207" s="8" t="n">
        <f aca="false">R207-D207</f>
        <v>64</v>
      </c>
      <c r="W207" s="8" t="n">
        <f aca="false">R207-E207</f>
        <v>64</v>
      </c>
      <c r="X207" s="8" t="n">
        <f aca="false">R207-F207</f>
        <v>64</v>
      </c>
      <c r="Y207" s="8" t="n">
        <f aca="false">R207-G207</f>
        <v>65</v>
      </c>
      <c r="Z207" s="8" t="n">
        <f aca="false">R207-H207</f>
        <v>65</v>
      </c>
      <c r="AA207" s="8" t="n">
        <f aca="false">R207-I207</f>
        <v>64</v>
      </c>
      <c r="AB207" s="8" t="n">
        <f aca="false">R207-J207</f>
        <v>68</v>
      </c>
      <c r="AC207" s="8" t="n">
        <f aca="false">R207-K207</f>
        <v>64</v>
      </c>
      <c r="AD207" s="8" t="n">
        <f aca="false">R207-L207</f>
        <v>64</v>
      </c>
      <c r="AE207" s="8" t="n">
        <f aca="false">R207-M207</f>
        <v>65</v>
      </c>
      <c r="AF207" s="8" t="n">
        <f aca="false">R207-N207</f>
        <v>65</v>
      </c>
      <c r="AG207" s="8" t="n">
        <f aca="false">R207-O207</f>
        <v>65</v>
      </c>
      <c r="AH207" s="8" t="n">
        <f aca="false">R207-P207</f>
        <v>64</v>
      </c>
      <c r="AI207" s="8" t="n">
        <f aca="false">R207-Q207</f>
        <v>64</v>
      </c>
    </row>
    <row r="208" customFormat="false" ht="15" hidden="false" customHeight="false" outlineLevel="0" collapsed="false">
      <c r="A208" s="7" t="s">
        <v>294</v>
      </c>
      <c r="B208" s="9" t="n">
        <v>3</v>
      </c>
      <c r="C208" s="9" t="n">
        <v>3</v>
      </c>
      <c r="D208" s="9" t="n">
        <v>4</v>
      </c>
      <c r="E208" s="9" t="n">
        <v>5</v>
      </c>
      <c r="F208" s="9" t="n">
        <v>4</v>
      </c>
      <c r="G208" s="9" t="n">
        <v>4</v>
      </c>
      <c r="H208" s="9" t="n">
        <v>5</v>
      </c>
      <c r="I208" s="9" t="n">
        <v>5</v>
      </c>
      <c r="J208" s="9" t="n">
        <v>5</v>
      </c>
      <c r="K208" s="9" t="n">
        <v>4</v>
      </c>
      <c r="L208" s="9" t="n">
        <v>3</v>
      </c>
      <c r="M208" s="9" t="n">
        <v>4</v>
      </c>
      <c r="N208" s="9" t="n">
        <v>4</v>
      </c>
      <c r="O208" s="9" t="n">
        <v>3</v>
      </c>
      <c r="P208" s="9" t="n">
        <v>2</v>
      </c>
      <c r="Q208" s="9" t="n">
        <v>5</v>
      </c>
      <c r="R208" s="8" t="n">
        <f aca="false">SUM(B208:Q208)</f>
        <v>63</v>
      </c>
      <c r="S208" s="8" t="str">
        <f aca="false">IF(R208&gt;=5_項目分析!$B$6,"高",IF(R208&lt;=5_項目分析!$B$5,"低",""))</f>
        <v/>
      </c>
      <c r="T208" s="8" t="n">
        <f aca="false">R208-B208</f>
        <v>60</v>
      </c>
      <c r="U208" s="8" t="n">
        <f aca="false">R208-C208</f>
        <v>60</v>
      </c>
      <c r="V208" s="8" t="n">
        <f aca="false">R208-D208</f>
        <v>59</v>
      </c>
      <c r="W208" s="8" t="n">
        <f aca="false">R208-E208</f>
        <v>58</v>
      </c>
      <c r="X208" s="8" t="n">
        <f aca="false">R208-F208</f>
        <v>59</v>
      </c>
      <c r="Y208" s="8" t="n">
        <f aca="false">R208-G208</f>
        <v>59</v>
      </c>
      <c r="Z208" s="8" t="n">
        <f aca="false">R208-H208</f>
        <v>58</v>
      </c>
      <c r="AA208" s="8" t="n">
        <f aca="false">R208-I208</f>
        <v>58</v>
      </c>
      <c r="AB208" s="8" t="n">
        <f aca="false">R208-J208</f>
        <v>58</v>
      </c>
      <c r="AC208" s="8" t="n">
        <f aca="false">R208-K208</f>
        <v>59</v>
      </c>
      <c r="AD208" s="8" t="n">
        <f aca="false">R208-L208</f>
        <v>60</v>
      </c>
      <c r="AE208" s="8" t="n">
        <f aca="false">R208-M208</f>
        <v>59</v>
      </c>
      <c r="AF208" s="8" t="n">
        <f aca="false">R208-N208</f>
        <v>59</v>
      </c>
      <c r="AG208" s="8" t="n">
        <f aca="false">R208-O208</f>
        <v>60</v>
      </c>
      <c r="AH208" s="8" t="n">
        <f aca="false">R208-P208</f>
        <v>61</v>
      </c>
      <c r="AI208" s="8" t="n">
        <f aca="false">R208-Q208</f>
        <v>58</v>
      </c>
    </row>
    <row r="209" customFormat="false" ht="15" hidden="false" customHeight="false" outlineLevel="0" collapsed="false">
      <c r="A209" s="7" t="s">
        <v>295</v>
      </c>
      <c r="B209" s="9" t="n">
        <v>4</v>
      </c>
      <c r="C209" s="9" t="n">
        <v>3</v>
      </c>
      <c r="D209" s="9" t="n">
        <v>4</v>
      </c>
      <c r="E209" s="9" t="n">
        <v>3</v>
      </c>
      <c r="F209" s="9" t="n">
        <v>4</v>
      </c>
      <c r="G209" s="9" t="n">
        <v>3</v>
      </c>
      <c r="H209" s="9" t="n">
        <v>4</v>
      </c>
      <c r="I209" s="9" t="n">
        <v>3</v>
      </c>
      <c r="J209" s="9" t="n">
        <v>2</v>
      </c>
      <c r="K209" s="9" t="n">
        <v>4</v>
      </c>
      <c r="L209" s="9" t="n">
        <v>3</v>
      </c>
      <c r="M209" s="9" t="n">
        <v>3</v>
      </c>
      <c r="N209" s="9" t="n">
        <v>4</v>
      </c>
      <c r="O209" s="9" t="n">
        <v>3</v>
      </c>
      <c r="P209" s="9" t="n">
        <v>3</v>
      </c>
      <c r="Q209" s="9" t="n">
        <v>5</v>
      </c>
      <c r="R209" s="8" t="n">
        <f aca="false">SUM(B209:Q209)</f>
        <v>55</v>
      </c>
      <c r="S209" s="8" t="str">
        <f aca="false">IF(R209&gt;=5_項目分析!$B$6,"高",IF(R209&lt;=5_項目分析!$B$5,"低",""))</f>
        <v>低</v>
      </c>
      <c r="T209" s="8" t="n">
        <f aca="false">R209-B209</f>
        <v>51</v>
      </c>
      <c r="U209" s="8" t="n">
        <f aca="false">R209-C209</f>
        <v>52</v>
      </c>
      <c r="V209" s="8" t="n">
        <f aca="false">R209-D209</f>
        <v>51</v>
      </c>
      <c r="W209" s="8" t="n">
        <f aca="false">R209-E209</f>
        <v>52</v>
      </c>
      <c r="X209" s="8" t="n">
        <f aca="false">R209-F209</f>
        <v>51</v>
      </c>
      <c r="Y209" s="8" t="n">
        <f aca="false">R209-G209</f>
        <v>52</v>
      </c>
      <c r="Z209" s="8" t="n">
        <f aca="false">R209-H209</f>
        <v>51</v>
      </c>
      <c r="AA209" s="8" t="n">
        <f aca="false">R209-I209</f>
        <v>52</v>
      </c>
      <c r="AB209" s="8" t="n">
        <f aca="false">R209-J209</f>
        <v>53</v>
      </c>
      <c r="AC209" s="8" t="n">
        <f aca="false">R209-K209</f>
        <v>51</v>
      </c>
      <c r="AD209" s="8" t="n">
        <f aca="false">R209-L209</f>
        <v>52</v>
      </c>
      <c r="AE209" s="8" t="n">
        <f aca="false">R209-M209</f>
        <v>52</v>
      </c>
      <c r="AF209" s="8" t="n">
        <f aca="false">R209-N209</f>
        <v>51</v>
      </c>
      <c r="AG209" s="8" t="n">
        <f aca="false">R209-O209</f>
        <v>52</v>
      </c>
      <c r="AH209" s="8" t="n">
        <f aca="false">R209-P209</f>
        <v>52</v>
      </c>
      <c r="AI209" s="8" t="n">
        <f aca="false">R209-Q209</f>
        <v>50</v>
      </c>
    </row>
    <row r="210" customFormat="false" ht="15" hidden="false" customHeight="false" outlineLevel="0" collapsed="false">
      <c r="A210" s="7" t="s">
        <v>296</v>
      </c>
      <c r="B210" s="9" t="n">
        <v>3</v>
      </c>
      <c r="C210" s="9" t="n">
        <v>2</v>
      </c>
      <c r="D210" s="9" t="n">
        <v>3</v>
      </c>
      <c r="E210" s="9" t="n">
        <v>3</v>
      </c>
      <c r="F210" s="9" t="n">
        <v>2</v>
      </c>
      <c r="G210" s="9" t="n">
        <v>2</v>
      </c>
      <c r="H210" s="9" t="n">
        <v>5</v>
      </c>
      <c r="I210" s="9" t="n">
        <v>4</v>
      </c>
      <c r="J210" s="9" t="n">
        <v>1</v>
      </c>
      <c r="K210" s="9" t="n">
        <v>3</v>
      </c>
      <c r="L210" s="9" t="n">
        <v>3</v>
      </c>
      <c r="M210" s="9" t="n">
        <v>2</v>
      </c>
      <c r="N210" s="9" t="n">
        <v>2</v>
      </c>
      <c r="O210" s="9" t="n">
        <v>3</v>
      </c>
      <c r="P210" s="9" t="n">
        <v>4</v>
      </c>
      <c r="Q210" s="9" t="n">
        <v>5</v>
      </c>
      <c r="R210" s="8" t="n">
        <f aca="false">SUM(B210:Q210)</f>
        <v>47</v>
      </c>
      <c r="S210" s="8" t="str">
        <f aca="false">IF(R210&gt;=5_項目分析!$B$6,"高",IF(R210&lt;=5_項目分析!$B$5,"低",""))</f>
        <v>低</v>
      </c>
      <c r="T210" s="8" t="n">
        <f aca="false">R210-B210</f>
        <v>44</v>
      </c>
      <c r="U210" s="8" t="n">
        <f aca="false">R210-C210</f>
        <v>45</v>
      </c>
      <c r="V210" s="8" t="n">
        <f aca="false">R210-D210</f>
        <v>44</v>
      </c>
      <c r="W210" s="8" t="n">
        <f aca="false">R210-E210</f>
        <v>44</v>
      </c>
      <c r="X210" s="8" t="n">
        <f aca="false">R210-F210</f>
        <v>45</v>
      </c>
      <c r="Y210" s="8" t="n">
        <f aca="false">R210-G210</f>
        <v>45</v>
      </c>
      <c r="Z210" s="8" t="n">
        <f aca="false">R210-H210</f>
        <v>42</v>
      </c>
      <c r="AA210" s="8" t="n">
        <f aca="false">R210-I210</f>
        <v>43</v>
      </c>
      <c r="AB210" s="8" t="n">
        <f aca="false">R210-J210</f>
        <v>46</v>
      </c>
      <c r="AC210" s="8" t="n">
        <f aca="false">R210-K210</f>
        <v>44</v>
      </c>
      <c r="AD210" s="8" t="n">
        <f aca="false">R210-L210</f>
        <v>44</v>
      </c>
      <c r="AE210" s="8" t="n">
        <f aca="false">R210-M210</f>
        <v>45</v>
      </c>
      <c r="AF210" s="8" t="n">
        <f aca="false">R210-N210</f>
        <v>45</v>
      </c>
      <c r="AG210" s="8" t="n">
        <f aca="false">R210-O210</f>
        <v>44</v>
      </c>
      <c r="AH210" s="8" t="n">
        <f aca="false">R210-P210</f>
        <v>43</v>
      </c>
      <c r="AI210" s="8" t="n">
        <f aca="false">R210-Q210</f>
        <v>42</v>
      </c>
    </row>
    <row r="211" customFormat="false" ht="15" hidden="false" customHeight="false" outlineLevel="0" collapsed="false">
      <c r="A211" s="7" t="s">
        <v>297</v>
      </c>
      <c r="B211" s="9" t="n">
        <v>4</v>
      </c>
      <c r="C211" s="9" t="n">
        <v>3</v>
      </c>
      <c r="D211" s="9" t="n">
        <v>4</v>
      </c>
      <c r="E211" s="9" t="n">
        <v>3</v>
      </c>
      <c r="F211" s="9" t="n">
        <v>4</v>
      </c>
      <c r="G211" s="9" t="n">
        <v>4</v>
      </c>
      <c r="H211" s="9" t="n">
        <v>4</v>
      </c>
      <c r="I211" s="9" t="n">
        <v>3</v>
      </c>
      <c r="J211" s="9" t="n">
        <v>2</v>
      </c>
      <c r="K211" s="9" t="n">
        <v>3</v>
      </c>
      <c r="L211" s="9" t="n">
        <v>3</v>
      </c>
      <c r="M211" s="9" t="n">
        <v>5</v>
      </c>
      <c r="N211" s="9" t="n">
        <v>3</v>
      </c>
      <c r="O211" s="9" t="n">
        <v>4</v>
      </c>
      <c r="P211" s="9" t="n">
        <v>3</v>
      </c>
      <c r="Q211" s="9" t="n">
        <v>4</v>
      </c>
      <c r="R211" s="8" t="n">
        <f aca="false">SUM(B211:Q211)</f>
        <v>56</v>
      </c>
      <c r="S211" s="8" t="str">
        <f aca="false">IF(R211&gt;=5_項目分析!$B$6,"高",IF(R211&lt;=5_項目分析!$B$5,"低",""))</f>
        <v>低</v>
      </c>
      <c r="T211" s="8" t="n">
        <f aca="false">R211-B211</f>
        <v>52</v>
      </c>
      <c r="U211" s="8" t="n">
        <f aca="false">R211-C211</f>
        <v>53</v>
      </c>
      <c r="V211" s="8" t="n">
        <f aca="false">R211-D211</f>
        <v>52</v>
      </c>
      <c r="W211" s="8" t="n">
        <f aca="false">R211-E211</f>
        <v>53</v>
      </c>
      <c r="X211" s="8" t="n">
        <f aca="false">R211-F211</f>
        <v>52</v>
      </c>
      <c r="Y211" s="8" t="n">
        <f aca="false">R211-G211</f>
        <v>52</v>
      </c>
      <c r="Z211" s="8" t="n">
        <f aca="false">R211-H211</f>
        <v>52</v>
      </c>
      <c r="AA211" s="8" t="n">
        <f aca="false">R211-I211</f>
        <v>53</v>
      </c>
      <c r="AB211" s="8" t="n">
        <f aca="false">R211-J211</f>
        <v>54</v>
      </c>
      <c r="AC211" s="8" t="n">
        <f aca="false">R211-K211</f>
        <v>53</v>
      </c>
      <c r="AD211" s="8" t="n">
        <f aca="false">R211-L211</f>
        <v>53</v>
      </c>
      <c r="AE211" s="8" t="n">
        <f aca="false">R211-M211</f>
        <v>51</v>
      </c>
      <c r="AF211" s="8" t="n">
        <f aca="false">R211-N211</f>
        <v>53</v>
      </c>
      <c r="AG211" s="8" t="n">
        <f aca="false">R211-O211</f>
        <v>52</v>
      </c>
      <c r="AH211" s="8" t="n">
        <f aca="false">R211-P211</f>
        <v>53</v>
      </c>
      <c r="AI211" s="8" t="n">
        <f aca="false">R211-Q211</f>
        <v>52</v>
      </c>
    </row>
    <row r="212" customFormat="false" ht="15" hidden="false" customHeight="false" outlineLevel="0" collapsed="false">
      <c r="A212" s="7" t="s">
        <v>298</v>
      </c>
      <c r="B212" s="9" t="n">
        <v>4</v>
      </c>
      <c r="C212" s="9" t="n">
        <v>3</v>
      </c>
      <c r="D212" s="9" t="n">
        <v>2</v>
      </c>
      <c r="E212" s="9" t="n">
        <v>3</v>
      </c>
      <c r="F212" s="9" t="n">
        <v>2</v>
      </c>
      <c r="G212" s="9" t="n">
        <v>3</v>
      </c>
      <c r="H212" s="9" t="n">
        <v>3</v>
      </c>
      <c r="I212" s="9" t="n">
        <v>3</v>
      </c>
      <c r="J212" s="9" t="n">
        <v>4</v>
      </c>
      <c r="K212" s="9" t="n">
        <v>4</v>
      </c>
      <c r="L212" s="9" t="n">
        <v>2</v>
      </c>
      <c r="M212" s="9" t="n">
        <v>1</v>
      </c>
      <c r="N212" s="9" t="n">
        <v>3</v>
      </c>
      <c r="O212" s="9" t="n">
        <v>2</v>
      </c>
      <c r="P212" s="9" t="n">
        <v>4</v>
      </c>
      <c r="Q212" s="9" t="n">
        <v>5</v>
      </c>
      <c r="R212" s="8" t="n">
        <f aca="false">SUM(B212:Q212)</f>
        <v>48</v>
      </c>
      <c r="S212" s="8" t="str">
        <f aca="false">IF(R212&gt;=5_項目分析!$B$6,"高",IF(R212&lt;=5_項目分析!$B$5,"低",""))</f>
        <v>低</v>
      </c>
      <c r="T212" s="8" t="n">
        <f aca="false">R212-B212</f>
        <v>44</v>
      </c>
      <c r="U212" s="8" t="n">
        <f aca="false">R212-C212</f>
        <v>45</v>
      </c>
      <c r="V212" s="8" t="n">
        <f aca="false">R212-D212</f>
        <v>46</v>
      </c>
      <c r="W212" s="8" t="n">
        <f aca="false">R212-E212</f>
        <v>45</v>
      </c>
      <c r="X212" s="8" t="n">
        <f aca="false">R212-F212</f>
        <v>46</v>
      </c>
      <c r="Y212" s="8" t="n">
        <f aca="false">R212-G212</f>
        <v>45</v>
      </c>
      <c r="Z212" s="8" t="n">
        <f aca="false">R212-H212</f>
        <v>45</v>
      </c>
      <c r="AA212" s="8" t="n">
        <f aca="false">R212-I212</f>
        <v>45</v>
      </c>
      <c r="AB212" s="8" t="n">
        <f aca="false">R212-J212</f>
        <v>44</v>
      </c>
      <c r="AC212" s="8" t="n">
        <f aca="false">R212-K212</f>
        <v>44</v>
      </c>
      <c r="AD212" s="8" t="n">
        <f aca="false">R212-L212</f>
        <v>46</v>
      </c>
      <c r="AE212" s="8" t="n">
        <f aca="false">R212-M212</f>
        <v>47</v>
      </c>
      <c r="AF212" s="8" t="n">
        <f aca="false">R212-N212</f>
        <v>45</v>
      </c>
      <c r="AG212" s="8" t="n">
        <f aca="false">R212-O212</f>
        <v>46</v>
      </c>
      <c r="AH212" s="8" t="n">
        <f aca="false">R212-P212</f>
        <v>44</v>
      </c>
      <c r="AI212" s="8" t="n">
        <f aca="false">R212-Q212</f>
        <v>43</v>
      </c>
    </row>
    <row r="213" customFormat="false" ht="15" hidden="false" customHeight="false" outlineLevel="0" collapsed="false">
      <c r="A213" s="7" t="s">
        <v>299</v>
      </c>
      <c r="B213" s="9" t="n">
        <v>4</v>
      </c>
      <c r="C213" s="9" t="n">
        <v>5</v>
      </c>
      <c r="D213" s="9" t="n">
        <v>5</v>
      </c>
      <c r="E213" s="9" t="n">
        <v>4</v>
      </c>
      <c r="F213" s="9" t="n">
        <v>4</v>
      </c>
      <c r="G213" s="9" t="n">
        <v>3</v>
      </c>
      <c r="H213" s="9" t="n">
        <v>5</v>
      </c>
      <c r="I213" s="9" t="n">
        <v>4</v>
      </c>
      <c r="J213" s="9" t="n">
        <v>2</v>
      </c>
      <c r="K213" s="9" t="n">
        <v>5</v>
      </c>
      <c r="L213" s="9" t="n">
        <v>3</v>
      </c>
      <c r="M213" s="9" t="n">
        <v>4</v>
      </c>
      <c r="N213" s="9" t="n">
        <v>4</v>
      </c>
      <c r="O213" s="9" t="n">
        <v>3</v>
      </c>
      <c r="P213" s="9" t="n">
        <v>3</v>
      </c>
      <c r="Q213" s="9" t="n">
        <v>5</v>
      </c>
      <c r="R213" s="8" t="n">
        <f aca="false">SUM(B213:Q213)</f>
        <v>63</v>
      </c>
      <c r="S213" s="8" t="str">
        <f aca="false">IF(R213&gt;=5_項目分析!$B$6,"高",IF(R213&lt;=5_項目分析!$B$5,"低",""))</f>
        <v/>
      </c>
      <c r="T213" s="8" t="n">
        <f aca="false">R213-B213</f>
        <v>59</v>
      </c>
      <c r="U213" s="8" t="n">
        <f aca="false">R213-C213</f>
        <v>58</v>
      </c>
      <c r="V213" s="8" t="n">
        <f aca="false">R213-D213</f>
        <v>58</v>
      </c>
      <c r="W213" s="8" t="n">
        <f aca="false">R213-E213</f>
        <v>59</v>
      </c>
      <c r="X213" s="8" t="n">
        <f aca="false">R213-F213</f>
        <v>59</v>
      </c>
      <c r="Y213" s="8" t="n">
        <f aca="false">R213-G213</f>
        <v>60</v>
      </c>
      <c r="Z213" s="8" t="n">
        <f aca="false">R213-H213</f>
        <v>58</v>
      </c>
      <c r="AA213" s="8" t="n">
        <f aca="false">R213-I213</f>
        <v>59</v>
      </c>
      <c r="AB213" s="8" t="n">
        <f aca="false">R213-J213</f>
        <v>61</v>
      </c>
      <c r="AC213" s="8" t="n">
        <f aca="false">R213-K213</f>
        <v>58</v>
      </c>
      <c r="AD213" s="8" t="n">
        <f aca="false">R213-L213</f>
        <v>60</v>
      </c>
      <c r="AE213" s="8" t="n">
        <f aca="false">R213-M213</f>
        <v>59</v>
      </c>
      <c r="AF213" s="8" t="n">
        <f aca="false">R213-N213</f>
        <v>59</v>
      </c>
      <c r="AG213" s="8" t="n">
        <f aca="false">R213-O213</f>
        <v>60</v>
      </c>
      <c r="AH213" s="8" t="n">
        <f aca="false">R213-P213</f>
        <v>60</v>
      </c>
      <c r="AI213" s="8" t="n">
        <f aca="false">R213-Q213</f>
        <v>58</v>
      </c>
    </row>
    <row r="214" customFormat="false" ht="15" hidden="false" customHeight="false" outlineLevel="0" collapsed="false">
      <c r="A214" s="7" t="s">
        <v>300</v>
      </c>
      <c r="B214" s="9" t="n">
        <v>5</v>
      </c>
      <c r="C214" s="9" t="n">
        <v>4</v>
      </c>
      <c r="D214" s="9" t="n">
        <v>5</v>
      </c>
      <c r="E214" s="9" t="n">
        <v>5</v>
      </c>
      <c r="F214" s="9" t="n">
        <v>5</v>
      </c>
      <c r="G214" s="9" t="n">
        <v>4</v>
      </c>
      <c r="H214" s="9" t="n">
        <v>3</v>
      </c>
      <c r="I214" s="9" t="n">
        <v>4</v>
      </c>
      <c r="J214" s="9" t="n">
        <v>3</v>
      </c>
      <c r="K214" s="9" t="n">
        <v>3</v>
      </c>
      <c r="L214" s="9" t="n">
        <v>5</v>
      </c>
      <c r="M214" s="9" t="n">
        <v>4</v>
      </c>
      <c r="N214" s="9" t="n">
        <v>3</v>
      </c>
      <c r="O214" s="9" t="n">
        <v>5</v>
      </c>
      <c r="P214" s="9" t="n">
        <v>4</v>
      </c>
      <c r="Q214" s="9" t="n">
        <v>5</v>
      </c>
      <c r="R214" s="8" t="n">
        <f aca="false">SUM(B214:Q214)</f>
        <v>67</v>
      </c>
      <c r="S214" s="8" t="str">
        <f aca="false">IF(R214&gt;=5_項目分析!$B$6,"高",IF(R214&lt;=5_項目分析!$B$5,"低",""))</f>
        <v>高</v>
      </c>
      <c r="T214" s="8" t="n">
        <f aca="false">R214-B214</f>
        <v>62</v>
      </c>
      <c r="U214" s="8" t="n">
        <f aca="false">R214-C214</f>
        <v>63</v>
      </c>
      <c r="V214" s="8" t="n">
        <f aca="false">R214-D214</f>
        <v>62</v>
      </c>
      <c r="W214" s="8" t="n">
        <f aca="false">R214-E214</f>
        <v>62</v>
      </c>
      <c r="X214" s="8" t="n">
        <f aca="false">R214-F214</f>
        <v>62</v>
      </c>
      <c r="Y214" s="8" t="n">
        <f aca="false">R214-G214</f>
        <v>63</v>
      </c>
      <c r="Z214" s="8" t="n">
        <f aca="false">R214-H214</f>
        <v>64</v>
      </c>
      <c r="AA214" s="8" t="n">
        <f aca="false">R214-I214</f>
        <v>63</v>
      </c>
      <c r="AB214" s="8" t="n">
        <f aca="false">R214-J214</f>
        <v>64</v>
      </c>
      <c r="AC214" s="8" t="n">
        <f aca="false">R214-K214</f>
        <v>64</v>
      </c>
      <c r="AD214" s="8" t="n">
        <f aca="false">R214-L214</f>
        <v>62</v>
      </c>
      <c r="AE214" s="8" t="n">
        <f aca="false">R214-M214</f>
        <v>63</v>
      </c>
      <c r="AF214" s="8" t="n">
        <f aca="false">R214-N214</f>
        <v>64</v>
      </c>
      <c r="AG214" s="8" t="n">
        <f aca="false">R214-O214</f>
        <v>62</v>
      </c>
      <c r="AH214" s="8" t="n">
        <f aca="false">R214-P214</f>
        <v>63</v>
      </c>
      <c r="AI214" s="8" t="n">
        <f aca="false">R214-Q214</f>
        <v>62</v>
      </c>
    </row>
    <row r="215" customFormat="false" ht="15" hidden="false" customHeight="false" outlineLevel="0" collapsed="false">
      <c r="A215" s="7" t="s">
        <v>301</v>
      </c>
      <c r="B215" s="9" t="n">
        <v>2</v>
      </c>
      <c r="C215" s="9" t="n">
        <v>4</v>
      </c>
      <c r="D215" s="9" t="n">
        <v>2</v>
      </c>
      <c r="E215" s="9" t="n">
        <v>3</v>
      </c>
      <c r="F215" s="9" t="n">
        <v>3</v>
      </c>
      <c r="G215" s="9" t="n">
        <v>3</v>
      </c>
      <c r="H215" s="9" t="n">
        <v>4</v>
      </c>
      <c r="I215" s="9" t="n">
        <v>3</v>
      </c>
      <c r="J215" s="9" t="n">
        <v>4</v>
      </c>
      <c r="K215" s="9" t="n">
        <v>4</v>
      </c>
      <c r="L215" s="9" t="n">
        <v>3</v>
      </c>
      <c r="M215" s="9" t="n">
        <v>4</v>
      </c>
      <c r="N215" s="9" t="n">
        <v>3</v>
      </c>
      <c r="O215" s="9" t="n">
        <v>2</v>
      </c>
      <c r="P215" s="9" t="n">
        <v>3</v>
      </c>
      <c r="Q215" s="9" t="n">
        <v>4</v>
      </c>
      <c r="R215" s="8" t="n">
        <f aca="false">SUM(B215:Q215)</f>
        <v>51</v>
      </c>
      <c r="S215" s="8" t="str">
        <f aca="false">IF(R215&gt;=5_項目分析!$B$6,"高",IF(R215&lt;=5_項目分析!$B$5,"低",""))</f>
        <v>低</v>
      </c>
      <c r="T215" s="8" t="n">
        <f aca="false">R215-B215</f>
        <v>49</v>
      </c>
      <c r="U215" s="8" t="n">
        <f aca="false">R215-C215</f>
        <v>47</v>
      </c>
      <c r="V215" s="8" t="n">
        <f aca="false">R215-D215</f>
        <v>49</v>
      </c>
      <c r="W215" s="8" t="n">
        <f aca="false">R215-E215</f>
        <v>48</v>
      </c>
      <c r="X215" s="8" t="n">
        <f aca="false">R215-F215</f>
        <v>48</v>
      </c>
      <c r="Y215" s="8" t="n">
        <f aca="false">R215-G215</f>
        <v>48</v>
      </c>
      <c r="Z215" s="8" t="n">
        <f aca="false">R215-H215</f>
        <v>47</v>
      </c>
      <c r="AA215" s="8" t="n">
        <f aca="false">R215-I215</f>
        <v>48</v>
      </c>
      <c r="AB215" s="8" t="n">
        <f aca="false">R215-J215</f>
        <v>47</v>
      </c>
      <c r="AC215" s="8" t="n">
        <f aca="false">R215-K215</f>
        <v>47</v>
      </c>
      <c r="AD215" s="8" t="n">
        <f aca="false">R215-L215</f>
        <v>48</v>
      </c>
      <c r="AE215" s="8" t="n">
        <f aca="false">R215-M215</f>
        <v>47</v>
      </c>
      <c r="AF215" s="8" t="n">
        <f aca="false">R215-N215</f>
        <v>48</v>
      </c>
      <c r="AG215" s="8" t="n">
        <f aca="false">R215-O215</f>
        <v>49</v>
      </c>
      <c r="AH215" s="8" t="n">
        <f aca="false">R215-P215</f>
        <v>48</v>
      </c>
      <c r="AI215" s="8" t="n">
        <f aca="false">R215-Q215</f>
        <v>47</v>
      </c>
    </row>
    <row r="216" customFormat="false" ht="15" hidden="false" customHeight="false" outlineLevel="0" collapsed="false">
      <c r="A216" s="7" t="s">
        <v>302</v>
      </c>
      <c r="B216" s="9" t="n">
        <v>5</v>
      </c>
      <c r="C216" s="9" t="n">
        <v>5</v>
      </c>
      <c r="D216" s="9" t="n">
        <v>5</v>
      </c>
      <c r="E216" s="9" t="n">
        <v>5</v>
      </c>
      <c r="F216" s="9" t="n">
        <v>5</v>
      </c>
      <c r="G216" s="9" t="n">
        <v>5</v>
      </c>
      <c r="H216" s="9" t="n">
        <v>3</v>
      </c>
      <c r="I216" s="9" t="n">
        <v>3</v>
      </c>
      <c r="J216" s="9" t="n">
        <v>5</v>
      </c>
      <c r="K216" s="9" t="n">
        <v>4</v>
      </c>
      <c r="L216" s="9" t="n">
        <v>5</v>
      </c>
      <c r="M216" s="9" t="n">
        <v>5</v>
      </c>
      <c r="N216" s="9" t="n">
        <v>4</v>
      </c>
      <c r="O216" s="9" t="n">
        <v>5</v>
      </c>
      <c r="P216" s="9" t="n">
        <v>5</v>
      </c>
      <c r="Q216" s="9" t="n">
        <v>5</v>
      </c>
      <c r="R216" s="8" t="n">
        <f aca="false">SUM(B216:Q216)</f>
        <v>74</v>
      </c>
      <c r="S216" s="8" t="str">
        <f aca="false">IF(R216&gt;=5_項目分析!$B$6,"高",IF(R216&lt;=5_項目分析!$B$5,"低",""))</f>
        <v>高</v>
      </c>
      <c r="T216" s="8" t="n">
        <f aca="false">R216-B216</f>
        <v>69</v>
      </c>
      <c r="U216" s="8" t="n">
        <f aca="false">R216-C216</f>
        <v>69</v>
      </c>
      <c r="V216" s="8" t="n">
        <f aca="false">R216-D216</f>
        <v>69</v>
      </c>
      <c r="W216" s="8" t="n">
        <f aca="false">R216-E216</f>
        <v>69</v>
      </c>
      <c r="X216" s="8" t="n">
        <f aca="false">R216-F216</f>
        <v>69</v>
      </c>
      <c r="Y216" s="8" t="n">
        <f aca="false">R216-G216</f>
        <v>69</v>
      </c>
      <c r="Z216" s="8" t="n">
        <f aca="false">R216-H216</f>
        <v>71</v>
      </c>
      <c r="AA216" s="8" t="n">
        <f aca="false">R216-I216</f>
        <v>71</v>
      </c>
      <c r="AB216" s="8" t="n">
        <f aca="false">R216-J216</f>
        <v>69</v>
      </c>
      <c r="AC216" s="8" t="n">
        <f aca="false">R216-K216</f>
        <v>70</v>
      </c>
      <c r="AD216" s="8" t="n">
        <f aca="false">R216-L216</f>
        <v>69</v>
      </c>
      <c r="AE216" s="8" t="n">
        <f aca="false">R216-M216</f>
        <v>69</v>
      </c>
      <c r="AF216" s="8" t="n">
        <f aca="false">R216-N216</f>
        <v>70</v>
      </c>
      <c r="AG216" s="8" t="n">
        <f aca="false">R216-O216</f>
        <v>69</v>
      </c>
      <c r="AH216" s="8" t="n">
        <f aca="false">R216-P216</f>
        <v>69</v>
      </c>
      <c r="AI216" s="8" t="n">
        <f aca="false">R216-Q216</f>
        <v>69</v>
      </c>
    </row>
    <row r="217" customFormat="false" ht="15" hidden="false" customHeight="false" outlineLevel="0" collapsed="false">
      <c r="A217" s="7" t="s">
        <v>303</v>
      </c>
      <c r="B217" s="9" t="n">
        <v>4</v>
      </c>
      <c r="C217" s="9" t="n">
        <v>3</v>
      </c>
      <c r="D217" s="9" t="n">
        <v>4</v>
      </c>
      <c r="E217" s="9" t="n">
        <v>4</v>
      </c>
      <c r="F217" s="9" t="n">
        <v>4</v>
      </c>
      <c r="G217" s="9" t="n">
        <v>3</v>
      </c>
      <c r="H217" s="9" t="n">
        <v>3</v>
      </c>
      <c r="I217" s="9" t="n">
        <v>3</v>
      </c>
      <c r="J217" s="9" t="n">
        <v>4</v>
      </c>
      <c r="K217" s="9" t="n">
        <v>3</v>
      </c>
      <c r="L217" s="9" t="n">
        <v>3</v>
      </c>
      <c r="M217" s="9" t="n">
        <v>4</v>
      </c>
      <c r="N217" s="9" t="n">
        <v>4</v>
      </c>
      <c r="O217" s="9" t="n">
        <v>4</v>
      </c>
      <c r="P217" s="9" t="n">
        <v>3</v>
      </c>
      <c r="Q217" s="9" t="n">
        <v>5</v>
      </c>
      <c r="R217" s="8" t="n">
        <f aca="false">SUM(B217:Q217)</f>
        <v>58</v>
      </c>
      <c r="S217" s="8" t="str">
        <f aca="false">IF(R217&gt;=5_項目分析!$B$6,"高",IF(R217&lt;=5_項目分析!$B$5,"低",""))</f>
        <v/>
      </c>
      <c r="T217" s="8" t="n">
        <f aca="false">R217-B217</f>
        <v>54</v>
      </c>
      <c r="U217" s="8" t="n">
        <f aca="false">R217-C217</f>
        <v>55</v>
      </c>
      <c r="V217" s="8" t="n">
        <f aca="false">R217-D217</f>
        <v>54</v>
      </c>
      <c r="W217" s="8" t="n">
        <f aca="false">R217-E217</f>
        <v>54</v>
      </c>
      <c r="X217" s="8" t="n">
        <f aca="false">R217-F217</f>
        <v>54</v>
      </c>
      <c r="Y217" s="8" t="n">
        <f aca="false">R217-G217</f>
        <v>55</v>
      </c>
      <c r="Z217" s="8" t="n">
        <f aca="false">R217-H217</f>
        <v>55</v>
      </c>
      <c r="AA217" s="8" t="n">
        <f aca="false">R217-I217</f>
        <v>55</v>
      </c>
      <c r="AB217" s="8" t="n">
        <f aca="false">R217-J217</f>
        <v>54</v>
      </c>
      <c r="AC217" s="8" t="n">
        <f aca="false">R217-K217</f>
        <v>55</v>
      </c>
      <c r="AD217" s="8" t="n">
        <f aca="false">R217-L217</f>
        <v>55</v>
      </c>
      <c r="AE217" s="8" t="n">
        <f aca="false">R217-M217</f>
        <v>54</v>
      </c>
      <c r="AF217" s="8" t="n">
        <f aca="false">R217-N217</f>
        <v>54</v>
      </c>
      <c r="AG217" s="8" t="n">
        <f aca="false">R217-O217</f>
        <v>54</v>
      </c>
      <c r="AH217" s="8" t="n">
        <f aca="false">R217-P217</f>
        <v>55</v>
      </c>
      <c r="AI217" s="8" t="n">
        <f aca="false">R217-Q217</f>
        <v>53</v>
      </c>
    </row>
    <row r="218" customFormat="false" ht="15" hidden="false" customHeight="false" outlineLevel="0" collapsed="false">
      <c r="A218" s="7" t="s">
        <v>304</v>
      </c>
      <c r="B218" s="9" t="n">
        <v>4</v>
      </c>
      <c r="C218" s="9" t="n">
        <v>4</v>
      </c>
      <c r="D218" s="9" t="n">
        <v>5</v>
      </c>
      <c r="E218" s="9" t="n">
        <v>3</v>
      </c>
      <c r="F218" s="9" t="n">
        <v>4</v>
      </c>
      <c r="G218" s="9" t="n">
        <v>3</v>
      </c>
      <c r="H218" s="9" t="n">
        <v>3</v>
      </c>
      <c r="I218" s="9" t="n">
        <v>2</v>
      </c>
      <c r="J218" s="9" t="n">
        <v>3</v>
      </c>
      <c r="K218" s="9" t="n">
        <v>3</v>
      </c>
      <c r="L218" s="9" t="n">
        <v>4</v>
      </c>
      <c r="M218" s="9" t="n">
        <v>3</v>
      </c>
      <c r="N218" s="9" t="n">
        <v>3</v>
      </c>
      <c r="O218" s="9" t="n">
        <v>3</v>
      </c>
      <c r="P218" s="9" t="n">
        <v>2</v>
      </c>
      <c r="Q218" s="9" t="n">
        <v>5</v>
      </c>
      <c r="R218" s="8" t="n">
        <f aca="false">SUM(B218:Q218)</f>
        <v>54</v>
      </c>
      <c r="S218" s="8" t="str">
        <f aca="false">IF(R218&gt;=5_項目分析!$B$6,"高",IF(R218&lt;=5_項目分析!$B$5,"低",""))</f>
        <v>低</v>
      </c>
      <c r="T218" s="8" t="n">
        <f aca="false">R218-B218</f>
        <v>50</v>
      </c>
      <c r="U218" s="8" t="n">
        <f aca="false">R218-C218</f>
        <v>50</v>
      </c>
      <c r="V218" s="8" t="n">
        <f aca="false">R218-D218</f>
        <v>49</v>
      </c>
      <c r="W218" s="8" t="n">
        <f aca="false">R218-E218</f>
        <v>51</v>
      </c>
      <c r="X218" s="8" t="n">
        <f aca="false">R218-F218</f>
        <v>50</v>
      </c>
      <c r="Y218" s="8" t="n">
        <f aca="false">R218-G218</f>
        <v>51</v>
      </c>
      <c r="Z218" s="8" t="n">
        <f aca="false">R218-H218</f>
        <v>51</v>
      </c>
      <c r="AA218" s="8" t="n">
        <f aca="false">R218-I218</f>
        <v>52</v>
      </c>
      <c r="AB218" s="8" t="n">
        <f aca="false">R218-J218</f>
        <v>51</v>
      </c>
      <c r="AC218" s="8" t="n">
        <f aca="false">R218-K218</f>
        <v>51</v>
      </c>
      <c r="AD218" s="8" t="n">
        <f aca="false">R218-L218</f>
        <v>50</v>
      </c>
      <c r="AE218" s="8" t="n">
        <f aca="false">R218-M218</f>
        <v>51</v>
      </c>
      <c r="AF218" s="8" t="n">
        <f aca="false">R218-N218</f>
        <v>51</v>
      </c>
      <c r="AG218" s="8" t="n">
        <f aca="false">R218-O218</f>
        <v>51</v>
      </c>
      <c r="AH218" s="8" t="n">
        <f aca="false">R218-P218</f>
        <v>52</v>
      </c>
      <c r="AI218" s="8" t="n">
        <f aca="false">R218-Q218</f>
        <v>49</v>
      </c>
    </row>
    <row r="219" customFormat="false" ht="15" hidden="false" customHeight="false" outlineLevel="0" collapsed="false">
      <c r="A219" s="7" t="s">
        <v>305</v>
      </c>
      <c r="B219" s="9" t="n">
        <v>4</v>
      </c>
      <c r="C219" s="9" t="n">
        <v>4</v>
      </c>
      <c r="D219" s="9" t="n">
        <v>4</v>
      </c>
      <c r="E219" s="9" t="n">
        <v>4</v>
      </c>
      <c r="F219" s="9" t="n">
        <v>5</v>
      </c>
      <c r="G219" s="9" t="n">
        <v>4</v>
      </c>
      <c r="H219" s="9" t="n">
        <v>4</v>
      </c>
      <c r="I219" s="9" t="n">
        <v>4</v>
      </c>
      <c r="J219" s="9" t="n">
        <v>4</v>
      </c>
      <c r="K219" s="9" t="n">
        <v>4</v>
      </c>
      <c r="L219" s="9" t="n">
        <v>4</v>
      </c>
      <c r="M219" s="9" t="n">
        <v>3</v>
      </c>
      <c r="N219" s="9" t="n">
        <v>4</v>
      </c>
      <c r="O219" s="9" t="n">
        <v>4</v>
      </c>
      <c r="P219" s="9" t="n">
        <v>3</v>
      </c>
      <c r="Q219" s="9" t="n">
        <v>4</v>
      </c>
      <c r="R219" s="8" t="n">
        <f aca="false">SUM(B219:Q219)</f>
        <v>63</v>
      </c>
      <c r="S219" s="8" t="str">
        <f aca="false">IF(R219&gt;=5_項目分析!$B$6,"高",IF(R219&lt;=5_項目分析!$B$5,"低",""))</f>
        <v/>
      </c>
      <c r="T219" s="8" t="n">
        <f aca="false">R219-B219</f>
        <v>59</v>
      </c>
      <c r="U219" s="8" t="n">
        <f aca="false">R219-C219</f>
        <v>59</v>
      </c>
      <c r="V219" s="8" t="n">
        <f aca="false">R219-D219</f>
        <v>59</v>
      </c>
      <c r="W219" s="8" t="n">
        <f aca="false">R219-E219</f>
        <v>59</v>
      </c>
      <c r="X219" s="8" t="n">
        <f aca="false">R219-F219</f>
        <v>58</v>
      </c>
      <c r="Y219" s="8" t="n">
        <f aca="false">R219-G219</f>
        <v>59</v>
      </c>
      <c r="Z219" s="8" t="n">
        <f aca="false">R219-H219</f>
        <v>59</v>
      </c>
      <c r="AA219" s="8" t="n">
        <f aca="false">R219-I219</f>
        <v>59</v>
      </c>
      <c r="AB219" s="8" t="n">
        <f aca="false">R219-J219</f>
        <v>59</v>
      </c>
      <c r="AC219" s="8" t="n">
        <f aca="false">R219-K219</f>
        <v>59</v>
      </c>
      <c r="AD219" s="8" t="n">
        <f aca="false">R219-L219</f>
        <v>59</v>
      </c>
      <c r="AE219" s="8" t="n">
        <f aca="false">R219-M219</f>
        <v>60</v>
      </c>
      <c r="AF219" s="8" t="n">
        <f aca="false">R219-N219</f>
        <v>59</v>
      </c>
      <c r="AG219" s="8" t="n">
        <f aca="false">R219-O219</f>
        <v>59</v>
      </c>
      <c r="AH219" s="8" t="n">
        <f aca="false">R219-P219</f>
        <v>60</v>
      </c>
      <c r="AI219" s="8" t="n">
        <f aca="false">R219-Q219</f>
        <v>59</v>
      </c>
    </row>
    <row r="220" customFormat="false" ht="15" hidden="false" customHeight="false" outlineLevel="0" collapsed="false">
      <c r="A220" s="7" t="s">
        <v>306</v>
      </c>
      <c r="B220" s="9" t="n">
        <v>4</v>
      </c>
      <c r="C220" s="9" t="n">
        <v>4</v>
      </c>
      <c r="D220" s="9" t="n">
        <v>4</v>
      </c>
      <c r="E220" s="9" t="n">
        <v>5</v>
      </c>
      <c r="F220" s="9" t="n">
        <v>4</v>
      </c>
      <c r="G220" s="9" t="n">
        <v>4</v>
      </c>
      <c r="H220" s="9" t="n">
        <v>4</v>
      </c>
      <c r="I220" s="9" t="n">
        <v>5</v>
      </c>
      <c r="J220" s="9" t="n">
        <v>4</v>
      </c>
      <c r="K220" s="9" t="n">
        <v>4</v>
      </c>
      <c r="L220" s="9" t="n">
        <v>5</v>
      </c>
      <c r="M220" s="9" t="n">
        <v>4</v>
      </c>
      <c r="N220" s="9" t="n">
        <v>4</v>
      </c>
      <c r="O220" s="9" t="n">
        <v>4</v>
      </c>
      <c r="P220" s="9" t="n">
        <v>4</v>
      </c>
      <c r="Q220" s="9" t="n">
        <v>5</v>
      </c>
      <c r="R220" s="8" t="n">
        <f aca="false">SUM(B220:Q220)</f>
        <v>68</v>
      </c>
      <c r="S220" s="8" t="str">
        <f aca="false">IF(R220&gt;=5_項目分析!$B$6,"高",IF(R220&lt;=5_項目分析!$B$5,"低",""))</f>
        <v>高</v>
      </c>
      <c r="T220" s="8" t="n">
        <f aca="false">R220-B220</f>
        <v>64</v>
      </c>
      <c r="U220" s="8" t="n">
        <f aca="false">R220-C220</f>
        <v>64</v>
      </c>
      <c r="V220" s="8" t="n">
        <f aca="false">R220-D220</f>
        <v>64</v>
      </c>
      <c r="W220" s="8" t="n">
        <f aca="false">R220-E220</f>
        <v>63</v>
      </c>
      <c r="X220" s="8" t="n">
        <f aca="false">R220-F220</f>
        <v>64</v>
      </c>
      <c r="Y220" s="8" t="n">
        <f aca="false">R220-G220</f>
        <v>64</v>
      </c>
      <c r="Z220" s="8" t="n">
        <f aca="false">R220-H220</f>
        <v>64</v>
      </c>
      <c r="AA220" s="8" t="n">
        <f aca="false">R220-I220</f>
        <v>63</v>
      </c>
      <c r="AB220" s="8" t="n">
        <f aca="false">R220-J220</f>
        <v>64</v>
      </c>
      <c r="AC220" s="8" t="n">
        <f aca="false">R220-K220</f>
        <v>64</v>
      </c>
      <c r="AD220" s="8" t="n">
        <f aca="false">R220-L220</f>
        <v>63</v>
      </c>
      <c r="AE220" s="8" t="n">
        <f aca="false">R220-M220</f>
        <v>64</v>
      </c>
      <c r="AF220" s="8" t="n">
        <f aca="false">R220-N220</f>
        <v>64</v>
      </c>
      <c r="AG220" s="8" t="n">
        <f aca="false">R220-O220</f>
        <v>64</v>
      </c>
      <c r="AH220" s="8" t="n">
        <f aca="false">R220-P220</f>
        <v>64</v>
      </c>
      <c r="AI220" s="8" t="n">
        <f aca="false">R220-Q220</f>
        <v>63</v>
      </c>
    </row>
    <row r="221" customFormat="false" ht="15" hidden="false" customHeight="false" outlineLevel="0" collapsed="false">
      <c r="A221" s="7" t="s">
        <v>307</v>
      </c>
      <c r="B221" s="9" t="n">
        <v>2</v>
      </c>
      <c r="C221" s="9" t="n">
        <v>3</v>
      </c>
      <c r="D221" s="9" t="n">
        <v>3</v>
      </c>
      <c r="E221" s="9" t="n">
        <v>1</v>
      </c>
      <c r="F221" s="9" t="n">
        <v>2</v>
      </c>
      <c r="G221" s="9" t="n">
        <v>2</v>
      </c>
      <c r="H221" s="9" t="n">
        <v>4</v>
      </c>
      <c r="I221" s="9" t="n">
        <v>4</v>
      </c>
      <c r="J221" s="9" t="n">
        <v>3</v>
      </c>
      <c r="K221" s="9" t="n">
        <v>3</v>
      </c>
      <c r="L221" s="9" t="n">
        <v>4</v>
      </c>
      <c r="M221" s="9" t="n">
        <v>4</v>
      </c>
      <c r="N221" s="9" t="n">
        <v>4</v>
      </c>
      <c r="O221" s="9" t="n">
        <v>3</v>
      </c>
      <c r="P221" s="9" t="n">
        <v>2</v>
      </c>
      <c r="Q221" s="9" t="n">
        <v>5</v>
      </c>
      <c r="R221" s="8" t="n">
        <f aca="false">SUM(B221:Q221)</f>
        <v>49</v>
      </c>
      <c r="S221" s="8" t="str">
        <f aca="false">IF(R221&gt;=5_項目分析!$B$6,"高",IF(R221&lt;=5_項目分析!$B$5,"低",""))</f>
        <v>低</v>
      </c>
      <c r="T221" s="8" t="n">
        <f aca="false">R221-B221</f>
        <v>47</v>
      </c>
      <c r="U221" s="8" t="n">
        <f aca="false">R221-C221</f>
        <v>46</v>
      </c>
      <c r="V221" s="8" t="n">
        <f aca="false">R221-D221</f>
        <v>46</v>
      </c>
      <c r="W221" s="8" t="n">
        <f aca="false">R221-E221</f>
        <v>48</v>
      </c>
      <c r="X221" s="8" t="n">
        <f aca="false">R221-F221</f>
        <v>47</v>
      </c>
      <c r="Y221" s="8" t="n">
        <f aca="false">R221-G221</f>
        <v>47</v>
      </c>
      <c r="Z221" s="8" t="n">
        <f aca="false">R221-H221</f>
        <v>45</v>
      </c>
      <c r="AA221" s="8" t="n">
        <f aca="false">R221-I221</f>
        <v>45</v>
      </c>
      <c r="AB221" s="8" t="n">
        <f aca="false">R221-J221</f>
        <v>46</v>
      </c>
      <c r="AC221" s="8" t="n">
        <f aca="false">R221-K221</f>
        <v>46</v>
      </c>
      <c r="AD221" s="8" t="n">
        <f aca="false">R221-L221</f>
        <v>45</v>
      </c>
      <c r="AE221" s="8" t="n">
        <f aca="false">R221-M221</f>
        <v>45</v>
      </c>
      <c r="AF221" s="8" t="n">
        <f aca="false">R221-N221</f>
        <v>45</v>
      </c>
      <c r="AG221" s="8" t="n">
        <f aca="false">R221-O221</f>
        <v>46</v>
      </c>
      <c r="AH221" s="8" t="n">
        <f aca="false">R221-P221</f>
        <v>47</v>
      </c>
      <c r="AI221" s="8" t="n">
        <f aca="false">R221-Q221</f>
        <v>44</v>
      </c>
    </row>
    <row r="222" customFormat="false" ht="15" hidden="false" customHeight="false" outlineLevel="0" collapsed="false">
      <c r="A222" s="7" t="s">
        <v>308</v>
      </c>
      <c r="B222" s="9" t="n">
        <v>3</v>
      </c>
      <c r="C222" s="9" t="n">
        <v>4</v>
      </c>
      <c r="D222" s="9" t="n">
        <v>4</v>
      </c>
      <c r="E222" s="9" t="n">
        <v>4</v>
      </c>
      <c r="F222" s="9" t="n">
        <v>4</v>
      </c>
      <c r="G222" s="9" t="n">
        <v>3</v>
      </c>
      <c r="H222" s="9" t="n">
        <v>4</v>
      </c>
      <c r="I222" s="9" t="n">
        <v>4</v>
      </c>
      <c r="J222" s="9" t="n">
        <v>4</v>
      </c>
      <c r="K222" s="9" t="n">
        <v>4</v>
      </c>
      <c r="L222" s="9" t="n">
        <v>4</v>
      </c>
      <c r="M222" s="9" t="n">
        <v>4</v>
      </c>
      <c r="N222" s="9" t="n">
        <v>4</v>
      </c>
      <c r="O222" s="9" t="n">
        <v>3</v>
      </c>
      <c r="P222" s="9" t="n">
        <v>1</v>
      </c>
      <c r="Q222" s="9" t="n">
        <v>5</v>
      </c>
      <c r="R222" s="8" t="n">
        <f aca="false">SUM(B222:Q222)</f>
        <v>59</v>
      </c>
      <c r="S222" s="8" t="str">
        <f aca="false">IF(R222&gt;=5_項目分析!$B$6,"高",IF(R222&lt;=5_項目分析!$B$5,"低",""))</f>
        <v/>
      </c>
      <c r="T222" s="8" t="n">
        <f aca="false">R222-B222</f>
        <v>56</v>
      </c>
      <c r="U222" s="8" t="n">
        <f aca="false">R222-C222</f>
        <v>55</v>
      </c>
      <c r="V222" s="8" t="n">
        <f aca="false">R222-D222</f>
        <v>55</v>
      </c>
      <c r="W222" s="8" t="n">
        <f aca="false">R222-E222</f>
        <v>55</v>
      </c>
      <c r="X222" s="8" t="n">
        <f aca="false">R222-F222</f>
        <v>55</v>
      </c>
      <c r="Y222" s="8" t="n">
        <f aca="false">R222-G222</f>
        <v>56</v>
      </c>
      <c r="Z222" s="8" t="n">
        <f aca="false">R222-H222</f>
        <v>55</v>
      </c>
      <c r="AA222" s="8" t="n">
        <f aca="false">R222-I222</f>
        <v>55</v>
      </c>
      <c r="AB222" s="8" t="n">
        <f aca="false">R222-J222</f>
        <v>55</v>
      </c>
      <c r="AC222" s="8" t="n">
        <f aca="false">R222-K222</f>
        <v>55</v>
      </c>
      <c r="AD222" s="8" t="n">
        <f aca="false">R222-L222</f>
        <v>55</v>
      </c>
      <c r="AE222" s="8" t="n">
        <f aca="false">R222-M222</f>
        <v>55</v>
      </c>
      <c r="AF222" s="8" t="n">
        <f aca="false">R222-N222</f>
        <v>55</v>
      </c>
      <c r="AG222" s="8" t="n">
        <f aca="false">R222-O222</f>
        <v>56</v>
      </c>
      <c r="AH222" s="8" t="n">
        <f aca="false">R222-P222</f>
        <v>58</v>
      </c>
      <c r="AI222" s="8" t="n">
        <f aca="false">R222-Q222</f>
        <v>54</v>
      </c>
    </row>
    <row r="223" customFormat="false" ht="15" hidden="false" customHeight="false" outlineLevel="0" collapsed="false">
      <c r="A223" s="7" t="s">
        <v>309</v>
      </c>
      <c r="B223" s="9" t="n">
        <v>3</v>
      </c>
      <c r="C223" s="9" t="n">
        <v>3</v>
      </c>
      <c r="D223" s="9" t="n">
        <v>4</v>
      </c>
      <c r="E223" s="9" t="n">
        <v>3</v>
      </c>
      <c r="F223" s="9" t="n">
        <v>3</v>
      </c>
      <c r="G223" s="9" t="n">
        <v>4</v>
      </c>
      <c r="H223" s="9" t="n">
        <v>4</v>
      </c>
      <c r="I223" s="9" t="n">
        <v>3</v>
      </c>
      <c r="J223" s="9" t="n">
        <v>3</v>
      </c>
      <c r="K223" s="9" t="n">
        <v>3</v>
      </c>
      <c r="L223" s="9" t="n">
        <v>4</v>
      </c>
      <c r="M223" s="9" t="n">
        <v>3</v>
      </c>
      <c r="N223" s="9" t="n">
        <v>3</v>
      </c>
      <c r="O223" s="9" t="n">
        <v>4</v>
      </c>
      <c r="P223" s="9" t="n">
        <v>4</v>
      </c>
      <c r="Q223" s="9" t="n">
        <v>5</v>
      </c>
      <c r="R223" s="8" t="n">
        <f aca="false">SUM(B223:Q223)</f>
        <v>56</v>
      </c>
      <c r="S223" s="8" t="str">
        <f aca="false">IF(R223&gt;=5_項目分析!$B$6,"高",IF(R223&lt;=5_項目分析!$B$5,"低",""))</f>
        <v>低</v>
      </c>
      <c r="T223" s="8" t="n">
        <f aca="false">R223-B223</f>
        <v>53</v>
      </c>
      <c r="U223" s="8" t="n">
        <f aca="false">R223-C223</f>
        <v>53</v>
      </c>
      <c r="V223" s="8" t="n">
        <f aca="false">R223-D223</f>
        <v>52</v>
      </c>
      <c r="W223" s="8" t="n">
        <f aca="false">R223-E223</f>
        <v>53</v>
      </c>
      <c r="X223" s="8" t="n">
        <f aca="false">R223-F223</f>
        <v>53</v>
      </c>
      <c r="Y223" s="8" t="n">
        <f aca="false">R223-G223</f>
        <v>52</v>
      </c>
      <c r="Z223" s="8" t="n">
        <f aca="false">R223-H223</f>
        <v>52</v>
      </c>
      <c r="AA223" s="8" t="n">
        <f aca="false">R223-I223</f>
        <v>53</v>
      </c>
      <c r="AB223" s="8" t="n">
        <f aca="false">R223-J223</f>
        <v>53</v>
      </c>
      <c r="AC223" s="8" t="n">
        <f aca="false">R223-K223</f>
        <v>53</v>
      </c>
      <c r="AD223" s="8" t="n">
        <f aca="false">R223-L223</f>
        <v>52</v>
      </c>
      <c r="AE223" s="8" t="n">
        <f aca="false">R223-M223</f>
        <v>53</v>
      </c>
      <c r="AF223" s="8" t="n">
        <f aca="false">R223-N223</f>
        <v>53</v>
      </c>
      <c r="AG223" s="8" t="n">
        <f aca="false">R223-O223</f>
        <v>52</v>
      </c>
      <c r="AH223" s="8" t="n">
        <f aca="false">R223-P223</f>
        <v>52</v>
      </c>
      <c r="AI223" s="8" t="n">
        <f aca="false">R223-Q223</f>
        <v>51</v>
      </c>
    </row>
    <row r="224" customFormat="false" ht="15" hidden="false" customHeight="false" outlineLevel="0" collapsed="false">
      <c r="A224" s="7" t="s">
        <v>310</v>
      </c>
      <c r="B224" s="9" t="n">
        <v>3</v>
      </c>
      <c r="C224" s="9" t="n">
        <v>3</v>
      </c>
      <c r="D224" s="9" t="n">
        <v>3</v>
      </c>
      <c r="E224" s="9" t="n">
        <v>1</v>
      </c>
      <c r="F224" s="9" t="n">
        <v>4</v>
      </c>
      <c r="G224" s="9" t="n">
        <v>2</v>
      </c>
      <c r="H224" s="9" t="n">
        <v>4</v>
      </c>
      <c r="I224" s="9" t="n">
        <v>3</v>
      </c>
      <c r="J224" s="9" t="n">
        <v>1</v>
      </c>
      <c r="K224" s="9" t="n">
        <v>4</v>
      </c>
      <c r="L224" s="9" t="n">
        <v>4</v>
      </c>
      <c r="M224" s="9" t="n">
        <v>5</v>
      </c>
      <c r="N224" s="9" t="n">
        <v>3</v>
      </c>
      <c r="O224" s="9" t="n">
        <v>4</v>
      </c>
      <c r="P224" s="9" t="n">
        <v>4</v>
      </c>
      <c r="Q224" s="9" t="n">
        <v>5</v>
      </c>
      <c r="R224" s="8" t="n">
        <f aca="false">SUM(B224:Q224)</f>
        <v>53</v>
      </c>
      <c r="S224" s="8" t="str">
        <f aca="false">IF(R224&gt;=5_項目分析!$B$6,"高",IF(R224&lt;=5_項目分析!$B$5,"低",""))</f>
        <v>低</v>
      </c>
      <c r="T224" s="8" t="n">
        <f aca="false">R224-B224</f>
        <v>50</v>
      </c>
      <c r="U224" s="8" t="n">
        <f aca="false">R224-C224</f>
        <v>50</v>
      </c>
      <c r="V224" s="8" t="n">
        <f aca="false">R224-D224</f>
        <v>50</v>
      </c>
      <c r="W224" s="8" t="n">
        <f aca="false">R224-E224</f>
        <v>52</v>
      </c>
      <c r="X224" s="8" t="n">
        <f aca="false">R224-F224</f>
        <v>49</v>
      </c>
      <c r="Y224" s="8" t="n">
        <f aca="false">R224-G224</f>
        <v>51</v>
      </c>
      <c r="Z224" s="8" t="n">
        <f aca="false">R224-H224</f>
        <v>49</v>
      </c>
      <c r="AA224" s="8" t="n">
        <f aca="false">R224-I224</f>
        <v>50</v>
      </c>
      <c r="AB224" s="8" t="n">
        <f aca="false">R224-J224</f>
        <v>52</v>
      </c>
      <c r="AC224" s="8" t="n">
        <f aca="false">R224-K224</f>
        <v>49</v>
      </c>
      <c r="AD224" s="8" t="n">
        <f aca="false">R224-L224</f>
        <v>49</v>
      </c>
      <c r="AE224" s="8" t="n">
        <f aca="false">R224-M224</f>
        <v>48</v>
      </c>
      <c r="AF224" s="8" t="n">
        <f aca="false">R224-N224</f>
        <v>50</v>
      </c>
      <c r="AG224" s="8" t="n">
        <f aca="false">R224-O224</f>
        <v>49</v>
      </c>
      <c r="AH224" s="8" t="n">
        <f aca="false">R224-P224</f>
        <v>49</v>
      </c>
      <c r="AI224" s="8" t="n">
        <f aca="false">R224-Q224</f>
        <v>48</v>
      </c>
    </row>
    <row r="225" customFormat="false" ht="15" hidden="false" customHeight="false" outlineLevel="0" collapsed="false">
      <c r="A225" s="7" t="s">
        <v>311</v>
      </c>
      <c r="B225" s="9" t="n">
        <v>4</v>
      </c>
      <c r="C225" s="9" t="n">
        <v>4</v>
      </c>
      <c r="D225" s="9" t="n">
        <v>5</v>
      </c>
      <c r="E225" s="9" t="n">
        <v>4</v>
      </c>
      <c r="F225" s="9" t="n">
        <v>3</v>
      </c>
      <c r="G225" s="9" t="n">
        <v>5</v>
      </c>
      <c r="H225" s="9" t="n">
        <v>5</v>
      </c>
      <c r="I225" s="9" t="n">
        <v>4</v>
      </c>
      <c r="J225" s="9" t="n">
        <v>3</v>
      </c>
      <c r="K225" s="9" t="n">
        <v>5</v>
      </c>
      <c r="L225" s="9" t="n">
        <v>4</v>
      </c>
      <c r="M225" s="9" t="n">
        <v>4</v>
      </c>
      <c r="N225" s="9" t="n">
        <v>4</v>
      </c>
      <c r="O225" s="9" t="n">
        <v>5</v>
      </c>
      <c r="P225" s="9" t="n">
        <v>3</v>
      </c>
      <c r="Q225" s="9" t="n">
        <v>3</v>
      </c>
      <c r="R225" s="8" t="n">
        <f aca="false">SUM(B225:Q225)</f>
        <v>65</v>
      </c>
      <c r="S225" s="8" t="str">
        <f aca="false">IF(R225&gt;=5_項目分析!$B$6,"高",IF(R225&lt;=5_項目分析!$B$5,"低",""))</f>
        <v>高</v>
      </c>
      <c r="T225" s="8" t="n">
        <f aca="false">R225-B225</f>
        <v>61</v>
      </c>
      <c r="U225" s="8" t="n">
        <f aca="false">R225-C225</f>
        <v>61</v>
      </c>
      <c r="V225" s="8" t="n">
        <f aca="false">R225-D225</f>
        <v>60</v>
      </c>
      <c r="W225" s="8" t="n">
        <f aca="false">R225-E225</f>
        <v>61</v>
      </c>
      <c r="X225" s="8" t="n">
        <f aca="false">R225-F225</f>
        <v>62</v>
      </c>
      <c r="Y225" s="8" t="n">
        <f aca="false">R225-G225</f>
        <v>60</v>
      </c>
      <c r="Z225" s="8" t="n">
        <f aca="false">R225-H225</f>
        <v>60</v>
      </c>
      <c r="AA225" s="8" t="n">
        <f aca="false">R225-I225</f>
        <v>61</v>
      </c>
      <c r="AB225" s="8" t="n">
        <f aca="false">R225-J225</f>
        <v>62</v>
      </c>
      <c r="AC225" s="8" t="n">
        <f aca="false">R225-K225</f>
        <v>60</v>
      </c>
      <c r="AD225" s="8" t="n">
        <f aca="false">R225-L225</f>
        <v>61</v>
      </c>
      <c r="AE225" s="8" t="n">
        <f aca="false">R225-M225</f>
        <v>61</v>
      </c>
      <c r="AF225" s="8" t="n">
        <f aca="false">R225-N225</f>
        <v>61</v>
      </c>
      <c r="AG225" s="8" t="n">
        <f aca="false">R225-O225</f>
        <v>60</v>
      </c>
      <c r="AH225" s="8" t="n">
        <f aca="false">R225-P225</f>
        <v>62</v>
      </c>
      <c r="AI225" s="8" t="n">
        <f aca="false">R225-Q225</f>
        <v>62</v>
      </c>
    </row>
    <row r="226" customFormat="false" ht="15" hidden="false" customHeight="false" outlineLevel="0" collapsed="false">
      <c r="A226" s="7" t="s">
        <v>312</v>
      </c>
      <c r="B226" s="9" t="n">
        <v>3</v>
      </c>
      <c r="C226" s="9" t="n">
        <v>4</v>
      </c>
      <c r="D226" s="9" t="n">
        <v>3</v>
      </c>
      <c r="E226" s="9" t="n">
        <v>3</v>
      </c>
      <c r="F226" s="9" t="n">
        <v>4</v>
      </c>
      <c r="G226" s="9" t="n">
        <v>5</v>
      </c>
      <c r="H226" s="9" t="n">
        <v>5</v>
      </c>
      <c r="I226" s="9" t="n">
        <v>4</v>
      </c>
      <c r="J226" s="9" t="n">
        <v>4</v>
      </c>
      <c r="K226" s="9" t="n">
        <v>4</v>
      </c>
      <c r="L226" s="9" t="n">
        <v>5</v>
      </c>
      <c r="M226" s="9" t="n">
        <v>3</v>
      </c>
      <c r="N226" s="9" t="n">
        <v>4</v>
      </c>
      <c r="O226" s="9" t="n">
        <v>4</v>
      </c>
      <c r="P226" s="9" t="n">
        <v>4</v>
      </c>
      <c r="Q226" s="9" t="n">
        <v>4</v>
      </c>
      <c r="R226" s="8" t="n">
        <f aca="false">SUM(B226:Q226)</f>
        <v>63</v>
      </c>
      <c r="S226" s="8" t="str">
        <f aca="false">IF(R226&gt;=5_項目分析!$B$6,"高",IF(R226&lt;=5_項目分析!$B$5,"低",""))</f>
        <v/>
      </c>
      <c r="T226" s="8" t="n">
        <f aca="false">R226-B226</f>
        <v>60</v>
      </c>
      <c r="U226" s="8" t="n">
        <f aca="false">R226-C226</f>
        <v>59</v>
      </c>
      <c r="V226" s="8" t="n">
        <f aca="false">R226-D226</f>
        <v>60</v>
      </c>
      <c r="W226" s="8" t="n">
        <f aca="false">R226-E226</f>
        <v>60</v>
      </c>
      <c r="X226" s="8" t="n">
        <f aca="false">R226-F226</f>
        <v>59</v>
      </c>
      <c r="Y226" s="8" t="n">
        <f aca="false">R226-G226</f>
        <v>58</v>
      </c>
      <c r="Z226" s="8" t="n">
        <f aca="false">R226-H226</f>
        <v>58</v>
      </c>
      <c r="AA226" s="8" t="n">
        <f aca="false">R226-I226</f>
        <v>59</v>
      </c>
      <c r="AB226" s="8" t="n">
        <f aca="false">R226-J226</f>
        <v>59</v>
      </c>
      <c r="AC226" s="8" t="n">
        <f aca="false">R226-K226</f>
        <v>59</v>
      </c>
      <c r="AD226" s="8" t="n">
        <f aca="false">R226-L226</f>
        <v>58</v>
      </c>
      <c r="AE226" s="8" t="n">
        <f aca="false">R226-M226</f>
        <v>60</v>
      </c>
      <c r="AF226" s="8" t="n">
        <f aca="false">R226-N226</f>
        <v>59</v>
      </c>
      <c r="AG226" s="8" t="n">
        <f aca="false">R226-O226</f>
        <v>59</v>
      </c>
      <c r="AH226" s="8" t="n">
        <f aca="false">R226-P226</f>
        <v>59</v>
      </c>
      <c r="AI226" s="8" t="n">
        <f aca="false">R226-Q226</f>
        <v>59</v>
      </c>
    </row>
    <row r="227" customFormat="false" ht="15" hidden="false" customHeight="false" outlineLevel="0" collapsed="false">
      <c r="A227" s="7" t="s">
        <v>313</v>
      </c>
      <c r="B227" s="9" t="n">
        <v>5</v>
      </c>
      <c r="C227" s="9" t="n">
        <v>5</v>
      </c>
      <c r="D227" s="9" t="n">
        <v>5</v>
      </c>
      <c r="E227" s="9" t="n">
        <v>5</v>
      </c>
      <c r="F227" s="9" t="n">
        <v>4</v>
      </c>
      <c r="G227" s="9" t="n">
        <v>2</v>
      </c>
      <c r="H227" s="9" t="n">
        <v>4</v>
      </c>
      <c r="I227" s="9" t="n">
        <v>4</v>
      </c>
      <c r="J227" s="9" t="n">
        <v>3</v>
      </c>
      <c r="K227" s="9" t="n">
        <v>3</v>
      </c>
      <c r="L227" s="9" t="n">
        <v>3</v>
      </c>
      <c r="M227" s="9" t="n">
        <v>4</v>
      </c>
      <c r="N227" s="9" t="n">
        <v>3</v>
      </c>
      <c r="O227" s="9" t="n">
        <v>4</v>
      </c>
      <c r="P227" s="9" t="n">
        <v>3</v>
      </c>
      <c r="Q227" s="9" t="n">
        <v>5</v>
      </c>
      <c r="R227" s="8" t="n">
        <f aca="false">SUM(B227:Q227)</f>
        <v>62</v>
      </c>
      <c r="S227" s="8" t="str">
        <f aca="false">IF(R227&gt;=5_項目分析!$B$6,"高",IF(R227&lt;=5_項目分析!$B$5,"低",""))</f>
        <v/>
      </c>
      <c r="T227" s="8" t="n">
        <f aca="false">R227-B227</f>
        <v>57</v>
      </c>
      <c r="U227" s="8" t="n">
        <f aca="false">R227-C227</f>
        <v>57</v>
      </c>
      <c r="V227" s="8" t="n">
        <f aca="false">R227-D227</f>
        <v>57</v>
      </c>
      <c r="W227" s="8" t="n">
        <f aca="false">R227-E227</f>
        <v>57</v>
      </c>
      <c r="X227" s="8" t="n">
        <f aca="false">R227-F227</f>
        <v>58</v>
      </c>
      <c r="Y227" s="8" t="n">
        <f aca="false">R227-G227</f>
        <v>60</v>
      </c>
      <c r="Z227" s="8" t="n">
        <f aca="false">R227-H227</f>
        <v>58</v>
      </c>
      <c r="AA227" s="8" t="n">
        <f aca="false">R227-I227</f>
        <v>58</v>
      </c>
      <c r="AB227" s="8" t="n">
        <f aca="false">R227-J227</f>
        <v>59</v>
      </c>
      <c r="AC227" s="8" t="n">
        <f aca="false">R227-K227</f>
        <v>59</v>
      </c>
      <c r="AD227" s="8" t="n">
        <f aca="false">R227-L227</f>
        <v>59</v>
      </c>
      <c r="AE227" s="8" t="n">
        <f aca="false">R227-M227</f>
        <v>58</v>
      </c>
      <c r="AF227" s="8" t="n">
        <f aca="false">R227-N227</f>
        <v>59</v>
      </c>
      <c r="AG227" s="8" t="n">
        <f aca="false">R227-O227</f>
        <v>58</v>
      </c>
      <c r="AH227" s="8" t="n">
        <f aca="false">R227-P227</f>
        <v>59</v>
      </c>
      <c r="AI227" s="8" t="n">
        <f aca="false">R227-Q227</f>
        <v>57</v>
      </c>
    </row>
    <row r="228" customFormat="false" ht="15" hidden="false" customHeight="false" outlineLevel="0" collapsed="false">
      <c r="A228" s="7" t="s">
        <v>314</v>
      </c>
      <c r="B228" s="9" t="n">
        <v>5</v>
      </c>
      <c r="C228" s="9" t="n">
        <v>5</v>
      </c>
      <c r="D228" s="9" t="n">
        <v>4</v>
      </c>
      <c r="E228" s="9" t="n">
        <v>5</v>
      </c>
      <c r="F228" s="9" t="n">
        <v>4</v>
      </c>
      <c r="G228" s="9" t="n">
        <v>3</v>
      </c>
      <c r="H228" s="9" t="n">
        <v>4</v>
      </c>
      <c r="I228" s="9" t="n">
        <v>3</v>
      </c>
      <c r="J228" s="9" t="n">
        <v>2</v>
      </c>
      <c r="K228" s="9" t="n">
        <v>4</v>
      </c>
      <c r="L228" s="9" t="n">
        <v>4</v>
      </c>
      <c r="M228" s="9" t="n">
        <v>4</v>
      </c>
      <c r="N228" s="9" t="n">
        <v>4</v>
      </c>
      <c r="O228" s="9" t="n">
        <v>4</v>
      </c>
      <c r="P228" s="9" t="n">
        <v>3</v>
      </c>
      <c r="Q228" s="9" t="n">
        <v>5</v>
      </c>
      <c r="R228" s="8" t="n">
        <f aca="false">SUM(B228:Q228)</f>
        <v>63</v>
      </c>
      <c r="S228" s="8" t="str">
        <f aca="false">IF(R228&gt;=5_項目分析!$B$6,"高",IF(R228&lt;=5_項目分析!$B$5,"低",""))</f>
        <v/>
      </c>
      <c r="T228" s="8" t="n">
        <f aca="false">R228-B228</f>
        <v>58</v>
      </c>
      <c r="U228" s="8" t="n">
        <f aca="false">R228-C228</f>
        <v>58</v>
      </c>
      <c r="V228" s="8" t="n">
        <f aca="false">R228-D228</f>
        <v>59</v>
      </c>
      <c r="W228" s="8" t="n">
        <f aca="false">R228-E228</f>
        <v>58</v>
      </c>
      <c r="X228" s="8" t="n">
        <f aca="false">R228-F228</f>
        <v>59</v>
      </c>
      <c r="Y228" s="8" t="n">
        <f aca="false">R228-G228</f>
        <v>60</v>
      </c>
      <c r="Z228" s="8" t="n">
        <f aca="false">R228-H228</f>
        <v>59</v>
      </c>
      <c r="AA228" s="8" t="n">
        <f aca="false">R228-I228</f>
        <v>60</v>
      </c>
      <c r="AB228" s="8" t="n">
        <f aca="false">R228-J228</f>
        <v>61</v>
      </c>
      <c r="AC228" s="8" t="n">
        <f aca="false">R228-K228</f>
        <v>59</v>
      </c>
      <c r="AD228" s="8" t="n">
        <f aca="false">R228-L228</f>
        <v>59</v>
      </c>
      <c r="AE228" s="8" t="n">
        <f aca="false">R228-M228</f>
        <v>59</v>
      </c>
      <c r="AF228" s="8" t="n">
        <f aca="false">R228-N228</f>
        <v>59</v>
      </c>
      <c r="AG228" s="8" t="n">
        <f aca="false">R228-O228</f>
        <v>59</v>
      </c>
      <c r="AH228" s="8" t="n">
        <f aca="false">R228-P228</f>
        <v>60</v>
      </c>
      <c r="AI228" s="8" t="n">
        <f aca="false">R228-Q228</f>
        <v>58</v>
      </c>
    </row>
    <row r="229" customFormat="false" ht="15" hidden="false" customHeight="false" outlineLevel="0" collapsed="false">
      <c r="A229" s="7" t="s">
        <v>315</v>
      </c>
      <c r="B229" s="9" t="n">
        <v>3</v>
      </c>
      <c r="C229" s="9" t="n">
        <v>3</v>
      </c>
      <c r="D229" s="9" t="n">
        <v>3</v>
      </c>
      <c r="E229" s="9" t="n">
        <v>2</v>
      </c>
      <c r="F229" s="9" t="n">
        <v>3</v>
      </c>
      <c r="G229" s="9" t="n">
        <v>2</v>
      </c>
      <c r="H229" s="9" t="n">
        <v>2</v>
      </c>
      <c r="I229" s="9" t="n">
        <v>3</v>
      </c>
      <c r="J229" s="9" t="n">
        <v>4</v>
      </c>
      <c r="K229" s="9" t="n">
        <v>2</v>
      </c>
      <c r="L229" s="9" t="n">
        <v>1</v>
      </c>
      <c r="M229" s="9" t="n">
        <v>3</v>
      </c>
      <c r="N229" s="9" t="n">
        <v>3</v>
      </c>
      <c r="O229" s="9" t="n">
        <v>4</v>
      </c>
      <c r="P229" s="9" t="n">
        <v>2</v>
      </c>
      <c r="Q229" s="9" t="n">
        <v>5</v>
      </c>
      <c r="R229" s="8" t="n">
        <f aca="false">SUM(B229:Q229)</f>
        <v>45</v>
      </c>
      <c r="S229" s="8" t="str">
        <f aca="false">IF(R229&gt;=5_項目分析!$B$6,"高",IF(R229&lt;=5_項目分析!$B$5,"低",""))</f>
        <v>低</v>
      </c>
      <c r="T229" s="8" t="n">
        <f aca="false">R229-B229</f>
        <v>42</v>
      </c>
      <c r="U229" s="8" t="n">
        <f aca="false">R229-C229</f>
        <v>42</v>
      </c>
      <c r="V229" s="8" t="n">
        <f aca="false">R229-D229</f>
        <v>42</v>
      </c>
      <c r="W229" s="8" t="n">
        <f aca="false">R229-E229</f>
        <v>43</v>
      </c>
      <c r="X229" s="8" t="n">
        <f aca="false">R229-F229</f>
        <v>42</v>
      </c>
      <c r="Y229" s="8" t="n">
        <f aca="false">R229-G229</f>
        <v>43</v>
      </c>
      <c r="Z229" s="8" t="n">
        <f aca="false">R229-H229</f>
        <v>43</v>
      </c>
      <c r="AA229" s="8" t="n">
        <f aca="false">R229-I229</f>
        <v>42</v>
      </c>
      <c r="AB229" s="8" t="n">
        <f aca="false">R229-J229</f>
        <v>41</v>
      </c>
      <c r="AC229" s="8" t="n">
        <f aca="false">R229-K229</f>
        <v>43</v>
      </c>
      <c r="AD229" s="8" t="n">
        <f aca="false">R229-L229</f>
        <v>44</v>
      </c>
      <c r="AE229" s="8" t="n">
        <f aca="false">R229-M229</f>
        <v>42</v>
      </c>
      <c r="AF229" s="8" t="n">
        <f aca="false">R229-N229</f>
        <v>42</v>
      </c>
      <c r="AG229" s="8" t="n">
        <f aca="false">R229-O229</f>
        <v>41</v>
      </c>
      <c r="AH229" s="8" t="n">
        <f aca="false">R229-P229</f>
        <v>43</v>
      </c>
      <c r="AI229" s="8" t="n">
        <f aca="false">R229-Q229</f>
        <v>40</v>
      </c>
    </row>
    <row r="230" customFormat="false" ht="15" hidden="false" customHeight="false" outlineLevel="0" collapsed="false">
      <c r="A230" s="7" t="s">
        <v>316</v>
      </c>
      <c r="B230" s="9" t="n">
        <v>4</v>
      </c>
      <c r="C230" s="9" t="n">
        <v>4</v>
      </c>
      <c r="D230" s="9" t="n">
        <v>4</v>
      </c>
      <c r="E230" s="9" t="n">
        <v>5</v>
      </c>
      <c r="F230" s="9" t="n">
        <v>4</v>
      </c>
      <c r="G230" s="9" t="n">
        <v>4</v>
      </c>
      <c r="H230" s="9" t="n">
        <v>4</v>
      </c>
      <c r="I230" s="9" t="n">
        <v>4</v>
      </c>
      <c r="J230" s="9" t="n">
        <v>3</v>
      </c>
      <c r="K230" s="9" t="n">
        <v>4</v>
      </c>
      <c r="L230" s="9" t="n">
        <v>3</v>
      </c>
      <c r="M230" s="9" t="n">
        <v>2</v>
      </c>
      <c r="N230" s="9" t="n">
        <v>4</v>
      </c>
      <c r="O230" s="9" t="n">
        <v>3</v>
      </c>
      <c r="P230" s="9" t="n">
        <v>3</v>
      </c>
      <c r="Q230" s="9" t="n">
        <v>5</v>
      </c>
      <c r="R230" s="8" t="n">
        <f aca="false">SUM(B230:Q230)</f>
        <v>60</v>
      </c>
      <c r="S230" s="8" t="str">
        <f aca="false">IF(R230&gt;=5_項目分析!$B$6,"高",IF(R230&lt;=5_項目分析!$B$5,"低",""))</f>
        <v/>
      </c>
      <c r="T230" s="8" t="n">
        <f aca="false">R230-B230</f>
        <v>56</v>
      </c>
      <c r="U230" s="8" t="n">
        <f aca="false">R230-C230</f>
        <v>56</v>
      </c>
      <c r="V230" s="8" t="n">
        <f aca="false">R230-D230</f>
        <v>56</v>
      </c>
      <c r="W230" s="8" t="n">
        <f aca="false">R230-E230</f>
        <v>55</v>
      </c>
      <c r="X230" s="8" t="n">
        <f aca="false">R230-F230</f>
        <v>56</v>
      </c>
      <c r="Y230" s="8" t="n">
        <f aca="false">R230-G230</f>
        <v>56</v>
      </c>
      <c r="Z230" s="8" t="n">
        <f aca="false">R230-H230</f>
        <v>56</v>
      </c>
      <c r="AA230" s="8" t="n">
        <f aca="false">R230-I230</f>
        <v>56</v>
      </c>
      <c r="AB230" s="8" t="n">
        <f aca="false">R230-J230</f>
        <v>57</v>
      </c>
      <c r="AC230" s="8" t="n">
        <f aca="false">R230-K230</f>
        <v>56</v>
      </c>
      <c r="AD230" s="8" t="n">
        <f aca="false">R230-L230</f>
        <v>57</v>
      </c>
      <c r="AE230" s="8" t="n">
        <f aca="false">R230-M230</f>
        <v>58</v>
      </c>
      <c r="AF230" s="8" t="n">
        <f aca="false">R230-N230</f>
        <v>56</v>
      </c>
      <c r="AG230" s="8" t="n">
        <f aca="false">R230-O230</f>
        <v>57</v>
      </c>
      <c r="AH230" s="8" t="n">
        <f aca="false">R230-P230</f>
        <v>57</v>
      </c>
      <c r="AI230" s="8" t="n">
        <f aca="false">R230-Q230</f>
        <v>55</v>
      </c>
    </row>
    <row r="231" customFormat="false" ht="15" hidden="false" customHeight="false" outlineLevel="0" collapsed="false">
      <c r="A231" s="7" t="s">
        <v>317</v>
      </c>
      <c r="B231" s="9" t="n">
        <v>5</v>
      </c>
      <c r="C231" s="9" t="n">
        <v>5</v>
      </c>
      <c r="D231" s="9" t="n">
        <v>5</v>
      </c>
      <c r="E231" s="9" t="n">
        <v>5</v>
      </c>
      <c r="F231" s="9" t="n">
        <v>3</v>
      </c>
      <c r="G231" s="9" t="n">
        <v>5</v>
      </c>
      <c r="H231" s="9" t="n">
        <v>4</v>
      </c>
      <c r="I231" s="9" t="n">
        <v>5</v>
      </c>
      <c r="J231" s="9" t="n">
        <v>5</v>
      </c>
      <c r="K231" s="9" t="n">
        <v>5</v>
      </c>
      <c r="L231" s="9" t="n">
        <v>3</v>
      </c>
      <c r="M231" s="9" t="n">
        <v>3</v>
      </c>
      <c r="N231" s="9" t="n">
        <v>2</v>
      </c>
      <c r="O231" s="9" t="n">
        <v>3</v>
      </c>
      <c r="P231" s="9" t="n">
        <v>3</v>
      </c>
      <c r="Q231" s="9" t="n">
        <v>5</v>
      </c>
      <c r="R231" s="8" t="n">
        <f aca="false">SUM(B231:Q231)</f>
        <v>66</v>
      </c>
      <c r="S231" s="8" t="str">
        <f aca="false">IF(R231&gt;=5_項目分析!$B$6,"高",IF(R231&lt;=5_項目分析!$B$5,"低",""))</f>
        <v>高</v>
      </c>
      <c r="T231" s="8" t="n">
        <f aca="false">R231-B231</f>
        <v>61</v>
      </c>
      <c r="U231" s="8" t="n">
        <f aca="false">R231-C231</f>
        <v>61</v>
      </c>
      <c r="V231" s="8" t="n">
        <f aca="false">R231-D231</f>
        <v>61</v>
      </c>
      <c r="W231" s="8" t="n">
        <f aca="false">R231-E231</f>
        <v>61</v>
      </c>
      <c r="X231" s="8" t="n">
        <f aca="false">R231-F231</f>
        <v>63</v>
      </c>
      <c r="Y231" s="8" t="n">
        <f aca="false">R231-G231</f>
        <v>61</v>
      </c>
      <c r="Z231" s="8" t="n">
        <f aca="false">R231-H231</f>
        <v>62</v>
      </c>
      <c r="AA231" s="8" t="n">
        <f aca="false">R231-I231</f>
        <v>61</v>
      </c>
      <c r="AB231" s="8" t="n">
        <f aca="false">R231-J231</f>
        <v>61</v>
      </c>
      <c r="AC231" s="8" t="n">
        <f aca="false">R231-K231</f>
        <v>61</v>
      </c>
      <c r="AD231" s="8" t="n">
        <f aca="false">R231-L231</f>
        <v>63</v>
      </c>
      <c r="AE231" s="8" t="n">
        <f aca="false">R231-M231</f>
        <v>63</v>
      </c>
      <c r="AF231" s="8" t="n">
        <f aca="false">R231-N231</f>
        <v>64</v>
      </c>
      <c r="AG231" s="8" t="n">
        <f aca="false">R231-O231</f>
        <v>63</v>
      </c>
      <c r="AH231" s="8" t="n">
        <f aca="false">R231-P231</f>
        <v>63</v>
      </c>
      <c r="AI231" s="8" t="n">
        <f aca="false">R231-Q231</f>
        <v>61</v>
      </c>
    </row>
    <row r="232" customFormat="false" ht="15" hidden="false" customHeight="false" outlineLevel="0" collapsed="false">
      <c r="A232" s="7" t="s">
        <v>318</v>
      </c>
      <c r="B232" s="9" t="n">
        <v>3</v>
      </c>
      <c r="C232" s="9" t="n">
        <v>2</v>
      </c>
      <c r="D232" s="9" t="n">
        <v>3</v>
      </c>
      <c r="E232" s="9" t="n">
        <v>2</v>
      </c>
      <c r="F232" s="9" t="n">
        <v>4</v>
      </c>
      <c r="G232" s="9" t="n">
        <v>5</v>
      </c>
      <c r="H232" s="9" t="n">
        <v>3</v>
      </c>
      <c r="I232" s="9" t="n">
        <v>2</v>
      </c>
      <c r="J232" s="9" t="n">
        <v>2</v>
      </c>
      <c r="K232" s="9" t="n">
        <v>5</v>
      </c>
      <c r="L232" s="9" t="n">
        <v>3</v>
      </c>
      <c r="M232" s="9" t="n">
        <v>4</v>
      </c>
      <c r="N232" s="9" t="n">
        <v>4</v>
      </c>
      <c r="O232" s="9" t="n">
        <v>4</v>
      </c>
      <c r="P232" s="9" t="n">
        <v>4</v>
      </c>
      <c r="Q232" s="9" t="n">
        <v>5</v>
      </c>
      <c r="R232" s="8" t="n">
        <f aca="false">SUM(B232:Q232)</f>
        <v>55</v>
      </c>
      <c r="S232" s="8" t="str">
        <f aca="false">IF(R232&gt;=5_項目分析!$B$6,"高",IF(R232&lt;=5_項目分析!$B$5,"低",""))</f>
        <v>低</v>
      </c>
      <c r="T232" s="8" t="n">
        <f aca="false">R232-B232</f>
        <v>52</v>
      </c>
      <c r="U232" s="8" t="n">
        <f aca="false">R232-C232</f>
        <v>53</v>
      </c>
      <c r="V232" s="8" t="n">
        <f aca="false">R232-D232</f>
        <v>52</v>
      </c>
      <c r="W232" s="8" t="n">
        <f aca="false">R232-E232</f>
        <v>53</v>
      </c>
      <c r="X232" s="8" t="n">
        <f aca="false">R232-F232</f>
        <v>51</v>
      </c>
      <c r="Y232" s="8" t="n">
        <f aca="false">R232-G232</f>
        <v>50</v>
      </c>
      <c r="Z232" s="8" t="n">
        <f aca="false">R232-H232</f>
        <v>52</v>
      </c>
      <c r="AA232" s="8" t="n">
        <f aca="false">R232-I232</f>
        <v>53</v>
      </c>
      <c r="AB232" s="8" t="n">
        <f aca="false">R232-J232</f>
        <v>53</v>
      </c>
      <c r="AC232" s="8" t="n">
        <f aca="false">R232-K232</f>
        <v>50</v>
      </c>
      <c r="AD232" s="8" t="n">
        <f aca="false">R232-L232</f>
        <v>52</v>
      </c>
      <c r="AE232" s="8" t="n">
        <f aca="false">R232-M232</f>
        <v>51</v>
      </c>
      <c r="AF232" s="8" t="n">
        <f aca="false">R232-N232</f>
        <v>51</v>
      </c>
      <c r="AG232" s="8" t="n">
        <f aca="false">R232-O232</f>
        <v>51</v>
      </c>
      <c r="AH232" s="8" t="n">
        <f aca="false">R232-P232</f>
        <v>51</v>
      </c>
      <c r="AI232" s="8" t="n">
        <f aca="false">R232-Q232</f>
        <v>50</v>
      </c>
    </row>
    <row r="233" customFormat="false" ht="15" hidden="false" customHeight="false" outlineLevel="0" collapsed="false">
      <c r="A233" s="7" t="s">
        <v>319</v>
      </c>
      <c r="B233" s="9" t="n">
        <v>4</v>
      </c>
      <c r="C233" s="9" t="n">
        <v>4</v>
      </c>
      <c r="D233" s="9" t="n">
        <v>5</v>
      </c>
      <c r="E233" s="9" t="n">
        <v>5</v>
      </c>
      <c r="F233" s="9" t="n">
        <v>5</v>
      </c>
      <c r="G233" s="9" t="n">
        <v>4</v>
      </c>
      <c r="H233" s="9" t="n">
        <v>4</v>
      </c>
      <c r="I233" s="9" t="n">
        <v>3</v>
      </c>
      <c r="J233" s="9" t="n">
        <v>4</v>
      </c>
      <c r="K233" s="9" t="n">
        <v>3</v>
      </c>
      <c r="L233" s="9" t="n">
        <v>5</v>
      </c>
      <c r="M233" s="9" t="n">
        <v>5</v>
      </c>
      <c r="N233" s="9" t="n">
        <v>5</v>
      </c>
      <c r="O233" s="9" t="n">
        <v>5</v>
      </c>
      <c r="P233" s="9" t="n">
        <v>5</v>
      </c>
      <c r="Q233" s="9" t="n">
        <v>5</v>
      </c>
      <c r="R233" s="8" t="n">
        <f aca="false">SUM(B233:Q233)</f>
        <v>71</v>
      </c>
      <c r="S233" s="8" t="str">
        <f aca="false">IF(R233&gt;=5_項目分析!$B$6,"高",IF(R233&lt;=5_項目分析!$B$5,"低",""))</f>
        <v>高</v>
      </c>
      <c r="T233" s="8" t="n">
        <f aca="false">R233-B233</f>
        <v>67</v>
      </c>
      <c r="U233" s="8" t="n">
        <f aca="false">R233-C233</f>
        <v>67</v>
      </c>
      <c r="V233" s="8" t="n">
        <f aca="false">R233-D233</f>
        <v>66</v>
      </c>
      <c r="W233" s="8" t="n">
        <f aca="false">R233-E233</f>
        <v>66</v>
      </c>
      <c r="X233" s="8" t="n">
        <f aca="false">R233-F233</f>
        <v>66</v>
      </c>
      <c r="Y233" s="8" t="n">
        <f aca="false">R233-G233</f>
        <v>67</v>
      </c>
      <c r="Z233" s="8" t="n">
        <f aca="false">R233-H233</f>
        <v>67</v>
      </c>
      <c r="AA233" s="8" t="n">
        <f aca="false">R233-I233</f>
        <v>68</v>
      </c>
      <c r="AB233" s="8" t="n">
        <f aca="false">R233-J233</f>
        <v>67</v>
      </c>
      <c r="AC233" s="8" t="n">
        <f aca="false">R233-K233</f>
        <v>68</v>
      </c>
      <c r="AD233" s="8" t="n">
        <f aca="false">R233-L233</f>
        <v>66</v>
      </c>
      <c r="AE233" s="8" t="n">
        <f aca="false">R233-M233</f>
        <v>66</v>
      </c>
      <c r="AF233" s="8" t="n">
        <f aca="false">R233-N233</f>
        <v>66</v>
      </c>
      <c r="AG233" s="8" t="n">
        <f aca="false">R233-O233</f>
        <v>66</v>
      </c>
      <c r="AH233" s="8" t="n">
        <f aca="false">R233-P233</f>
        <v>66</v>
      </c>
      <c r="AI233" s="8" t="n">
        <f aca="false">R233-Q233</f>
        <v>66</v>
      </c>
    </row>
    <row r="234" customFormat="false" ht="15" hidden="false" customHeight="false" outlineLevel="0" collapsed="false">
      <c r="A234" s="7" t="s">
        <v>320</v>
      </c>
      <c r="B234" s="9" t="n">
        <v>4</v>
      </c>
      <c r="C234" s="9" t="n">
        <v>5</v>
      </c>
      <c r="D234" s="9" t="n">
        <v>5</v>
      </c>
      <c r="E234" s="9" t="n">
        <v>4</v>
      </c>
      <c r="F234" s="9" t="n">
        <v>5</v>
      </c>
      <c r="G234" s="9" t="n">
        <v>5</v>
      </c>
      <c r="H234" s="9" t="n">
        <v>5</v>
      </c>
      <c r="I234" s="9" t="n">
        <v>5</v>
      </c>
      <c r="J234" s="9" t="n">
        <v>3</v>
      </c>
      <c r="K234" s="9" t="n">
        <v>5</v>
      </c>
      <c r="L234" s="9" t="n">
        <v>5</v>
      </c>
      <c r="M234" s="9" t="n">
        <v>5</v>
      </c>
      <c r="N234" s="9" t="n">
        <v>4</v>
      </c>
      <c r="O234" s="9" t="n">
        <v>5</v>
      </c>
      <c r="P234" s="9" t="n">
        <v>5</v>
      </c>
      <c r="Q234" s="9" t="n">
        <v>5</v>
      </c>
      <c r="R234" s="8" t="n">
        <f aca="false">SUM(B234:Q234)</f>
        <v>75</v>
      </c>
      <c r="S234" s="8" t="str">
        <f aca="false">IF(R234&gt;=5_項目分析!$B$6,"高",IF(R234&lt;=5_項目分析!$B$5,"低",""))</f>
        <v>高</v>
      </c>
      <c r="T234" s="8" t="n">
        <f aca="false">R234-B234</f>
        <v>71</v>
      </c>
      <c r="U234" s="8" t="n">
        <f aca="false">R234-C234</f>
        <v>70</v>
      </c>
      <c r="V234" s="8" t="n">
        <f aca="false">R234-D234</f>
        <v>70</v>
      </c>
      <c r="W234" s="8" t="n">
        <f aca="false">R234-E234</f>
        <v>71</v>
      </c>
      <c r="X234" s="8" t="n">
        <f aca="false">R234-F234</f>
        <v>70</v>
      </c>
      <c r="Y234" s="8" t="n">
        <f aca="false">R234-G234</f>
        <v>70</v>
      </c>
      <c r="Z234" s="8" t="n">
        <f aca="false">R234-H234</f>
        <v>70</v>
      </c>
      <c r="AA234" s="8" t="n">
        <f aca="false">R234-I234</f>
        <v>70</v>
      </c>
      <c r="AB234" s="8" t="n">
        <f aca="false">R234-J234</f>
        <v>72</v>
      </c>
      <c r="AC234" s="8" t="n">
        <f aca="false">R234-K234</f>
        <v>70</v>
      </c>
      <c r="AD234" s="8" t="n">
        <f aca="false">R234-L234</f>
        <v>70</v>
      </c>
      <c r="AE234" s="8" t="n">
        <f aca="false">R234-M234</f>
        <v>70</v>
      </c>
      <c r="AF234" s="8" t="n">
        <f aca="false">R234-N234</f>
        <v>71</v>
      </c>
      <c r="AG234" s="8" t="n">
        <f aca="false">R234-O234</f>
        <v>70</v>
      </c>
      <c r="AH234" s="8" t="n">
        <f aca="false">R234-P234</f>
        <v>70</v>
      </c>
      <c r="AI234" s="8" t="n">
        <f aca="false">R234-Q234</f>
        <v>70</v>
      </c>
    </row>
    <row r="235" customFormat="false" ht="15" hidden="false" customHeight="false" outlineLevel="0" collapsed="false">
      <c r="A235" s="7" t="s">
        <v>321</v>
      </c>
      <c r="B235" s="9" t="n">
        <v>5</v>
      </c>
      <c r="C235" s="9" t="n">
        <v>4</v>
      </c>
      <c r="D235" s="9" t="n">
        <v>5</v>
      </c>
      <c r="E235" s="9" t="n">
        <v>5</v>
      </c>
      <c r="F235" s="9" t="n">
        <v>5</v>
      </c>
      <c r="G235" s="9" t="n">
        <v>5</v>
      </c>
      <c r="H235" s="9" t="n">
        <v>4</v>
      </c>
      <c r="I235" s="9" t="n">
        <v>5</v>
      </c>
      <c r="J235" s="9" t="n">
        <v>4</v>
      </c>
      <c r="K235" s="9" t="n">
        <v>5</v>
      </c>
      <c r="L235" s="9" t="n">
        <v>5</v>
      </c>
      <c r="M235" s="9" t="n">
        <v>5</v>
      </c>
      <c r="N235" s="9" t="n">
        <v>4</v>
      </c>
      <c r="O235" s="9" t="n">
        <v>4</v>
      </c>
      <c r="P235" s="9" t="n">
        <v>4</v>
      </c>
      <c r="Q235" s="9" t="n">
        <v>5</v>
      </c>
      <c r="R235" s="8" t="n">
        <f aca="false">SUM(B235:Q235)</f>
        <v>74</v>
      </c>
      <c r="S235" s="8" t="str">
        <f aca="false">IF(R235&gt;=5_項目分析!$B$6,"高",IF(R235&lt;=5_項目分析!$B$5,"低",""))</f>
        <v>高</v>
      </c>
      <c r="T235" s="8" t="n">
        <f aca="false">R235-B235</f>
        <v>69</v>
      </c>
      <c r="U235" s="8" t="n">
        <f aca="false">R235-C235</f>
        <v>70</v>
      </c>
      <c r="V235" s="8" t="n">
        <f aca="false">R235-D235</f>
        <v>69</v>
      </c>
      <c r="W235" s="8" t="n">
        <f aca="false">R235-E235</f>
        <v>69</v>
      </c>
      <c r="X235" s="8" t="n">
        <f aca="false">R235-F235</f>
        <v>69</v>
      </c>
      <c r="Y235" s="8" t="n">
        <f aca="false">R235-G235</f>
        <v>69</v>
      </c>
      <c r="Z235" s="8" t="n">
        <f aca="false">R235-H235</f>
        <v>70</v>
      </c>
      <c r="AA235" s="8" t="n">
        <f aca="false">R235-I235</f>
        <v>69</v>
      </c>
      <c r="AB235" s="8" t="n">
        <f aca="false">R235-J235</f>
        <v>70</v>
      </c>
      <c r="AC235" s="8" t="n">
        <f aca="false">R235-K235</f>
        <v>69</v>
      </c>
      <c r="AD235" s="8" t="n">
        <f aca="false">R235-L235</f>
        <v>69</v>
      </c>
      <c r="AE235" s="8" t="n">
        <f aca="false">R235-M235</f>
        <v>69</v>
      </c>
      <c r="AF235" s="8" t="n">
        <f aca="false">R235-N235</f>
        <v>70</v>
      </c>
      <c r="AG235" s="8" t="n">
        <f aca="false">R235-O235</f>
        <v>70</v>
      </c>
      <c r="AH235" s="8" t="n">
        <f aca="false">R235-P235</f>
        <v>70</v>
      </c>
      <c r="AI235" s="8" t="n">
        <f aca="false">R235-Q235</f>
        <v>69</v>
      </c>
    </row>
    <row r="236" customFormat="false" ht="15" hidden="false" customHeight="false" outlineLevel="0" collapsed="false">
      <c r="A236" s="7" t="s">
        <v>322</v>
      </c>
      <c r="B236" s="9" t="n">
        <v>2</v>
      </c>
      <c r="C236" s="9" t="n">
        <v>2</v>
      </c>
      <c r="D236" s="9" t="n">
        <v>2</v>
      </c>
      <c r="E236" s="9" t="n">
        <v>3</v>
      </c>
      <c r="F236" s="9" t="n">
        <v>4</v>
      </c>
      <c r="G236" s="9" t="n">
        <v>5</v>
      </c>
      <c r="H236" s="9" t="n">
        <v>5</v>
      </c>
      <c r="I236" s="9" t="n">
        <v>5</v>
      </c>
      <c r="J236" s="9" t="n">
        <v>3</v>
      </c>
      <c r="K236" s="9" t="n">
        <v>5</v>
      </c>
      <c r="L236" s="9" t="n">
        <v>4</v>
      </c>
      <c r="M236" s="9" t="n">
        <v>4</v>
      </c>
      <c r="N236" s="9" t="n">
        <v>5</v>
      </c>
      <c r="O236" s="9" t="n">
        <v>4</v>
      </c>
      <c r="P236" s="9" t="n">
        <v>5</v>
      </c>
      <c r="Q236" s="9" t="n">
        <v>4</v>
      </c>
      <c r="R236" s="8" t="n">
        <f aca="false">SUM(B236:Q236)</f>
        <v>62</v>
      </c>
      <c r="S236" s="8" t="str">
        <f aca="false">IF(R236&gt;=5_項目分析!$B$6,"高",IF(R236&lt;=5_項目分析!$B$5,"低",""))</f>
        <v/>
      </c>
      <c r="T236" s="8" t="n">
        <f aca="false">R236-B236</f>
        <v>60</v>
      </c>
      <c r="U236" s="8" t="n">
        <f aca="false">R236-C236</f>
        <v>60</v>
      </c>
      <c r="V236" s="8" t="n">
        <f aca="false">R236-D236</f>
        <v>60</v>
      </c>
      <c r="W236" s="8" t="n">
        <f aca="false">R236-E236</f>
        <v>59</v>
      </c>
      <c r="X236" s="8" t="n">
        <f aca="false">R236-F236</f>
        <v>58</v>
      </c>
      <c r="Y236" s="8" t="n">
        <f aca="false">R236-G236</f>
        <v>57</v>
      </c>
      <c r="Z236" s="8" t="n">
        <f aca="false">R236-H236</f>
        <v>57</v>
      </c>
      <c r="AA236" s="8" t="n">
        <f aca="false">R236-I236</f>
        <v>57</v>
      </c>
      <c r="AB236" s="8" t="n">
        <f aca="false">R236-J236</f>
        <v>59</v>
      </c>
      <c r="AC236" s="8" t="n">
        <f aca="false">R236-K236</f>
        <v>57</v>
      </c>
      <c r="AD236" s="8" t="n">
        <f aca="false">R236-L236</f>
        <v>58</v>
      </c>
      <c r="AE236" s="8" t="n">
        <f aca="false">R236-M236</f>
        <v>58</v>
      </c>
      <c r="AF236" s="8" t="n">
        <f aca="false">R236-N236</f>
        <v>57</v>
      </c>
      <c r="AG236" s="8" t="n">
        <f aca="false">R236-O236</f>
        <v>58</v>
      </c>
      <c r="AH236" s="8" t="n">
        <f aca="false">R236-P236</f>
        <v>57</v>
      </c>
      <c r="AI236" s="8" t="n">
        <f aca="false">R236-Q236</f>
        <v>58</v>
      </c>
    </row>
    <row r="237" customFormat="false" ht="15" hidden="false" customHeight="false" outlineLevel="0" collapsed="false">
      <c r="A237" s="7" t="s">
        <v>323</v>
      </c>
      <c r="B237" s="9" t="n">
        <v>3</v>
      </c>
      <c r="C237" s="9" t="n">
        <v>3</v>
      </c>
      <c r="D237" s="9" t="n">
        <v>3</v>
      </c>
      <c r="E237" s="9" t="n">
        <v>3</v>
      </c>
      <c r="F237" s="9" t="n">
        <v>3</v>
      </c>
      <c r="G237" s="9" t="n">
        <v>5</v>
      </c>
      <c r="H237" s="9" t="n">
        <v>5</v>
      </c>
      <c r="I237" s="9" t="n">
        <v>5</v>
      </c>
      <c r="J237" s="9" t="n">
        <v>3</v>
      </c>
      <c r="K237" s="9" t="n">
        <v>4</v>
      </c>
      <c r="L237" s="9" t="n">
        <v>3</v>
      </c>
      <c r="M237" s="9" t="n">
        <v>2</v>
      </c>
      <c r="N237" s="9" t="n">
        <v>2</v>
      </c>
      <c r="O237" s="9" t="n">
        <v>3</v>
      </c>
      <c r="P237" s="9" t="n">
        <v>4</v>
      </c>
      <c r="Q237" s="9" t="n">
        <v>5</v>
      </c>
      <c r="R237" s="8" t="n">
        <f aca="false">SUM(B237:Q237)</f>
        <v>56</v>
      </c>
      <c r="S237" s="8" t="str">
        <f aca="false">IF(R237&gt;=5_項目分析!$B$6,"高",IF(R237&lt;=5_項目分析!$B$5,"低",""))</f>
        <v>低</v>
      </c>
      <c r="T237" s="8" t="n">
        <f aca="false">R237-B237</f>
        <v>53</v>
      </c>
      <c r="U237" s="8" t="n">
        <f aca="false">R237-C237</f>
        <v>53</v>
      </c>
      <c r="V237" s="8" t="n">
        <f aca="false">R237-D237</f>
        <v>53</v>
      </c>
      <c r="W237" s="8" t="n">
        <f aca="false">R237-E237</f>
        <v>53</v>
      </c>
      <c r="X237" s="8" t="n">
        <f aca="false">R237-F237</f>
        <v>53</v>
      </c>
      <c r="Y237" s="8" t="n">
        <f aca="false">R237-G237</f>
        <v>51</v>
      </c>
      <c r="Z237" s="8" t="n">
        <f aca="false">R237-H237</f>
        <v>51</v>
      </c>
      <c r="AA237" s="8" t="n">
        <f aca="false">R237-I237</f>
        <v>51</v>
      </c>
      <c r="AB237" s="8" t="n">
        <f aca="false">R237-J237</f>
        <v>53</v>
      </c>
      <c r="AC237" s="8" t="n">
        <f aca="false">R237-K237</f>
        <v>52</v>
      </c>
      <c r="AD237" s="8" t="n">
        <f aca="false">R237-L237</f>
        <v>53</v>
      </c>
      <c r="AE237" s="8" t="n">
        <f aca="false">R237-M237</f>
        <v>54</v>
      </c>
      <c r="AF237" s="8" t="n">
        <f aca="false">R237-N237</f>
        <v>54</v>
      </c>
      <c r="AG237" s="8" t="n">
        <f aca="false">R237-O237</f>
        <v>53</v>
      </c>
      <c r="AH237" s="8" t="n">
        <f aca="false">R237-P237</f>
        <v>52</v>
      </c>
      <c r="AI237" s="8" t="n">
        <f aca="false">R237-Q237</f>
        <v>51</v>
      </c>
    </row>
    <row r="238" customFormat="false" ht="15" hidden="false" customHeight="false" outlineLevel="0" collapsed="false">
      <c r="A238" s="7" t="s">
        <v>324</v>
      </c>
      <c r="B238" s="9" t="n">
        <v>4</v>
      </c>
      <c r="C238" s="9" t="n">
        <v>2</v>
      </c>
      <c r="D238" s="9" t="n">
        <v>3</v>
      </c>
      <c r="E238" s="9" t="n">
        <v>3</v>
      </c>
      <c r="F238" s="9" t="n">
        <v>4</v>
      </c>
      <c r="G238" s="9" t="n">
        <v>3</v>
      </c>
      <c r="H238" s="9" t="n">
        <v>2</v>
      </c>
      <c r="I238" s="9" t="n">
        <v>4</v>
      </c>
      <c r="J238" s="9" t="n">
        <v>3</v>
      </c>
      <c r="K238" s="9" t="n">
        <v>3</v>
      </c>
      <c r="L238" s="9" t="n">
        <v>3</v>
      </c>
      <c r="M238" s="9" t="n">
        <v>3</v>
      </c>
      <c r="N238" s="9" t="n">
        <v>4</v>
      </c>
      <c r="O238" s="9" t="n">
        <v>3</v>
      </c>
      <c r="P238" s="9" t="n">
        <v>3</v>
      </c>
      <c r="Q238" s="9" t="n">
        <v>5</v>
      </c>
      <c r="R238" s="8" t="n">
        <f aca="false">SUM(B238:Q238)</f>
        <v>52</v>
      </c>
      <c r="S238" s="8" t="str">
        <f aca="false">IF(R238&gt;=5_項目分析!$B$6,"高",IF(R238&lt;=5_項目分析!$B$5,"低",""))</f>
        <v>低</v>
      </c>
      <c r="T238" s="8" t="n">
        <f aca="false">R238-B238</f>
        <v>48</v>
      </c>
      <c r="U238" s="8" t="n">
        <f aca="false">R238-C238</f>
        <v>50</v>
      </c>
      <c r="V238" s="8" t="n">
        <f aca="false">R238-D238</f>
        <v>49</v>
      </c>
      <c r="W238" s="8" t="n">
        <f aca="false">R238-E238</f>
        <v>49</v>
      </c>
      <c r="X238" s="8" t="n">
        <f aca="false">R238-F238</f>
        <v>48</v>
      </c>
      <c r="Y238" s="8" t="n">
        <f aca="false">R238-G238</f>
        <v>49</v>
      </c>
      <c r="Z238" s="8" t="n">
        <f aca="false">R238-H238</f>
        <v>50</v>
      </c>
      <c r="AA238" s="8" t="n">
        <f aca="false">R238-I238</f>
        <v>48</v>
      </c>
      <c r="AB238" s="8" t="n">
        <f aca="false">R238-J238</f>
        <v>49</v>
      </c>
      <c r="AC238" s="8" t="n">
        <f aca="false">R238-K238</f>
        <v>49</v>
      </c>
      <c r="AD238" s="8" t="n">
        <f aca="false">R238-L238</f>
        <v>49</v>
      </c>
      <c r="AE238" s="8" t="n">
        <f aca="false">R238-M238</f>
        <v>49</v>
      </c>
      <c r="AF238" s="8" t="n">
        <f aca="false">R238-N238</f>
        <v>48</v>
      </c>
      <c r="AG238" s="8" t="n">
        <f aca="false">R238-O238</f>
        <v>49</v>
      </c>
      <c r="AH238" s="8" t="n">
        <f aca="false">R238-P238</f>
        <v>49</v>
      </c>
      <c r="AI238" s="8" t="n">
        <f aca="false">R238-Q238</f>
        <v>47</v>
      </c>
    </row>
    <row r="239" customFormat="false" ht="15" hidden="false" customHeight="false" outlineLevel="0" collapsed="false">
      <c r="A239" s="7" t="s">
        <v>325</v>
      </c>
      <c r="B239" s="9" t="n">
        <v>2</v>
      </c>
      <c r="C239" s="9" t="n">
        <v>2</v>
      </c>
      <c r="D239" s="9" t="n">
        <v>3</v>
      </c>
      <c r="E239" s="9" t="n">
        <v>4</v>
      </c>
      <c r="F239" s="9" t="n">
        <v>4</v>
      </c>
      <c r="G239" s="9" t="n">
        <v>2</v>
      </c>
      <c r="H239" s="9" t="n">
        <v>2</v>
      </c>
      <c r="I239" s="9" t="n">
        <v>3</v>
      </c>
      <c r="J239" s="9" t="n">
        <v>3</v>
      </c>
      <c r="K239" s="9" t="n">
        <v>1</v>
      </c>
      <c r="L239" s="9" t="n">
        <v>4</v>
      </c>
      <c r="M239" s="9" t="n">
        <v>4</v>
      </c>
      <c r="N239" s="9" t="n">
        <v>3</v>
      </c>
      <c r="O239" s="9" t="n">
        <v>3</v>
      </c>
      <c r="P239" s="9" t="n">
        <v>3</v>
      </c>
      <c r="Q239" s="9" t="n">
        <v>5</v>
      </c>
      <c r="R239" s="8" t="n">
        <f aca="false">SUM(B239:Q239)</f>
        <v>48</v>
      </c>
      <c r="S239" s="8" t="str">
        <f aca="false">IF(R239&gt;=5_項目分析!$B$6,"高",IF(R239&lt;=5_項目分析!$B$5,"低",""))</f>
        <v>低</v>
      </c>
      <c r="T239" s="8" t="n">
        <f aca="false">R239-B239</f>
        <v>46</v>
      </c>
      <c r="U239" s="8" t="n">
        <f aca="false">R239-C239</f>
        <v>46</v>
      </c>
      <c r="V239" s="8" t="n">
        <f aca="false">R239-D239</f>
        <v>45</v>
      </c>
      <c r="W239" s="8" t="n">
        <f aca="false">R239-E239</f>
        <v>44</v>
      </c>
      <c r="X239" s="8" t="n">
        <f aca="false">R239-F239</f>
        <v>44</v>
      </c>
      <c r="Y239" s="8" t="n">
        <f aca="false">R239-G239</f>
        <v>46</v>
      </c>
      <c r="Z239" s="8" t="n">
        <f aca="false">R239-H239</f>
        <v>46</v>
      </c>
      <c r="AA239" s="8" t="n">
        <f aca="false">R239-I239</f>
        <v>45</v>
      </c>
      <c r="AB239" s="8" t="n">
        <f aca="false">R239-J239</f>
        <v>45</v>
      </c>
      <c r="AC239" s="8" t="n">
        <f aca="false">R239-K239</f>
        <v>47</v>
      </c>
      <c r="AD239" s="8" t="n">
        <f aca="false">R239-L239</f>
        <v>44</v>
      </c>
      <c r="AE239" s="8" t="n">
        <f aca="false">R239-M239</f>
        <v>44</v>
      </c>
      <c r="AF239" s="8" t="n">
        <f aca="false">R239-N239</f>
        <v>45</v>
      </c>
      <c r="AG239" s="8" t="n">
        <f aca="false">R239-O239</f>
        <v>45</v>
      </c>
      <c r="AH239" s="8" t="n">
        <f aca="false">R239-P239</f>
        <v>45</v>
      </c>
      <c r="AI239" s="8" t="n">
        <f aca="false">R239-Q239</f>
        <v>43</v>
      </c>
    </row>
    <row r="240" customFormat="false" ht="15" hidden="false" customHeight="false" outlineLevel="0" collapsed="false">
      <c r="A240" s="7" t="s">
        <v>326</v>
      </c>
      <c r="B240" s="9" t="n">
        <v>4</v>
      </c>
      <c r="C240" s="9" t="n">
        <v>5</v>
      </c>
      <c r="D240" s="9" t="n">
        <v>4</v>
      </c>
      <c r="E240" s="9" t="n">
        <v>4</v>
      </c>
      <c r="F240" s="9" t="n">
        <v>4</v>
      </c>
      <c r="G240" s="9" t="n">
        <v>5</v>
      </c>
      <c r="H240" s="9" t="n">
        <v>4</v>
      </c>
      <c r="I240" s="9" t="n">
        <v>4</v>
      </c>
      <c r="J240" s="9" t="n">
        <v>3</v>
      </c>
      <c r="K240" s="9" t="n">
        <v>4</v>
      </c>
      <c r="L240" s="9" t="n">
        <v>4</v>
      </c>
      <c r="M240" s="9" t="n">
        <v>4</v>
      </c>
      <c r="N240" s="9" t="n">
        <v>2</v>
      </c>
      <c r="O240" s="9" t="n">
        <v>4</v>
      </c>
      <c r="P240" s="9" t="n">
        <v>5</v>
      </c>
      <c r="Q240" s="9" t="n">
        <v>4</v>
      </c>
      <c r="R240" s="8" t="n">
        <f aca="false">SUM(B240:Q240)</f>
        <v>64</v>
      </c>
      <c r="S240" s="8" t="str">
        <f aca="false">IF(R240&gt;=5_項目分析!$B$6,"高",IF(R240&lt;=5_項目分析!$B$5,"低",""))</f>
        <v/>
      </c>
      <c r="T240" s="8" t="n">
        <f aca="false">R240-B240</f>
        <v>60</v>
      </c>
      <c r="U240" s="8" t="n">
        <f aca="false">R240-C240</f>
        <v>59</v>
      </c>
      <c r="V240" s="8" t="n">
        <f aca="false">R240-D240</f>
        <v>60</v>
      </c>
      <c r="W240" s="8" t="n">
        <f aca="false">R240-E240</f>
        <v>60</v>
      </c>
      <c r="X240" s="8" t="n">
        <f aca="false">R240-F240</f>
        <v>60</v>
      </c>
      <c r="Y240" s="8" t="n">
        <f aca="false">R240-G240</f>
        <v>59</v>
      </c>
      <c r="Z240" s="8" t="n">
        <f aca="false">R240-H240</f>
        <v>60</v>
      </c>
      <c r="AA240" s="8" t="n">
        <f aca="false">R240-I240</f>
        <v>60</v>
      </c>
      <c r="AB240" s="8" t="n">
        <f aca="false">R240-J240</f>
        <v>61</v>
      </c>
      <c r="AC240" s="8" t="n">
        <f aca="false">R240-K240</f>
        <v>60</v>
      </c>
      <c r="AD240" s="8" t="n">
        <f aca="false">R240-L240</f>
        <v>60</v>
      </c>
      <c r="AE240" s="8" t="n">
        <f aca="false">R240-M240</f>
        <v>60</v>
      </c>
      <c r="AF240" s="8" t="n">
        <f aca="false">R240-N240</f>
        <v>62</v>
      </c>
      <c r="AG240" s="8" t="n">
        <f aca="false">R240-O240</f>
        <v>60</v>
      </c>
      <c r="AH240" s="8" t="n">
        <f aca="false">R240-P240</f>
        <v>59</v>
      </c>
      <c r="AI240" s="8" t="n">
        <f aca="false">R240-Q240</f>
        <v>60</v>
      </c>
    </row>
    <row r="241" customFormat="false" ht="15" hidden="false" customHeight="false" outlineLevel="0" collapsed="false">
      <c r="A241" s="7" t="s">
        <v>327</v>
      </c>
      <c r="B241" s="9" t="n">
        <v>3</v>
      </c>
      <c r="C241" s="9" t="n">
        <v>3</v>
      </c>
      <c r="D241" s="9" t="n">
        <v>4</v>
      </c>
      <c r="E241" s="9" t="n">
        <v>3</v>
      </c>
      <c r="F241" s="9" t="n">
        <v>3</v>
      </c>
      <c r="G241" s="9" t="n">
        <v>3</v>
      </c>
      <c r="H241" s="9" t="n">
        <v>4</v>
      </c>
      <c r="I241" s="9" t="n">
        <v>3</v>
      </c>
      <c r="J241" s="9" t="n">
        <v>4</v>
      </c>
      <c r="K241" s="9" t="n">
        <v>3</v>
      </c>
      <c r="L241" s="9" t="n">
        <v>4</v>
      </c>
      <c r="M241" s="9" t="n">
        <v>5</v>
      </c>
      <c r="N241" s="9" t="n">
        <v>4</v>
      </c>
      <c r="O241" s="9" t="n">
        <v>5</v>
      </c>
      <c r="P241" s="9" t="n">
        <v>3</v>
      </c>
      <c r="Q241" s="9" t="n">
        <v>5</v>
      </c>
      <c r="R241" s="8" t="n">
        <f aca="false">SUM(B241:Q241)</f>
        <v>59</v>
      </c>
      <c r="S241" s="8" t="str">
        <f aca="false">IF(R241&gt;=5_項目分析!$B$6,"高",IF(R241&lt;=5_項目分析!$B$5,"低",""))</f>
        <v/>
      </c>
      <c r="T241" s="8" t="n">
        <f aca="false">R241-B241</f>
        <v>56</v>
      </c>
      <c r="U241" s="8" t="n">
        <f aca="false">R241-C241</f>
        <v>56</v>
      </c>
      <c r="V241" s="8" t="n">
        <f aca="false">R241-D241</f>
        <v>55</v>
      </c>
      <c r="W241" s="8" t="n">
        <f aca="false">R241-E241</f>
        <v>56</v>
      </c>
      <c r="X241" s="8" t="n">
        <f aca="false">R241-F241</f>
        <v>56</v>
      </c>
      <c r="Y241" s="8" t="n">
        <f aca="false">R241-G241</f>
        <v>56</v>
      </c>
      <c r="Z241" s="8" t="n">
        <f aca="false">R241-H241</f>
        <v>55</v>
      </c>
      <c r="AA241" s="8" t="n">
        <f aca="false">R241-I241</f>
        <v>56</v>
      </c>
      <c r="AB241" s="8" t="n">
        <f aca="false">R241-J241</f>
        <v>55</v>
      </c>
      <c r="AC241" s="8" t="n">
        <f aca="false">R241-K241</f>
        <v>56</v>
      </c>
      <c r="AD241" s="8" t="n">
        <f aca="false">R241-L241</f>
        <v>55</v>
      </c>
      <c r="AE241" s="8" t="n">
        <f aca="false">R241-M241</f>
        <v>54</v>
      </c>
      <c r="AF241" s="8" t="n">
        <f aca="false">R241-N241</f>
        <v>55</v>
      </c>
      <c r="AG241" s="8" t="n">
        <f aca="false">R241-O241</f>
        <v>54</v>
      </c>
      <c r="AH241" s="8" t="n">
        <f aca="false">R241-P241</f>
        <v>56</v>
      </c>
      <c r="AI241" s="8" t="n">
        <f aca="false">R241-Q241</f>
        <v>54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2" topLeftCell="C13" activePane="bottomRight" state="frozen"/>
      <selection pane="topLeft" activeCell="A1" activeCellId="0" sqref="A1"/>
      <selection pane="topRight" activeCell="C1" activeCellId="0" sqref="C1"/>
      <selection pane="bottomLeft" activeCell="A13" activeCellId="0" sqref="A1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4"/>
    <col collapsed="false" customWidth="true" hidden="false" outlineLevel="0" max="20" min="3" style="0" width="11"/>
  </cols>
  <sheetData>
    <row r="1" customFormat="false" ht="17.15" hidden="false" customHeight="false" outlineLevel="0" collapsed="false">
      <c r="A1" s="3" t="s">
        <v>328</v>
      </c>
    </row>
    <row r="3" customFormat="false" ht="17.15" hidden="false" customHeight="false" outlineLevel="0" collapsed="false">
      <c r="A3" s="13" t="s">
        <v>329</v>
      </c>
      <c r="B3" s="15" t="n">
        <f aca="false">COUNT(5_樣本A!$R$2:$R$241)</f>
        <v>240</v>
      </c>
    </row>
    <row r="4" customFormat="false" ht="17.15" hidden="false" customHeight="false" outlineLevel="0" collapsed="false">
      <c r="A4" s="13" t="s">
        <v>330</v>
      </c>
      <c r="B4" s="15" t="n">
        <f aca="false">ROUND(B3*0.27,0)</f>
        <v>65</v>
      </c>
    </row>
    <row r="5" customFormat="false" ht="17.15" hidden="false" customHeight="false" outlineLevel="0" collapsed="false">
      <c r="A5" s="13" t="s">
        <v>331</v>
      </c>
      <c r="B5" s="15" t="n">
        <f aca="false">SMALL(5_樣本A!$R$2:$R$241,B4)</f>
        <v>56</v>
      </c>
    </row>
    <row r="6" customFormat="false" ht="17.15" hidden="false" customHeight="false" outlineLevel="0" collapsed="false">
      <c r="A6" s="13" t="s">
        <v>332</v>
      </c>
      <c r="B6" s="15" t="n">
        <f aca="false">LARGE(5_樣本A!$R$2:$R$241,B4)</f>
        <v>65</v>
      </c>
    </row>
    <row r="7" customFormat="false" ht="17.15" hidden="false" customHeight="false" outlineLevel="0" collapsed="false">
      <c r="A7" s="13" t="s">
        <v>333</v>
      </c>
      <c r="B7" s="15" t="n">
        <v>16</v>
      </c>
    </row>
    <row r="8" customFormat="false" ht="17.15" hidden="false" customHeight="false" outlineLevel="0" collapsed="false">
      <c r="A8" s="13" t="s">
        <v>334</v>
      </c>
      <c r="B8" s="12" t="n">
        <f aca="false">B7/(B7-1)*(1-SUM(E13:E28)/VAR(5_樣本A!$R$2:$R$241))</f>
        <v>0.827160284655825</v>
      </c>
    </row>
    <row r="12" customFormat="false" ht="32.8" hidden="false" customHeight="false" outlineLevel="0" collapsed="false">
      <c r="A12" s="5" t="s">
        <v>19</v>
      </c>
      <c r="B12" s="5" t="s">
        <v>335</v>
      </c>
      <c r="C12" s="5" t="s">
        <v>336</v>
      </c>
      <c r="D12" s="5" t="s">
        <v>337</v>
      </c>
      <c r="E12" s="5" t="s">
        <v>338</v>
      </c>
      <c r="F12" s="5" t="s">
        <v>339</v>
      </c>
      <c r="G12" s="5" t="s">
        <v>340</v>
      </c>
      <c r="H12" s="5" t="s">
        <v>341</v>
      </c>
      <c r="I12" s="5" t="s">
        <v>342</v>
      </c>
      <c r="J12" s="5" t="s">
        <v>343</v>
      </c>
      <c r="K12" s="5" t="s">
        <v>344</v>
      </c>
      <c r="L12" s="5" t="s">
        <v>345</v>
      </c>
      <c r="M12" s="5" t="s">
        <v>346</v>
      </c>
      <c r="N12" s="5" t="s">
        <v>347</v>
      </c>
      <c r="O12" s="5" t="s">
        <v>348</v>
      </c>
      <c r="P12" s="5" t="s">
        <v>349</v>
      </c>
      <c r="Q12" s="5" t="s">
        <v>350</v>
      </c>
      <c r="R12" s="5" t="s">
        <v>351</v>
      </c>
      <c r="S12" s="5" t="s">
        <v>352</v>
      </c>
      <c r="T12" s="5" t="s">
        <v>29</v>
      </c>
    </row>
    <row r="13" customFormat="false" ht="15" hidden="false" customHeight="false" outlineLevel="0" collapsed="false">
      <c r="A13" s="7" t="s">
        <v>30</v>
      </c>
      <c r="B13" s="8" t="s">
        <v>31</v>
      </c>
      <c r="C13" s="10" t="n">
        <f aca="false">AVERAGE(5_樣本A!B$2:B$241)</f>
        <v>3.67083333333333</v>
      </c>
      <c r="D13" s="10" t="n">
        <f aca="false">STDEV(5_樣本A!B$2:B$241)</f>
        <v>0.987359085509319</v>
      </c>
      <c r="E13" s="16" t="n">
        <f aca="false">VAR(5_樣本A!B$2:B$241)</f>
        <v>0.974877963737799</v>
      </c>
      <c r="F13" s="8" t="n">
        <f aca="false">COUNTIF(5_樣本A!$S$2:$S$241,"高")</f>
        <v>67</v>
      </c>
      <c r="G13" s="8" t="n">
        <f aca="false">COUNTIF(5_樣本A!$S$2:$S$241,"低")</f>
        <v>72</v>
      </c>
      <c r="H13" s="10" t="n">
        <f aca="false">AVERAGEIF(5_樣本A!$S$2:$S$241,"高",5_樣本A!B$2:B$241)</f>
        <v>4.32835820895522</v>
      </c>
      <c r="I13" s="10" t="n">
        <f aca="false">AVERAGEIF(5_樣本A!$S$2:$S$241,"低",5_樣本A!B$2:B$241)</f>
        <v>3</v>
      </c>
      <c r="J13" s="16" t="n">
        <f aca="false">SUMPRODUCT((5_樣本A!$S$2:$S$241="高")*(5_樣本A!B$2:B$241-H13)^2)/(F13-1)</f>
        <v>0.466304839439168</v>
      </c>
      <c r="K13" s="16" t="n">
        <f aca="false">SUMPRODUCT((5_樣本A!$S$2:$S$241="低")*(5_樣本A!B$2:B$241-I13)^2)/(G13-1)</f>
        <v>0.816901408450704</v>
      </c>
      <c r="L13" s="10" t="n">
        <f aca="false">(H13-I13)/SQRT(J13/F13+K13/G13)</f>
        <v>9.81799720350067</v>
      </c>
      <c r="M13" s="16" t="n">
        <f aca="false">CORREL(5_樣本A!B$2:B$241,5_樣本A!T$2:T$241)</f>
        <v>0.502418560020189</v>
      </c>
      <c r="N13" s="16" t="n">
        <f aca="false">($B$7-1)/($B$7-2)*(1-(SUM($E$13:$E$28)-E13)/VAR(5_樣本A!T$2:T$241))</f>
        <v>0.813329410981521</v>
      </c>
      <c r="O13" s="8" t="n">
        <f aca="false">IF(OR(C13&gt;=4.5,C13&lt;=1.5,D13&lt;0.7),1,0)</f>
        <v>0</v>
      </c>
      <c r="P13" s="8" t="n">
        <f aca="false">IF(L13&lt;3,1,0)</f>
        <v>0</v>
      </c>
      <c r="Q13" s="8" t="n">
        <f aca="false">IF(M13&lt;0.3,1,0)</f>
        <v>0</v>
      </c>
      <c r="R13" s="8" t="n">
        <f aca="false">IF(N13&gt;$B$8,1,0)</f>
        <v>0</v>
      </c>
      <c r="S13" s="17" t="n">
        <f aca="false">SUM(O13:R13)</f>
        <v>0</v>
      </c>
      <c r="T13" s="14" t="str">
        <f aca="false">IF(S13&gt;=2,"刪除","保留")</f>
        <v>保留</v>
      </c>
    </row>
    <row r="14" customFormat="false" ht="15" hidden="false" customHeight="false" outlineLevel="0" collapsed="false">
      <c r="A14" s="7" t="s">
        <v>32</v>
      </c>
      <c r="B14" s="8" t="s">
        <v>353</v>
      </c>
      <c r="C14" s="10" t="n">
        <f aca="false">AVERAGE(5_樣本A!C$2:C$241)</f>
        <v>3.62083333333333</v>
      </c>
      <c r="D14" s="10" t="n">
        <f aca="false">STDEV(5_樣本A!C$2:C$241)</f>
        <v>1.01556059365571</v>
      </c>
      <c r="E14" s="16" t="n">
        <f aca="false">VAR(5_樣本A!C$2:C$241)</f>
        <v>1.03136331938633</v>
      </c>
      <c r="F14" s="8" t="n">
        <f aca="false">COUNTIF(5_樣本A!$S$2:$S$241,"高")</f>
        <v>67</v>
      </c>
      <c r="G14" s="8" t="n">
        <f aca="false">COUNTIF(5_樣本A!$S$2:$S$241,"低")</f>
        <v>72</v>
      </c>
      <c r="H14" s="10" t="n">
        <f aca="false">AVERAGEIF(5_樣本A!$S$2:$S$241,"高",5_樣本A!C$2:C$241)</f>
        <v>4.35820895522388</v>
      </c>
      <c r="I14" s="10" t="n">
        <f aca="false">AVERAGEIF(5_樣本A!$S$2:$S$241,"低",5_樣本A!C$2:C$241)</f>
        <v>2.875</v>
      </c>
      <c r="J14" s="16" t="n">
        <f aca="false">SUMPRODUCT((5_樣本A!$S$2:$S$241="高")*(5_樣本A!C$2:C$241-H14)^2)/(F14-1)</f>
        <v>0.415196743554953</v>
      </c>
      <c r="K14" s="16" t="n">
        <f aca="false">SUMPRODUCT((5_樣本A!$S$2:$S$241="低")*(5_樣本A!C$2:C$241-I14)^2)/(G14-1)</f>
        <v>0.758802816901409</v>
      </c>
      <c r="L14" s="10" t="n">
        <f aca="false">(H14-I14)/SQRT(J14/F14+K14/G14)</f>
        <v>11.4651007740544</v>
      </c>
      <c r="M14" s="16" t="n">
        <f aca="false">CORREL(5_樣本A!C$2:C$241,5_樣本A!U$2:U$241)</f>
        <v>0.535235277023166</v>
      </c>
      <c r="N14" s="16" t="n">
        <f aca="false">($B$7-1)/($B$7-2)*(1-(SUM($E$13:$E$28)-E14)/VAR(5_樣本A!U$2:U$241))</f>
        <v>0.811040979171848</v>
      </c>
      <c r="O14" s="8" t="n">
        <f aca="false">IF(OR(C14&gt;=4.5,C14&lt;=1.5,D14&lt;0.7),1,0)</f>
        <v>0</v>
      </c>
      <c r="P14" s="8" t="n">
        <f aca="false">IF(L14&lt;3,1,0)</f>
        <v>0</v>
      </c>
      <c r="Q14" s="8" t="n">
        <f aca="false">IF(M14&lt;0.3,1,0)</f>
        <v>0</v>
      </c>
      <c r="R14" s="8" t="n">
        <f aca="false">IF(N14&gt;$B$8,1,0)</f>
        <v>0</v>
      </c>
      <c r="S14" s="17" t="n">
        <f aca="false">SUM(O14:R14)</f>
        <v>0</v>
      </c>
      <c r="T14" s="14" t="str">
        <f aca="false">IF(S14&gt;=2,"刪除","保留")</f>
        <v>保留</v>
      </c>
    </row>
    <row r="15" customFormat="false" ht="15" hidden="false" customHeight="false" outlineLevel="0" collapsed="false">
      <c r="A15" s="7" t="s">
        <v>34</v>
      </c>
      <c r="B15" s="8" t="s">
        <v>35</v>
      </c>
      <c r="C15" s="10" t="n">
        <f aca="false">AVERAGE(5_樣本A!D$2:D$241)</f>
        <v>3.7125</v>
      </c>
      <c r="D15" s="10" t="n">
        <f aca="false">STDEV(5_樣本A!D$2:D$241)</f>
        <v>0.921982809631086</v>
      </c>
      <c r="E15" s="16" t="n">
        <f aca="false">VAR(5_樣本A!D$2:D$241)</f>
        <v>0.850052301255232</v>
      </c>
      <c r="F15" s="8" t="n">
        <f aca="false">COUNTIF(5_樣本A!$S$2:$S$241,"高")</f>
        <v>67</v>
      </c>
      <c r="G15" s="8" t="n">
        <f aca="false">COUNTIF(5_樣本A!$S$2:$S$241,"低")</f>
        <v>72</v>
      </c>
      <c r="H15" s="10" t="n">
        <f aca="false">AVERAGEIF(5_樣本A!$S$2:$S$241,"高",5_樣本A!D$2:D$241)</f>
        <v>4.34328358208955</v>
      </c>
      <c r="I15" s="10" t="n">
        <f aca="false">AVERAGEIF(5_樣本A!$S$2:$S$241,"低",5_樣本A!D$2:D$241)</f>
        <v>3.16666666666667</v>
      </c>
      <c r="J15" s="16" t="n">
        <f aca="false">SUMPRODUCT((5_樣本A!$S$2:$S$241="高")*(5_樣本A!D$2:D$241-H15)^2)/(F15-1)</f>
        <v>0.471279963817277</v>
      </c>
      <c r="K15" s="16" t="n">
        <f aca="false">SUMPRODUCT((5_樣本A!$S$2:$S$241="低")*(5_樣本A!D$2:D$241-I15)^2)/(G15-1)</f>
        <v>0.816901408450704</v>
      </c>
      <c r="L15" s="10" t="n">
        <f aca="false">(H15-I15)/SQRT(J15/F15+K15/G15)</f>
        <v>8.67888084387002</v>
      </c>
      <c r="M15" s="16" t="n">
        <f aca="false">CORREL(5_樣本A!D$2:D$241,5_樣本A!V$2:V$241)</f>
        <v>0.495119394855793</v>
      </c>
      <c r="N15" s="16" t="n">
        <f aca="false">($B$7-1)/($B$7-2)*(1-(SUM($E$13:$E$28)-E15)/VAR(5_樣本A!V$2:V$241))</f>
        <v>0.813996174590548</v>
      </c>
      <c r="O15" s="8" t="n">
        <f aca="false">IF(OR(C15&gt;=4.5,C15&lt;=1.5,D15&lt;0.7),1,0)</f>
        <v>0</v>
      </c>
      <c r="P15" s="8" t="n">
        <f aca="false">IF(L15&lt;3,1,0)</f>
        <v>0</v>
      </c>
      <c r="Q15" s="8" t="n">
        <f aca="false">IF(M15&lt;0.3,1,0)</f>
        <v>0</v>
      </c>
      <c r="R15" s="8" t="n">
        <f aca="false">IF(N15&gt;$B$8,1,0)</f>
        <v>0</v>
      </c>
      <c r="S15" s="17" t="n">
        <f aca="false">SUM(O15:R15)</f>
        <v>0</v>
      </c>
      <c r="T15" s="14" t="str">
        <f aca="false">IF(S15&gt;=2,"刪除","保留")</f>
        <v>保留</v>
      </c>
    </row>
    <row r="16" customFormat="false" ht="15" hidden="false" customHeight="false" outlineLevel="0" collapsed="false">
      <c r="A16" s="7" t="s">
        <v>36</v>
      </c>
      <c r="B16" s="8" t="s">
        <v>37</v>
      </c>
      <c r="C16" s="10" t="n">
        <f aca="false">AVERAGE(5_樣本A!E$2:E$241)</f>
        <v>3.69583333333333</v>
      </c>
      <c r="D16" s="10" t="n">
        <f aca="false">STDEV(5_樣本A!E$2:E$241)</f>
        <v>0.95241563246282</v>
      </c>
      <c r="E16" s="16" t="n">
        <f aca="false">VAR(5_樣本A!E$2:E$241)</f>
        <v>0.907095536959554</v>
      </c>
      <c r="F16" s="8" t="n">
        <f aca="false">COUNTIF(5_樣本A!$S$2:$S$241,"高")</f>
        <v>67</v>
      </c>
      <c r="G16" s="8" t="n">
        <f aca="false">COUNTIF(5_樣本A!$S$2:$S$241,"低")</f>
        <v>72</v>
      </c>
      <c r="H16" s="10" t="n">
        <f aca="false">AVERAGEIF(5_樣本A!$S$2:$S$241,"高",5_樣本A!E$2:E$241)</f>
        <v>4.29850746268657</v>
      </c>
      <c r="I16" s="10" t="n">
        <f aca="false">AVERAGEIF(5_樣本A!$S$2:$S$241,"低",5_樣本A!E$2:E$241)</f>
        <v>3</v>
      </c>
      <c r="J16" s="16" t="n">
        <f aca="false">SUMPRODUCT((5_樣本A!$S$2:$S$241="高")*(5_樣本A!E$2:E$241-H16)^2)/(F16-1)</f>
        <v>0.545906829488919</v>
      </c>
      <c r="K16" s="16" t="n">
        <f aca="false">SUMPRODUCT((5_樣本A!$S$2:$S$241="低")*(5_樣本A!E$2:E$241-I16)^2)/(G16-1)</f>
        <v>0.816901408450704</v>
      </c>
      <c r="L16" s="10" t="n">
        <f aca="false">(H16-I16)/SQRT(J16/F16+K16/G16)</f>
        <v>9.30030373759588</v>
      </c>
      <c r="M16" s="16" t="n">
        <f aca="false">CORREL(5_樣本A!E$2:E$241,5_樣本A!W$2:W$241)</f>
        <v>0.504371398025262</v>
      </c>
      <c r="N16" s="16" t="n">
        <f aca="false">($B$7-1)/($B$7-2)*(1-(SUM($E$13:$E$28)-E16)/VAR(5_樣本A!W$2:W$241))</f>
        <v>0.813301506096684</v>
      </c>
      <c r="O16" s="8" t="n">
        <f aca="false">IF(OR(C16&gt;=4.5,C16&lt;=1.5,D16&lt;0.7),1,0)</f>
        <v>0</v>
      </c>
      <c r="P16" s="8" t="n">
        <f aca="false">IF(L16&lt;3,1,0)</f>
        <v>0</v>
      </c>
      <c r="Q16" s="8" t="n">
        <f aca="false">IF(M16&lt;0.3,1,0)</f>
        <v>0</v>
      </c>
      <c r="R16" s="8" t="n">
        <f aca="false">IF(N16&gt;$B$8,1,0)</f>
        <v>0</v>
      </c>
      <c r="S16" s="17" t="n">
        <f aca="false">SUM(O16:R16)</f>
        <v>0</v>
      </c>
      <c r="T16" s="14" t="str">
        <f aca="false">IF(S16&gt;=2,"刪除","保留")</f>
        <v>保留</v>
      </c>
    </row>
    <row r="17" customFormat="false" ht="15" hidden="false" customHeight="false" outlineLevel="0" collapsed="false">
      <c r="A17" s="7" t="s">
        <v>40</v>
      </c>
      <c r="B17" s="8" t="s">
        <v>41</v>
      </c>
      <c r="C17" s="10" t="n">
        <f aca="false">AVERAGE(5_樣本A!F$2:F$241)</f>
        <v>3.73333333333333</v>
      </c>
      <c r="D17" s="10" t="n">
        <f aca="false">STDEV(5_樣本A!F$2:F$241)</f>
        <v>0.874877955226411</v>
      </c>
      <c r="E17" s="16" t="n">
        <f aca="false">VAR(5_樣本A!F$2:F$241)</f>
        <v>0.765411436541147</v>
      </c>
      <c r="F17" s="8" t="n">
        <f aca="false">COUNTIF(5_樣本A!$S$2:$S$241,"高")</f>
        <v>67</v>
      </c>
      <c r="G17" s="8" t="n">
        <f aca="false">COUNTIF(5_樣本A!$S$2:$S$241,"低")</f>
        <v>72</v>
      </c>
      <c r="H17" s="10" t="n">
        <f aca="false">AVERAGEIF(5_樣本A!$S$2:$S$241,"高",5_樣本A!F$2:F$241)</f>
        <v>4.41791044776119</v>
      </c>
      <c r="I17" s="10" t="n">
        <f aca="false">AVERAGEIF(5_樣本A!$S$2:$S$241,"低",5_樣本A!F$2:F$241)</f>
        <v>3.09722222222222</v>
      </c>
      <c r="J17" s="16" t="n">
        <f aca="false">SUMPRODUCT((5_樣本A!$S$2:$S$241="高")*(5_樣本A!F$2:F$241-H17)^2)/(F17-1)</f>
        <v>0.3681592039801</v>
      </c>
      <c r="K17" s="16" t="n">
        <f aca="false">SUMPRODUCT((5_樣本A!$S$2:$S$241="低")*(5_樣本A!F$2:F$241-I17)^2)/(G17-1)</f>
        <v>0.708724569640063</v>
      </c>
      <c r="L17" s="10" t="n">
        <f aca="false">(H17-I17)/SQRT(J17/F17+K17/G17)</f>
        <v>10.6637890744606</v>
      </c>
      <c r="M17" s="16" t="n">
        <f aca="false">CORREL(5_樣本A!F$2:F$241,5_樣本A!X$2:X$241)</f>
        <v>0.60563332227466</v>
      </c>
      <c r="N17" s="16" t="n">
        <f aca="false">($B$7-1)/($B$7-2)*(1-(SUM($E$13:$E$28)-E17)/VAR(5_樣本A!X$2:X$241))</f>
        <v>0.80769799878504</v>
      </c>
      <c r="O17" s="8" t="n">
        <f aca="false">IF(OR(C17&gt;=4.5,C17&lt;=1.5,D17&lt;0.7),1,0)</f>
        <v>0</v>
      </c>
      <c r="P17" s="8" t="n">
        <f aca="false">IF(L17&lt;3,1,0)</f>
        <v>0</v>
      </c>
      <c r="Q17" s="8" t="n">
        <f aca="false">IF(M17&lt;0.3,1,0)</f>
        <v>0</v>
      </c>
      <c r="R17" s="8" t="n">
        <f aca="false">IF(N17&gt;$B$8,1,0)</f>
        <v>0</v>
      </c>
      <c r="S17" s="17" t="n">
        <f aca="false">SUM(O17:R17)</f>
        <v>0</v>
      </c>
      <c r="T17" s="14" t="str">
        <f aca="false">IF(S17&gt;=2,"刪除","保留")</f>
        <v>保留</v>
      </c>
    </row>
    <row r="18" customFormat="false" ht="15" hidden="false" customHeight="false" outlineLevel="0" collapsed="false">
      <c r="A18" s="7" t="s">
        <v>42</v>
      </c>
      <c r="B18" s="8" t="s">
        <v>43</v>
      </c>
      <c r="C18" s="10" t="n">
        <f aca="false">AVERAGE(5_樣本A!G$2:G$241)</f>
        <v>3.69583333333333</v>
      </c>
      <c r="D18" s="10" t="n">
        <f aca="false">STDEV(5_樣本A!G$2:G$241)</f>
        <v>0.965505121410557</v>
      </c>
      <c r="E18" s="16" t="n">
        <f aca="false">VAR(5_樣本A!G$2:G$241)</f>
        <v>0.932200139470014</v>
      </c>
      <c r="F18" s="8" t="n">
        <f aca="false">COUNTIF(5_樣本A!$S$2:$S$241,"高")</f>
        <v>67</v>
      </c>
      <c r="G18" s="8" t="n">
        <f aca="false">COUNTIF(5_樣本A!$S$2:$S$241,"低")</f>
        <v>72</v>
      </c>
      <c r="H18" s="10" t="n">
        <f aca="false">AVERAGEIF(5_樣本A!$S$2:$S$241,"高",5_樣本A!G$2:G$241)</f>
        <v>4.2089552238806</v>
      </c>
      <c r="I18" s="10" t="n">
        <f aca="false">AVERAGEIF(5_樣本A!$S$2:$S$241,"低",5_樣本A!G$2:G$241)</f>
        <v>3.11111111111111</v>
      </c>
      <c r="J18" s="16" t="n">
        <f aca="false">SUMPRODUCT((5_樣本A!$S$2:$S$241="高")*(5_樣本A!G$2:G$241-H18)^2)/(F18-1)</f>
        <v>0.592039800995025</v>
      </c>
      <c r="K18" s="16" t="n">
        <f aca="false">SUMPRODUCT((5_樣本A!$S$2:$S$241="低")*(5_樣本A!G$2:G$241-I18)^2)/(G18-1)</f>
        <v>1.00156494522692</v>
      </c>
      <c r="L18" s="10" t="n">
        <f aca="false">(H18-I18)/SQRT(J18/F18+K18/G18)</f>
        <v>7.2791092810257</v>
      </c>
      <c r="M18" s="16" t="n">
        <f aca="false">CORREL(5_樣本A!G$2:G$241,5_樣本A!Y$2:Y$241)</f>
        <v>0.443665513386198</v>
      </c>
      <c r="N18" s="16" t="n">
        <f aca="false">($B$7-1)/($B$7-2)*(1-(SUM($E$13:$E$28)-E18)/VAR(5_樣本A!Y$2:Y$241))</f>
        <v>0.817156296342829</v>
      </c>
      <c r="O18" s="8" t="n">
        <f aca="false">IF(OR(C18&gt;=4.5,C18&lt;=1.5,D18&lt;0.7),1,0)</f>
        <v>0</v>
      </c>
      <c r="P18" s="8" t="n">
        <f aca="false">IF(L18&lt;3,1,0)</f>
        <v>0</v>
      </c>
      <c r="Q18" s="8" t="n">
        <f aca="false">IF(M18&lt;0.3,1,0)</f>
        <v>0</v>
      </c>
      <c r="R18" s="8" t="n">
        <f aca="false">IF(N18&gt;$B$8,1,0)</f>
        <v>0</v>
      </c>
      <c r="S18" s="17" t="n">
        <f aca="false">SUM(O18:R18)</f>
        <v>0</v>
      </c>
      <c r="T18" s="14" t="str">
        <f aca="false">IF(S18&gt;=2,"刪除","保留")</f>
        <v>保留</v>
      </c>
    </row>
    <row r="19" customFormat="false" ht="15" hidden="false" customHeight="false" outlineLevel="0" collapsed="false">
      <c r="A19" s="7" t="s">
        <v>44</v>
      </c>
      <c r="B19" s="8" t="s">
        <v>45</v>
      </c>
      <c r="C19" s="10" t="n">
        <f aca="false">AVERAGE(5_樣本A!H$2:H$241)</f>
        <v>3.65</v>
      </c>
      <c r="D19" s="10" t="n">
        <f aca="false">STDEV(5_樣本A!H$2:H$241)</f>
        <v>0.888325018735899</v>
      </c>
      <c r="E19" s="16" t="n">
        <f aca="false">VAR(5_樣本A!H$2:H$241)</f>
        <v>0.789121338912135</v>
      </c>
      <c r="F19" s="8" t="n">
        <f aca="false">COUNTIF(5_樣本A!$S$2:$S$241,"高")</f>
        <v>67</v>
      </c>
      <c r="G19" s="8" t="n">
        <f aca="false">COUNTIF(5_樣本A!$S$2:$S$241,"低")</f>
        <v>72</v>
      </c>
      <c r="H19" s="10" t="n">
        <f aca="false">AVERAGEIF(5_樣本A!$S$2:$S$241,"高",5_樣本A!H$2:H$241)</f>
        <v>4.14925373134328</v>
      </c>
      <c r="I19" s="10" t="n">
        <f aca="false">AVERAGEIF(5_樣本A!$S$2:$S$241,"低",5_樣本A!H$2:H$241)</f>
        <v>3.125</v>
      </c>
      <c r="J19" s="16" t="n">
        <f aca="false">SUMPRODUCT((5_樣本A!$S$2:$S$241="高")*(5_樣本A!H$2:H$241-H19)^2)/(F19-1)</f>
        <v>0.492537313432836</v>
      </c>
      <c r="K19" s="16" t="n">
        <f aca="false">SUMPRODUCT((5_樣本A!$S$2:$S$241="低")*(5_樣本A!H$2:H$241-I19)^2)/(G19-1)</f>
        <v>0.702464788732394</v>
      </c>
      <c r="L19" s="10" t="n">
        <f aca="false">(H19-I19)/SQRT(J19/F19+K19/G19)</f>
        <v>7.83088774073079</v>
      </c>
      <c r="M19" s="16" t="n">
        <f aca="false">CORREL(5_樣本A!H$2:H$241,5_樣本A!Z$2:Z$241)</f>
        <v>0.446989910404249</v>
      </c>
      <c r="N19" s="16" t="n">
        <f aca="false">($B$7-1)/($B$7-2)*(1-(SUM($E$13:$E$28)-E19)/VAR(5_樣本A!Z$2:Z$241))</f>
        <v>0.816987837669981</v>
      </c>
      <c r="O19" s="8" t="n">
        <f aca="false">IF(OR(C19&gt;=4.5,C19&lt;=1.5,D19&lt;0.7),1,0)</f>
        <v>0</v>
      </c>
      <c r="P19" s="8" t="n">
        <f aca="false">IF(L19&lt;3,1,0)</f>
        <v>0</v>
      </c>
      <c r="Q19" s="8" t="n">
        <f aca="false">IF(M19&lt;0.3,1,0)</f>
        <v>0</v>
      </c>
      <c r="R19" s="8" t="n">
        <f aca="false">IF(N19&gt;$B$8,1,0)</f>
        <v>0</v>
      </c>
      <c r="S19" s="17" t="n">
        <f aca="false">SUM(O19:R19)</f>
        <v>0</v>
      </c>
      <c r="T19" s="14" t="str">
        <f aca="false">IF(S19&gt;=2,"刪除","保留")</f>
        <v>保留</v>
      </c>
    </row>
    <row r="20" customFormat="false" ht="15" hidden="false" customHeight="false" outlineLevel="0" collapsed="false">
      <c r="A20" s="7" t="s">
        <v>46</v>
      </c>
      <c r="B20" s="8" t="s">
        <v>47</v>
      </c>
      <c r="C20" s="10" t="n">
        <f aca="false">AVERAGE(5_樣本A!I$2:I$241)</f>
        <v>3.66666666666667</v>
      </c>
      <c r="D20" s="10" t="n">
        <f aca="false">STDEV(5_樣本A!I$2:I$241)</f>
        <v>0.949197708645375</v>
      </c>
      <c r="E20" s="16" t="n">
        <f aca="false">VAR(5_樣本A!I$2:I$241)</f>
        <v>0.900976290097631</v>
      </c>
      <c r="F20" s="8" t="n">
        <f aca="false">COUNTIF(5_樣本A!$S$2:$S$241,"高")</f>
        <v>67</v>
      </c>
      <c r="G20" s="8" t="n">
        <f aca="false">COUNTIF(5_樣本A!$S$2:$S$241,"低")</f>
        <v>72</v>
      </c>
      <c r="H20" s="10" t="n">
        <f aca="false">AVERAGEIF(5_樣本A!$S$2:$S$241,"高",5_樣本A!I$2:I$241)</f>
        <v>4.23880597014925</v>
      </c>
      <c r="I20" s="10" t="n">
        <f aca="false">AVERAGEIF(5_樣本A!$S$2:$S$241,"低",5_樣本A!I$2:I$241)</f>
        <v>2.95833333333333</v>
      </c>
      <c r="J20" s="16" t="n">
        <f aca="false">SUMPRODUCT((5_樣本A!$S$2:$S$241="高")*(5_樣本A!I$2:I$241-H20)^2)/(F20-1)</f>
        <v>0.457259158751696</v>
      </c>
      <c r="K20" s="16" t="n">
        <f aca="false">SUMPRODUCT((5_樣本A!$S$2:$S$241="低")*(5_樣本A!I$2:I$241-I20)^2)/(G20-1)</f>
        <v>0.801056338028169</v>
      </c>
      <c r="L20" s="10" t="n">
        <f aca="false">(H20-I20)/SQRT(J20/F20+K20/G20)</f>
        <v>9.55721751350354</v>
      </c>
      <c r="M20" s="16" t="n">
        <f aca="false">CORREL(5_樣本A!I$2:I$241,5_樣本A!AA$2:AA$241)</f>
        <v>0.464338232679678</v>
      </c>
      <c r="N20" s="16" t="n">
        <f aca="false">($B$7-1)/($B$7-2)*(1-(SUM($E$13:$E$28)-E20)/VAR(5_樣本A!AA$2:AA$241))</f>
        <v>0.815845753487686</v>
      </c>
      <c r="O20" s="8" t="n">
        <f aca="false">IF(OR(C20&gt;=4.5,C20&lt;=1.5,D20&lt;0.7),1,0)</f>
        <v>0</v>
      </c>
      <c r="P20" s="8" t="n">
        <f aca="false">IF(L20&lt;3,1,0)</f>
        <v>0</v>
      </c>
      <c r="Q20" s="8" t="n">
        <f aca="false">IF(M20&lt;0.3,1,0)</f>
        <v>0</v>
      </c>
      <c r="R20" s="8" t="n">
        <f aca="false">IF(N20&gt;$B$8,1,0)</f>
        <v>0</v>
      </c>
      <c r="S20" s="17" t="n">
        <f aca="false">SUM(O20:R20)</f>
        <v>0</v>
      </c>
      <c r="T20" s="14" t="str">
        <f aca="false">IF(S20&gt;=2,"刪除","保留")</f>
        <v>保留</v>
      </c>
    </row>
    <row r="21" customFormat="false" ht="15" hidden="false" customHeight="false" outlineLevel="0" collapsed="false">
      <c r="A21" s="7" t="s">
        <v>48</v>
      </c>
      <c r="B21" s="8" t="s">
        <v>49</v>
      </c>
      <c r="C21" s="10" t="n">
        <f aca="false">AVERAGE(5_樣本A!J$2:J$241)</f>
        <v>3.37916666666667</v>
      </c>
      <c r="D21" s="10" t="n">
        <f aca="false">STDEV(5_樣本A!J$2:J$241)</f>
        <v>1.01556059365571</v>
      </c>
      <c r="E21" s="16" t="n">
        <f aca="false">VAR(5_樣本A!J$2:J$241)</f>
        <v>1.03136331938633</v>
      </c>
      <c r="F21" s="8" t="n">
        <f aca="false">COUNTIF(5_樣本A!$S$2:$S$241,"高")</f>
        <v>67</v>
      </c>
      <c r="G21" s="8" t="n">
        <f aca="false">COUNTIF(5_樣本A!$S$2:$S$241,"低")</f>
        <v>72</v>
      </c>
      <c r="H21" s="10" t="n">
        <f aca="false">AVERAGEIF(5_樣本A!$S$2:$S$241,"高",5_樣本A!J$2:J$241)</f>
        <v>3.64179104477612</v>
      </c>
      <c r="I21" s="10" t="n">
        <f aca="false">AVERAGEIF(5_樣本A!$S$2:$S$241,"低",5_樣本A!J$2:J$241)</f>
        <v>2.98611111111111</v>
      </c>
      <c r="J21" s="16" t="n">
        <f aca="false">SUMPRODUCT((5_樣本A!$S$2:$S$241="高")*(5_樣本A!J$2:J$241-H21)^2)/(F21-1)</f>
        <v>0.900045228403437</v>
      </c>
      <c r="K21" s="16" t="n">
        <f aca="false">SUMPRODUCT((5_樣本A!$S$2:$S$241="低")*(5_樣本A!J$2:J$241-I21)^2)/(G21-1)</f>
        <v>0.915297339593114</v>
      </c>
      <c r="L21" s="10" t="n">
        <f aca="false">(H21-I21)/SQRT(J21/F21+K21/G21)</f>
        <v>4.05498713739837</v>
      </c>
      <c r="M21" s="16" t="n">
        <f aca="false">CORREL(5_樣本A!J$2:J$241,5_樣本A!AB$2:AB$241)</f>
        <v>0.0734836951373183</v>
      </c>
      <c r="N21" s="16" t="n">
        <f aca="false">($B$7-1)/($B$7-2)*(1-(SUM($E$13:$E$28)-E21)/VAR(5_樣本A!AB$2:AB$241))</f>
        <v>0.840928633622458</v>
      </c>
      <c r="O21" s="8" t="n">
        <f aca="false">IF(OR(C21&gt;=4.5,C21&lt;=1.5,D21&lt;0.7),1,0)</f>
        <v>0</v>
      </c>
      <c r="P21" s="8" t="n">
        <f aca="false">IF(L21&lt;3,1,0)</f>
        <v>0</v>
      </c>
      <c r="Q21" s="8" t="n">
        <f aca="false">IF(M21&lt;0.3,1,0)</f>
        <v>1</v>
      </c>
      <c r="R21" s="8" t="n">
        <f aca="false">IF(N21&gt;$B$8,1,0)</f>
        <v>1</v>
      </c>
      <c r="S21" s="17" t="n">
        <f aca="false">SUM(O21:R21)</f>
        <v>2</v>
      </c>
      <c r="T21" s="14" t="str">
        <f aca="false">IF(S21&gt;=2,"刪除","保留")</f>
        <v>刪除</v>
      </c>
    </row>
    <row r="22" customFormat="false" ht="15" hidden="false" customHeight="false" outlineLevel="0" collapsed="false">
      <c r="A22" s="7" t="s">
        <v>50</v>
      </c>
      <c r="B22" s="8" t="s">
        <v>51</v>
      </c>
      <c r="C22" s="10" t="n">
        <f aca="false">AVERAGE(5_樣本A!K$2:K$241)</f>
        <v>3.63333333333333</v>
      </c>
      <c r="D22" s="10" t="n">
        <f aca="false">STDEV(5_樣本A!K$2:K$241)</f>
        <v>0.963200151980601</v>
      </c>
      <c r="E22" s="16" t="n">
        <f aca="false">VAR(5_樣本A!K$2:K$241)</f>
        <v>0.927754532775453</v>
      </c>
      <c r="F22" s="8" t="n">
        <f aca="false">COUNTIF(5_樣本A!$S$2:$S$241,"高")</f>
        <v>67</v>
      </c>
      <c r="G22" s="8" t="n">
        <f aca="false">COUNTIF(5_樣本A!$S$2:$S$241,"低")</f>
        <v>72</v>
      </c>
      <c r="H22" s="10" t="n">
        <f aca="false">AVERAGEIF(5_樣本A!$S$2:$S$241,"高",5_樣本A!K$2:K$241)</f>
        <v>4.22388059701493</v>
      </c>
      <c r="I22" s="10" t="n">
        <f aca="false">AVERAGEIF(5_樣本A!$S$2:$S$241,"低",5_樣本A!K$2:K$241)</f>
        <v>2.95833333333333</v>
      </c>
      <c r="J22" s="16" t="n">
        <f aca="false">SUMPRODUCT((5_樣本A!$S$2:$S$241="高")*(5_樣本A!K$2:K$241-H22)^2)/(F22-1)</f>
        <v>0.509724106739032</v>
      </c>
      <c r="K22" s="16" t="n">
        <f aca="false">SUMPRODUCT((5_樣本A!$S$2:$S$241="低")*(5_樣本A!K$2:K$241-I22)^2)/(G22-1)</f>
        <v>0.88556338028169</v>
      </c>
      <c r="L22" s="10" t="n">
        <f aca="false">(H22-I22)/SQRT(J22/F22+K22/G22)</f>
        <v>8.96957854179598</v>
      </c>
      <c r="M22" s="16" t="n">
        <f aca="false">CORREL(5_樣本A!K$2:K$241,5_樣本A!AC$2:AC$241)</f>
        <v>0.502149925367467</v>
      </c>
      <c r="N22" s="16" t="n">
        <f aca="false">($B$7-1)/($B$7-2)*(1-(SUM($E$13:$E$28)-E22)/VAR(5_樣本A!AC$2:AC$241))</f>
        <v>0.813408770015494</v>
      </c>
      <c r="O22" s="8" t="n">
        <f aca="false">IF(OR(C22&gt;=4.5,C22&lt;=1.5,D22&lt;0.7),1,0)</f>
        <v>0</v>
      </c>
      <c r="P22" s="8" t="n">
        <f aca="false">IF(L22&lt;3,1,0)</f>
        <v>0</v>
      </c>
      <c r="Q22" s="8" t="n">
        <f aca="false">IF(M22&lt;0.3,1,0)</f>
        <v>0</v>
      </c>
      <c r="R22" s="8" t="n">
        <f aca="false">IF(N22&gt;$B$8,1,0)</f>
        <v>0</v>
      </c>
      <c r="S22" s="17" t="n">
        <f aca="false">SUM(O22:R22)</f>
        <v>0</v>
      </c>
      <c r="T22" s="14" t="str">
        <f aca="false">IF(S22&gt;=2,"刪除","保留")</f>
        <v>保留</v>
      </c>
    </row>
    <row r="23" customFormat="false" ht="15" hidden="false" customHeight="false" outlineLevel="0" collapsed="false">
      <c r="A23" s="7" t="s">
        <v>54</v>
      </c>
      <c r="B23" s="8" t="s">
        <v>55</v>
      </c>
      <c r="C23" s="10" t="n">
        <f aca="false">AVERAGE(5_樣本A!L$2:L$241)</f>
        <v>3.79166666666667</v>
      </c>
      <c r="D23" s="10" t="n">
        <f aca="false">STDEV(5_樣本A!L$2:L$241)</f>
        <v>0.949748553672093</v>
      </c>
      <c r="E23" s="16" t="n">
        <f aca="false">VAR(5_樣本A!L$2:L$241)</f>
        <v>0.902022315202232</v>
      </c>
      <c r="F23" s="8" t="n">
        <f aca="false">COUNTIF(5_樣本A!$S$2:$S$241,"高")</f>
        <v>67</v>
      </c>
      <c r="G23" s="8" t="n">
        <f aca="false">COUNTIF(5_樣本A!$S$2:$S$241,"低")</f>
        <v>72</v>
      </c>
      <c r="H23" s="10" t="n">
        <f aca="false">AVERAGEIF(5_樣本A!$S$2:$S$241,"高",5_樣本A!L$2:L$241)</f>
        <v>4.55223880597015</v>
      </c>
      <c r="I23" s="10" t="n">
        <f aca="false">AVERAGEIF(5_樣本A!$S$2:$S$241,"低",5_樣本A!L$2:L$241)</f>
        <v>3.02777777777778</v>
      </c>
      <c r="J23" s="16" t="n">
        <f aca="false">SUMPRODUCT((5_樣本A!$S$2:$S$241="高")*(5_樣本A!L$2:L$241-H23)^2)/(F23-1)</f>
        <v>0.311623699683401</v>
      </c>
      <c r="K23" s="16" t="n">
        <f aca="false">SUMPRODUCT((5_樣本A!$S$2:$S$241="低")*(5_樣本A!L$2:L$241-I23)^2)/(G23-1)</f>
        <v>0.816118935837246</v>
      </c>
      <c r="L23" s="10" t="n">
        <f aca="false">(H23-I23)/SQRT(J23/F23+K23/G23)</f>
        <v>12.0571666759987</v>
      </c>
      <c r="M23" s="16" t="n">
        <f aca="false">CORREL(5_樣本A!L$2:L$241,5_樣本A!AD$2:AD$241)</f>
        <v>0.583897683430181</v>
      </c>
      <c r="N23" s="16" t="n">
        <f aca="false">($B$7-1)/($B$7-2)*(1-(SUM($E$13:$E$28)-E23)/VAR(5_樣本A!AD$2:AD$241))</f>
        <v>0.808204560704819</v>
      </c>
      <c r="O23" s="8" t="n">
        <f aca="false">IF(OR(C23&gt;=4.5,C23&lt;=1.5,D23&lt;0.7),1,0)</f>
        <v>0</v>
      </c>
      <c r="P23" s="8" t="n">
        <f aca="false">IF(L23&lt;3,1,0)</f>
        <v>0</v>
      </c>
      <c r="Q23" s="8" t="n">
        <f aca="false">IF(M23&lt;0.3,1,0)</f>
        <v>0</v>
      </c>
      <c r="R23" s="8" t="n">
        <f aca="false">IF(N23&gt;$B$8,1,0)</f>
        <v>0</v>
      </c>
      <c r="S23" s="17" t="n">
        <f aca="false">SUM(O23:R23)</f>
        <v>0</v>
      </c>
      <c r="T23" s="14" t="str">
        <f aca="false">IF(S23&gt;=2,"刪除","保留")</f>
        <v>保留</v>
      </c>
    </row>
    <row r="24" customFormat="false" ht="15" hidden="false" customHeight="false" outlineLevel="0" collapsed="false">
      <c r="A24" s="7" t="s">
        <v>56</v>
      </c>
      <c r="B24" s="8" t="s">
        <v>57</v>
      </c>
      <c r="C24" s="10" t="n">
        <f aca="false">AVERAGE(5_樣本A!M$2:M$241)</f>
        <v>3.75</v>
      </c>
      <c r="D24" s="10" t="n">
        <f aca="false">STDEV(5_樣本A!M$2:M$241)</f>
        <v>0.879805988503066</v>
      </c>
      <c r="E24" s="16" t="n">
        <f aca="false">VAR(5_樣本A!M$2:M$241)</f>
        <v>0.774058577405858</v>
      </c>
      <c r="F24" s="8" t="n">
        <f aca="false">COUNTIF(5_樣本A!$S$2:$S$241,"高")</f>
        <v>67</v>
      </c>
      <c r="G24" s="8" t="n">
        <f aca="false">COUNTIF(5_樣本A!$S$2:$S$241,"低")</f>
        <v>72</v>
      </c>
      <c r="H24" s="10" t="n">
        <f aca="false">AVERAGEIF(5_樣本A!$S$2:$S$241,"高",5_樣本A!M$2:M$241)</f>
        <v>4.40298507462687</v>
      </c>
      <c r="I24" s="10" t="n">
        <f aca="false">AVERAGEIF(5_樣本A!$S$2:$S$241,"低",5_樣本A!M$2:M$241)</f>
        <v>3.13888888888889</v>
      </c>
      <c r="J24" s="16" t="n">
        <f aca="false">SUMPRODUCT((5_樣本A!$S$2:$S$241="高")*(5_樣本A!M$2:M$241-H24)^2)/(F24-1)</f>
        <v>0.365445499773858</v>
      </c>
      <c r="K24" s="16" t="n">
        <f aca="false">SUMPRODUCT((5_樣本A!$S$2:$S$241="低")*(5_樣本A!M$2:M$241-I24)^2)/(G24-1)</f>
        <v>0.769170579029734</v>
      </c>
      <c r="L24" s="10" t="n">
        <f aca="false">(H24-I24)/SQRT(J24/F24+K24/G24)</f>
        <v>9.95094237900437</v>
      </c>
      <c r="M24" s="16" t="n">
        <f aca="false">CORREL(5_樣本A!M$2:M$241,5_樣本A!AE$2:AE$241)</f>
        <v>0.484558088258349</v>
      </c>
      <c r="N24" s="16" t="n">
        <f aca="false">($B$7-1)/($B$7-2)*(1-(SUM($E$13:$E$28)-E24)/VAR(5_樣本A!AE$2:AE$241))</f>
        <v>0.814815520032986</v>
      </c>
      <c r="O24" s="8" t="n">
        <f aca="false">IF(OR(C24&gt;=4.5,C24&lt;=1.5,D24&lt;0.7),1,0)</f>
        <v>0</v>
      </c>
      <c r="P24" s="8" t="n">
        <f aca="false">IF(L24&lt;3,1,0)</f>
        <v>0</v>
      </c>
      <c r="Q24" s="8" t="n">
        <f aca="false">IF(M24&lt;0.3,1,0)</f>
        <v>0</v>
      </c>
      <c r="R24" s="8" t="n">
        <f aca="false">IF(N24&gt;$B$8,1,0)</f>
        <v>0</v>
      </c>
      <c r="S24" s="17" t="n">
        <f aca="false">SUM(O24:R24)</f>
        <v>0</v>
      </c>
      <c r="T24" s="14" t="str">
        <f aca="false">IF(S24&gt;=2,"刪除","保留")</f>
        <v>保留</v>
      </c>
    </row>
    <row r="25" customFormat="false" ht="15" hidden="false" customHeight="false" outlineLevel="0" collapsed="false">
      <c r="A25" s="7" t="s">
        <v>58</v>
      </c>
      <c r="B25" s="8" t="s">
        <v>354</v>
      </c>
      <c r="C25" s="10" t="n">
        <f aca="false">AVERAGE(5_樣本A!N$2:N$241)</f>
        <v>3.775</v>
      </c>
      <c r="D25" s="10" t="n">
        <f aca="false">STDEV(5_樣本A!N$2:N$241)</f>
        <v>0.867473607812391</v>
      </c>
      <c r="E25" s="16" t="n">
        <f aca="false">VAR(5_樣本A!N$2:N$241)</f>
        <v>0.752510460251045</v>
      </c>
      <c r="F25" s="8" t="n">
        <f aca="false">COUNTIF(5_樣本A!$S$2:$S$241,"高")</f>
        <v>67</v>
      </c>
      <c r="G25" s="8" t="n">
        <f aca="false">COUNTIF(5_樣本A!$S$2:$S$241,"低")</f>
        <v>72</v>
      </c>
      <c r="H25" s="10" t="n">
        <f aca="false">AVERAGEIF(5_樣本A!$S$2:$S$241,"高",5_樣本A!N$2:N$241)</f>
        <v>4.38805970149254</v>
      </c>
      <c r="I25" s="10" t="n">
        <f aca="false">AVERAGEIF(5_樣本A!$S$2:$S$241,"低",5_樣本A!N$2:N$241)</f>
        <v>3.11111111111111</v>
      </c>
      <c r="J25" s="16" t="n">
        <f aca="false">SUMPRODUCT((5_樣本A!$S$2:$S$241="高")*(5_樣本A!N$2:N$241-H25)^2)/(F25-1)</f>
        <v>0.574400723654455</v>
      </c>
      <c r="K25" s="16" t="n">
        <f aca="false">SUMPRODUCT((5_樣本A!$S$2:$S$241="低")*(5_樣本A!N$2:N$241-I25)^2)/(G25-1)</f>
        <v>0.466353677621283</v>
      </c>
      <c r="L25" s="10" t="n">
        <f aca="false">(H25-I25)/SQRT(J25/F25+K25/G25)</f>
        <v>10.4088111668883</v>
      </c>
      <c r="M25" s="16" t="n">
        <f aca="false">CORREL(5_樣本A!N$2:N$241,5_樣本A!AF$2:AF$241)</f>
        <v>0.465577551649044</v>
      </c>
      <c r="N25" s="16" t="n">
        <f aca="false">($B$7-1)/($B$7-2)*(1-(SUM($E$13:$E$28)-E25)/VAR(5_樣本A!AF$2:AF$241))</f>
        <v>0.815969839993795</v>
      </c>
      <c r="O25" s="8" t="n">
        <f aca="false">IF(OR(C25&gt;=4.5,C25&lt;=1.5,D25&lt;0.7),1,0)</f>
        <v>0</v>
      </c>
      <c r="P25" s="8" t="n">
        <f aca="false">IF(L25&lt;3,1,0)</f>
        <v>0</v>
      </c>
      <c r="Q25" s="8" t="n">
        <f aca="false">IF(M25&lt;0.3,1,0)</f>
        <v>0</v>
      </c>
      <c r="R25" s="8" t="n">
        <f aca="false">IF(N25&gt;$B$8,1,0)</f>
        <v>0</v>
      </c>
      <c r="S25" s="17" t="n">
        <f aca="false">SUM(O25:R25)</f>
        <v>0</v>
      </c>
      <c r="T25" s="14" t="str">
        <f aca="false">IF(S25&gt;=2,"刪除","保留")</f>
        <v>保留</v>
      </c>
    </row>
    <row r="26" customFormat="false" ht="15" hidden="false" customHeight="false" outlineLevel="0" collapsed="false">
      <c r="A26" s="7" t="s">
        <v>60</v>
      </c>
      <c r="B26" s="8" t="s">
        <v>61</v>
      </c>
      <c r="C26" s="10" t="n">
        <f aca="false">AVERAGE(5_樣本A!O$2:O$241)</f>
        <v>3.77916666666667</v>
      </c>
      <c r="D26" s="10" t="n">
        <f aca="false">STDEV(5_樣本A!O$2:O$241)</f>
        <v>0.903956513314519</v>
      </c>
      <c r="E26" s="16" t="n">
        <f aca="false">VAR(5_樣本A!O$2:O$241)</f>
        <v>0.817137377963741</v>
      </c>
      <c r="F26" s="8" t="n">
        <f aca="false">COUNTIF(5_樣本A!$S$2:$S$241,"高")</f>
        <v>67</v>
      </c>
      <c r="G26" s="8" t="n">
        <f aca="false">COUNTIF(5_樣本A!$S$2:$S$241,"低")</f>
        <v>72</v>
      </c>
      <c r="H26" s="10" t="n">
        <f aca="false">AVERAGEIF(5_樣本A!$S$2:$S$241,"高",5_樣本A!O$2:O$241)</f>
        <v>4.49253731343284</v>
      </c>
      <c r="I26" s="10" t="n">
        <f aca="false">AVERAGEIF(5_樣本A!$S$2:$S$241,"低",5_樣本A!O$2:O$241)</f>
        <v>3.13888888888889</v>
      </c>
      <c r="J26" s="16" t="n">
        <f aca="false">SUMPRODUCT((5_樣本A!$S$2:$S$241="高")*(5_樣本A!O$2:O$241-H26)^2)/(F26-1)</f>
        <v>0.405246494798734</v>
      </c>
      <c r="K26" s="16" t="n">
        <f aca="false">SUMPRODUCT((5_樣本A!$S$2:$S$241="低")*(5_樣本A!O$2:O$241-I26)^2)/(G26-1)</f>
        <v>0.769170579029734</v>
      </c>
      <c r="L26" s="10" t="n">
        <f aca="false">(H26-I26)/SQRT(J26/F26+K26/G26)</f>
        <v>10.4650185514878</v>
      </c>
      <c r="M26" s="16" t="n">
        <f aca="false">CORREL(5_樣本A!O$2:O$241,5_樣本A!AG$2:AG$241)</f>
        <v>0.531862519668931</v>
      </c>
      <c r="N26" s="16" t="n">
        <f aca="false">($B$7-1)/($B$7-2)*(1-(SUM($E$13:$E$28)-E26)/VAR(5_樣本A!AG$2:AG$241))</f>
        <v>0.811848071523419</v>
      </c>
      <c r="O26" s="8" t="n">
        <f aca="false">IF(OR(C26&gt;=4.5,C26&lt;=1.5,D26&lt;0.7),1,0)</f>
        <v>0</v>
      </c>
      <c r="P26" s="8" t="n">
        <f aca="false">IF(L26&lt;3,1,0)</f>
        <v>0</v>
      </c>
      <c r="Q26" s="8" t="n">
        <f aca="false">IF(M26&lt;0.3,1,0)</f>
        <v>0</v>
      </c>
      <c r="R26" s="8" t="n">
        <f aca="false">IF(N26&gt;$B$8,1,0)</f>
        <v>0</v>
      </c>
      <c r="S26" s="17" t="n">
        <f aca="false">SUM(O26:R26)</f>
        <v>0</v>
      </c>
      <c r="T26" s="14" t="str">
        <f aca="false">IF(S26&gt;=2,"刪除","保留")</f>
        <v>保留</v>
      </c>
    </row>
    <row r="27" customFormat="false" ht="15" hidden="false" customHeight="false" outlineLevel="0" collapsed="false">
      <c r="A27" s="7" t="s">
        <v>62</v>
      </c>
      <c r="B27" s="8" t="s">
        <v>63</v>
      </c>
      <c r="C27" s="10" t="n">
        <f aca="false">AVERAGE(5_樣本A!P$2:P$241)</f>
        <v>3.67083333333333</v>
      </c>
      <c r="D27" s="10" t="n">
        <f aca="false">STDEV(5_樣本A!P$2:P$241)</f>
        <v>0.948453560384702</v>
      </c>
      <c r="E27" s="16" t="n">
        <f aca="false">VAR(5_樣本A!P$2:P$241)</f>
        <v>0.899564156206418</v>
      </c>
      <c r="F27" s="8" t="n">
        <f aca="false">COUNTIF(5_樣本A!$S$2:$S$241,"高")</f>
        <v>67</v>
      </c>
      <c r="G27" s="8" t="n">
        <f aca="false">COUNTIF(5_樣本A!$S$2:$S$241,"低")</f>
        <v>72</v>
      </c>
      <c r="H27" s="10" t="n">
        <f aca="false">AVERAGEIF(5_樣本A!$S$2:$S$241,"高",5_樣本A!P$2:P$241)</f>
        <v>4.2089552238806</v>
      </c>
      <c r="I27" s="10" t="n">
        <f aca="false">AVERAGEIF(5_樣本A!$S$2:$S$241,"低",5_樣本A!P$2:P$241)</f>
        <v>3.30555555555556</v>
      </c>
      <c r="J27" s="16" t="n">
        <f aca="false">SUMPRODUCT((5_樣本A!$S$2:$S$241="高")*(5_樣本A!P$2:P$241-H27)^2)/(F27-1)</f>
        <v>0.501130710085934</v>
      </c>
      <c r="K27" s="16" t="n">
        <f aca="false">SUMPRODUCT((5_樣本A!$S$2:$S$241="低")*(5_樣本A!P$2:P$241-I27)^2)/(G27-1)</f>
        <v>0.778560250391236</v>
      </c>
      <c r="L27" s="10" t="n">
        <f aca="false">(H27-I27)/SQRT(J27/F27+K27/G27)</f>
        <v>6.67941843410713</v>
      </c>
      <c r="M27" s="16" t="n">
        <f aca="false">CORREL(5_樣本A!P$2:P$241,5_樣本A!AH$2:AH$241)</f>
        <v>0.256651217411211</v>
      </c>
      <c r="N27" s="16" t="n">
        <f aca="false">($B$7-1)/($B$7-2)*(1-(SUM($E$13:$E$28)-E27)/VAR(5_樣本A!AH$2:AH$241))</f>
        <v>0.828591814201388</v>
      </c>
      <c r="O27" s="8" t="n">
        <f aca="false">IF(OR(C27&gt;=4.5,C27&lt;=1.5,D27&lt;0.7),1,0)</f>
        <v>0</v>
      </c>
      <c r="P27" s="8" t="n">
        <f aca="false">IF(L27&lt;3,1,0)</f>
        <v>0</v>
      </c>
      <c r="Q27" s="8" t="n">
        <f aca="false">IF(M27&lt;0.3,1,0)</f>
        <v>1</v>
      </c>
      <c r="R27" s="8" t="n">
        <f aca="false">IF(N27&gt;$B$8,1,0)</f>
        <v>1</v>
      </c>
      <c r="S27" s="17" t="n">
        <f aca="false">SUM(O27:R27)</f>
        <v>2</v>
      </c>
      <c r="T27" s="14" t="str">
        <f aca="false">IF(S27&gt;=2,"刪除","保留")</f>
        <v>刪除</v>
      </c>
    </row>
    <row r="28" customFormat="false" ht="15" hidden="false" customHeight="false" outlineLevel="0" collapsed="false">
      <c r="A28" s="7" t="s">
        <v>64</v>
      </c>
      <c r="B28" s="8" t="s">
        <v>65</v>
      </c>
      <c r="C28" s="10" t="n">
        <f aca="false">AVERAGE(5_樣本A!Q$2:Q$241)</f>
        <v>4.78333333333333</v>
      </c>
      <c r="D28" s="10" t="n">
        <f aca="false">STDEV(5_樣本A!Q$2:Q$241)</f>
        <v>0.487214494589186</v>
      </c>
      <c r="E28" s="16" t="n">
        <f aca="false">VAR(5_樣本A!Q$2:Q$241)</f>
        <v>0.237377963737796</v>
      </c>
      <c r="F28" s="8" t="n">
        <f aca="false">COUNTIF(5_樣本A!$S$2:$S$241,"高")</f>
        <v>67</v>
      </c>
      <c r="G28" s="8" t="n">
        <f aca="false">COUNTIF(5_樣本A!$S$2:$S$241,"低")</f>
        <v>72</v>
      </c>
      <c r="H28" s="10" t="n">
        <f aca="false">AVERAGEIF(5_樣本A!$S$2:$S$241,"高",5_樣本A!Q$2:Q$241)</f>
        <v>4.80597014925373</v>
      </c>
      <c r="I28" s="10" t="n">
        <f aca="false">AVERAGEIF(5_樣本A!$S$2:$S$241,"低",5_樣本A!Q$2:Q$241)</f>
        <v>4.77777777777778</v>
      </c>
      <c r="J28" s="16" t="n">
        <f aca="false">SUMPRODUCT((5_樣本A!$S$2:$S$241="高")*(5_樣本A!Q$2:Q$241-H28)^2)/(F28-1)</f>
        <v>0.189054726368159</v>
      </c>
      <c r="K28" s="16" t="n">
        <f aca="false">SUMPRODUCT((5_樣本A!$S$2:$S$241="低")*(5_樣本A!Q$2:Q$241-I28)^2)/(G28-1)</f>
        <v>0.259780907668232</v>
      </c>
      <c r="L28" s="10" t="n">
        <f aca="false">(H28-I28)/SQRT(J28/F28+K28/G28)</f>
        <v>0.351587588705637</v>
      </c>
      <c r="M28" s="16" t="n">
        <f aca="false">CORREL(5_樣本A!Q$2:Q$241,5_樣本A!AI$2:AI$241)</f>
        <v>-0.0180728414079845</v>
      </c>
      <c r="N28" s="16" t="n">
        <f aca="false">($B$7-1)/($B$7-2)*(1-(SUM($E$13:$E$28)-E28)/VAR(5_樣本A!AI$2:AI$241))</f>
        <v>0.834687557757962</v>
      </c>
      <c r="O28" s="8" t="n">
        <f aca="false">IF(OR(C28&gt;=4.5,C28&lt;=1.5,D28&lt;0.7),1,0)</f>
        <v>1</v>
      </c>
      <c r="P28" s="8" t="n">
        <f aca="false">IF(L28&lt;3,1,0)</f>
        <v>1</v>
      </c>
      <c r="Q28" s="8" t="n">
        <f aca="false">IF(M28&lt;0.3,1,0)</f>
        <v>1</v>
      </c>
      <c r="R28" s="8" t="n">
        <f aca="false">IF(N28&gt;$B$8,1,0)</f>
        <v>1</v>
      </c>
      <c r="S28" s="17" t="n">
        <f aca="false">SUM(O28:R28)</f>
        <v>4</v>
      </c>
      <c r="T28" s="14" t="str">
        <f aca="false">IF(S28&gt;=2,"刪除","保留")</f>
        <v>刪除</v>
      </c>
    </row>
    <row r="30" customFormat="false" ht="17.15" hidden="false" customHeight="false" outlineLevel="0" collapsed="false">
      <c r="A30" s="2" t="s">
        <v>355</v>
      </c>
    </row>
    <row r="31" customFormat="false" ht="17.15" hidden="false" customHeight="false" outlineLevel="0" collapsed="false">
      <c r="A31" s="2" t="s">
        <v>356</v>
      </c>
    </row>
    <row r="32" customFormat="false" ht="17.15" hidden="false" customHeight="false" outlineLevel="0" collapsed="false">
      <c r="A32" s="2" t="s">
        <v>357</v>
      </c>
    </row>
    <row r="33" customFormat="false" ht="17.15" hidden="false" customHeight="false" outlineLevel="0" collapsed="false">
      <c r="A33" s="2" t="s">
        <v>358</v>
      </c>
    </row>
    <row r="34" customFormat="false" ht="17.15" hidden="false" customHeight="false" outlineLevel="0" collapsed="false">
      <c r="A34" s="2" t="s">
        <v>359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36"/>
    <col collapsed="false" customWidth="true" hidden="false" outlineLevel="0" max="9" min="3" style="0" width="13"/>
  </cols>
  <sheetData>
    <row r="1" customFormat="false" ht="17.15" hidden="false" customHeight="false" outlineLevel="0" collapsed="false">
      <c r="A1" s="3" t="s">
        <v>360</v>
      </c>
    </row>
    <row r="2" customFormat="false" ht="17.15" hidden="false" customHeight="false" outlineLevel="0" collapsed="false">
      <c r="A2" s="2" t="s">
        <v>361</v>
      </c>
    </row>
    <row r="4" customFormat="false" ht="15" hidden="false" customHeight="false" outlineLevel="0" collapsed="false">
      <c r="A4" s="11" t="s">
        <v>362</v>
      </c>
      <c r="B4" s="9" t="n">
        <v>0.869</v>
      </c>
    </row>
    <row r="5" customFormat="false" ht="17.15" hidden="false" customHeight="false" outlineLevel="0" collapsed="false">
      <c r="A5" s="11" t="s">
        <v>363</v>
      </c>
      <c r="B5" s="9" t="n">
        <v>1281.61</v>
      </c>
    </row>
    <row r="6" customFormat="false" ht="17.15" hidden="false" customHeight="false" outlineLevel="0" collapsed="false">
      <c r="A6" s="11" t="s">
        <v>364</v>
      </c>
      <c r="B6" s="8" t="n">
        <f aca="false">13*12/2</f>
        <v>78</v>
      </c>
    </row>
    <row r="7" customFormat="false" ht="17.15" hidden="false" customHeight="false" outlineLevel="0" collapsed="false">
      <c r="A7" s="11" t="s">
        <v>365</v>
      </c>
      <c r="B7" s="9" t="s">
        <v>366</v>
      </c>
    </row>
    <row r="9" customFormat="false" ht="32.8" hidden="false" customHeight="false" outlineLevel="0" collapsed="false">
      <c r="A9" s="5" t="s">
        <v>367</v>
      </c>
      <c r="B9" s="5" t="s">
        <v>368</v>
      </c>
      <c r="C9" s="5" t="s">
        <v>369</v>
      </c>
      <c r="D9" s="5" t="s">
        <v>370</v>
      </c>
      <c r="E9" s="5" t="s">
        <v>371</v>
      </c>
    </row>
    <row r="10" customFormat="false" ht="17.15" hidden="false" customHeight="false" outlineLevel="0" collapsed="false">
      <c r="A10" s="8" t="s">
        <v>372</v>
      </c>
      <c r="B10" s="9" t="n">
        <v>4.744</v>
      </c>
      <c r="C10" s="9" t="n">
        <v>1.404</v>
      </c>
      <c r="D10" s="9" t="n">
        <v>1.5</v>
      </c>
      <c r="E10" s="13" t="str">
        <f aca="false">IF(B10&gt;D10,"保留","停止")</f>
        <v>保留</v>
      </c>
    </row>
    <row r="11" customFormat="false" ht="17.15" hidden="false" customHeight="false" outlineLevel="0" collapsed="false">
      <c r="A11" s="8" t="s">
        <v>373</v>
      </c>
      <c r="B11" s="9" t="n">
        <v>2.043</v>
      </c>
      <c r="C11" s="9" t="n">
        <v>1.305</v>
      </c>
      <c r="D11" s="9" t="n">
        <v>1.373</v>
      </c>
      <c r="E11" s="13" t="str">
        <f aca="false">IF(B11&gt;D11,"保留","停止")</f>
        <v>保留</v>
      </c>
    </row>
    <row r="12" customFormat="false" ht="17.15" hidden="false" customHeight="false" outlineLevel="0" collapsed="false">
      <c r="A12" s="8" t="s">
        <v>374</v>
      </c>
      <c r="B12" s="9" t="n">
        <v>1.777</v>
      </c>
      <c r="C12" s="9" t="n">
        <v>1.224</v>
      </c>
      <c r="D12" s="9" t="n">
        <v>1.276</v>
      </c>
      <c r="E12" s="13" t="str">
        <f aca="false">IF(B12&gt;D12,"保留","停止")</f>
        <v>保留</v>
      </c>
    </row>
    <row r="13" customFormat="false" ht="17.15" hidden="false" customHeight="false" outlineLevel="0" collapsed="false">
      <c r="A13" s="8" t="s">
        <v>375</v>
      </c>
      <c r="B13" s="9" t="n">
        <v>0.606</v>
      </c>
      <c r="C13" s="9" t="n">
        <v>1.157</v>
      </c>
      <c r="D13" s="9" t="n">
        <v>1.206</v>
      </c>
      <c r="E13" s="13" t="str">
        <f aca="false">IF(B13&gt;D13,"保留","停止")</f>
        <v>停止</v>
      </c>
    </row>
    <row r="14" customFormat="false" ht="17.15" hidden="false" customHeight="false" outlineLevel="0" collapsed="false">
      <c r="A14" s="8" t="s">
        <v>376</v>
      </c>
      <c r="B14" s="9" t="n">
        <v>0.549</v>
      </c>
      <c r="C14" s="9" t="n">
        <v>1.097</v>
      </c>
      <c r="D14" s="9" t="n">
        <v>1.142</v>
      </c>
      <c r="E14" s="13" t="str">
        <f aca="false">IF(B14&gt;D14,"保留","停止")</f>
        <v>停止</v>
      </c>
    </row>
    <row r="15" customFormat="false" ht="17.15" hidden="false" customHeight="false" outlineLevel="0" collapsed="false">
      <c r="A15" s="8" t="s">
        <v>377</v>
      </c>
      <c r="B15" s="9" t="n">
        <v>0.514</v>
      </c>
      <c r="C15" s="9" t="n">
        <v>1.04</v>
      </c>
      <c r="D15" s="9" t="n">
        <v>1.083</v>
      </c>
      <c r="E15" s="13" t="str">
        <f aca="false">IF(B15&gt;D15,"保留","停止")</f>
        <v>停止</v>
      </c>
    </row>
    <row r="16" customFormat="false" ht="15" hidden="false" customHeight="false" outlineLevel="0" collapsed="false">
      <c r="A16" s="13" t="s">
        <v>378</v>
      </c>
      <c r="B16" s="14" t="n">
        <f aca="false">COUNTIF(E10:E15,"保留")</f>
        <v>3</v>
      </c>
    </row>
    <row r="18" customFormat="false" ht="17.15" hidden="false" customHeight="false" outlineLevel="0" collapsed="false">
      <c r="A18" s="3" t="s">
        <v>379</v>
      </c>
    </row>
    <row r="19" customFormat="false" ht="17.15" hidden="false" customHeight="false" outlineLevel="0" collapsed="false">
      <c r="A19" s="5" t="s">
        <v>19</v>
      </c>
      <c r="B19" s="5" t="s">
        <v>335</v>
      </c>
      <c r="C19" s="6" t="s">
        <v>380</v>
      </c>
      <c r="D19" s="6" t="s">
        <v>381</v>
      </c>
      <c r="E19" s="6" t="s">
        <v>382</v>
      </c>
      <c r="F19" s="5" t="s">
        <v>383</v>
      </c>
      <c r="G19" s="5" t="s">
        <v>384</v>
      </c>
      <c r="H19" s="5" t="s">
        <v>385</v>
      </c>
      <c r="I19" s="5" t="s">
        <v>386</v>
      </c>
    </row>
    <row r="20" customFormat="false" ht="15" hidden="false" customHeight="false" outlineLevel="0" collapsed="false">
      <c r="A20" s="7" t="s">
        <v>30</v>
      </c>
      <c r="B20" s="8" t="s">
        <v>31</v>
      </c>
      <c r="C20" s="18" t="n">
        <v>0.837</v>
      </c>
      <c r="D20" s="18" t="n">
        <v>-0.018</v>
      </c>
      <c r="E20" s="18" t="n">
        <v>-0.033</v>
      </c>
      <c r="F20" s="16" t="n">
        <f aca="false">MAX(ABS(C20),ABS(D20),ABS(E20))</f>
        <v>0.837</v>
      </c>
      <c r="G20" s="16" t="n">
        <f aca="false">ABS(C20)+ABS(D20)+ABS(E20)-MAX(ABS(C20),ABS(D20),ABS(E20))-MIN(ABS(C20),ABS(D20),ABS(E20))</f>
        <v>0.033</v>
      </c>
      <c r="H20" s="16" t="n">
        <f aca="false">F20-G20</f>
        <v>0.804</v>
      </c>
      <c r="I20" s="13" t="str">
        <f aca="false">IF(F20&lt;0.4,"主負荷&lt;.40",IF(AND(G20&gt;=0.3,H20&lt;0.2),"跨負荷","OK"))</f>
        <v>OK</v>
      </c>
    </row>
    <row r="21" customFormat="false" ht="15" hidden="false" customHeight="false" outlineLevel="0" collapsed="false">
      <c r="A21" s="7" t="s">
        <v>32</v>
      </c>
      <c r="B21" s="8" t="s">
        <v>353</v>
      </c>
      <c r="C21" s="18" t="n">
        <v>0.82</v>
      </c>
      <c r="D21" s="18" t="n">
        <v>0.001</v>
      </c>
      <c r="E21" s="18" t="n">
        <v>0.011</v>
      </c>
      <c r="F21" s="16" t="n">
        <f aca="false">MAX(ABS(C21),ABS(D21),ABS(E21))</f>
        <v>0.82</v>
      </c>
      <c r="G21" s="16" t="n">
        <f aca="false">ABS(C21)+ABS(D21)+ABS(E21)-MAX(ABS(C21),ABS(D21),ABS(E21))-MIN(ABS(C21),ABS(D21),ABS(E21))</f>
        <v>0.011</v>
      </c>
      <c r="H21" s="16" t="n">
        <f aca="false">F21-G21</f>
        <v>0.809</v>
      </c>
      <c r="I21" s="13" t="str">
        <f aca="false">IF(F21&lt;0.4,"主負荷&lt;.40",IF(AND(G21&gt;=0.3,H21&lt;0.2),"跨負荷","OK"))</f>
        <v>OK</v>
      </c>
    </row>
    <row r="22" customFormat="false" ht="15" hidden="false" customHeight="false" outlineLevel="0" collapsed="false">
      <c r="A22" s="7" t="s">
        <v>34</v>
      </c>
      <c r="B22" s="8" t="s">
        <v>35</v>
      </c>
      <c r="C22" s="18" t="n">
        <v>0.855</v>
      </c>
      <c r="D22" s="18" t="n">
        <v>0.003</v>
      </c>
      <c r="E22" s="18" t="n">
        <v>-0.062</v>
      </c>
      <c r="F22" s="16" t="n">
        <f aca="false">MAX(ABS(C22),ABS(D22),ABS(E22))</f>
        <v>0.855</v>
      </c>
      <c r="G22" s="16" t="n">
        <f aca="false">ABS(C22)+ABS(D22)+ABS(E22)-MAX(ABS(C22),ABS(D22),ABS(E22))-MIN(ABS(C22),ABS(D22),ABS(E22))</f>
        <v>0.0619999999999999</v>
      </c>
      <c r="H22" s="16" t="n">
        <f aca="false">F22-G22</f>
        <v>0.793</v>
      </c>
      <c r="I22" s="13" t="str">
        <f aca="false">IF(F22&lt;0.4,"主負荷&lt;.40",IF(AND(G22&gt;=0.3,H22&lt;0.2),"跨負荷","OK"))</f>
        <v>OK</v>
      </c>
    </row>
    <row r="23" customFormat="false" ht="15" hidden="false" customHeight="false" outlineLevel="0" collapsed="false">
      <c r="A23" s="7" t="s">
        <v>36</v>
      </c>
      <c r="B23" s="8" t="s">
        <v>37</v>
      </c>
      <c r="C23" s="18" t="n">
        <v>0.848</v>
      </c>
      <c r="D23" s="18" t="n">
        <v>0.053</v>
      </c>
      <c r="E23" s="18" t="n">
        <v>-0.11</v>
      </c>
      <c r="F23" s="16" t="n">
        <f aca="false">MAX(ABS(C23),ABS(D23),ABS(E23))</f>
        <v>0.848</v>
      </c>
      <c r="G23" s="16" t="n">
        <f aca="false">ABS(C23)+ABS(D23)+ABS(E23)-MAX(ABS(C23),ABS(D23),ABS(E23))-MIN(ABS(C23),ABS(D23),ABS(E23))</f>
        <v>0.11</v>
      </c>
      <c r="H23" s="16" t="n">
        <f aca="false">F23-G23</f>
        <v>0.738</v>
      </c>
      <c r="I23" s="13" t="str">
        <f aca="false">IF(F23&lt;0.4,"主負荷&lt;.40",IF(AND(G23&gt;=0.3,H23&lt;0.2),"跨負荷","OK"))</f>
        <v>OK</v>
      </c>
    </row>
    <row r="24" customFormat="false" ht="15" hidden="false" customHeight="false" outlineLevel="0" collapsed="false">
      <c r="A24" s="7" t="s">
        <v>40</v>
      </c>
      <c r="B24" s="8" t="s">
        <v>41</v>
      </c>
      <c r="C24" s="18" t="n">
        <v>0.544</v>
      </c>
      <c r="D24" s="18" t="n">
        <v>-0.062</v>
      </c>
      <c r="E24" s="18" t="n">
        <v>0.434</v>
      </c>
      <c r="F24" s="16" t="n">
        <f aca="false">MAX(ABS(C24),ABS(D24),ABS(E24))</f>
        <v>0.544</v>
      </c>
      <c r="G24" s="16" t="n">
        <f aca="false">ABS(C24)+ABS(D24)+ABS(E24)-MAX(ABS(C24),ABS(D24),ABS(E24))-MIN(ABS(C24),ABS(D24),ABS(E24))</f>
        <v>0.434</v>
      </c>
      <c r="H24" s="16" t="n">
        <f aca="false">F24-G24</f>
        <v>0.11</v>
      </c>
      <c r="I24" s="13" t="str">
        <f aca="false">IF(F24&lt;0.4,"主負荷&lt;.40",IF(AND(G24&gt;=0.3,H24&lt;0.2),"跨負荷","OK"))</f>
        <v>跨負荷</v>
      </c>
    </row>
    <row r="25" customFormat="false" ht="15" hidden="false" customHeight="false" outlineLevel="0" collapsed="false">
      <c r="A25" s="7" t="s">
        <v>42</v>
      </c>
      <c r="B25" s="8" t="s">
        <v>43</v>
      </c>
      <c r="C25" s="18" t="n">
        <v>-0.029</v>
      </c>
      <c r="D25" s="18" t="n">
        <v>0.839</v>
      </c>
      <c r="E25" s="18" t="n">
        <v>-0.029</v>
      </c>
      <c r="F25" s="16" t="n">
        <f aca="false">MAX(ABS(C25),ABS(D25),ABS(E25))</f>
        <v>0.839</v>
      </c>
      <c r="G25" s="16" t="n">
        <f aca="false">ABS(C25)+ABS(D25)+ABS(E25)-MAX(ABS(C25),ABS(D25),ABS(E25))-MIN(ABS(C25),ABS(D25),ABS(E25))</f>
        <v>0.0290000000000001</v>
      </c>
      <c r="H25" s="16" t="n">
        <f aca="false">F25-G25</f>
        <v>0.81</v>
      </c>
      <c r="I25" s="13" t="str">
        <f aca="false">IF(F25&lt;0.4,"主負荷&lt;.40",IF(AND(G25&gt;=0.3,H25&lt;0.2),"跨負荷","OK"))</f>
        <v>OK</v>
      </c>
    </row>
    <row r="26" customFormat="false" ht="15" hidden="false" customHeight="false" outlineLevel="0" collapsed="false">
      <c r="A26" s="7" t="s">
        <v>44</v>
      </c>
      <c r="B26" s="8" t="s">
        <v>45</v>
      </c>
      <c r="C26" s="18" t="n">
        <v>-0.053</v>
      </c>
      <c r="D26" s="18" t="n">
        <v>0.774</v>
      </c>
      <c r="E26" s="18" t="n">
        <v>0.076</v>
      </c>
      <c r="F26" s="16" t="n">
        <f aca="false">MAX(ABS(C26),ABS(D26),ABS(E26))</f>
        <v>0.774</v>
      </c>
      <c r="G26" s="16" t="n">
        <f aca="false">ABS(C26)+ABS(D26)+ABS(E26)-MAX(ABS(C26),ABS(D26),ABS(E26))-MIN(ABS(C26),ABS(D26),ABS(E26))</f>
        <v>0.076</v>
      </c>
      <c r="H26" s="16" t="n">
        <f aca="false">F26-G26</f>
        <v>0.698</v>
      </c>
      <c r="I26" s="13" t="str">
        <f aca="false">IF(F26&lt;0.4,"主負荷&lt;.40",IF(AND(G26&gt;=0.3,H26&lt;0.2),"跨負荷","OK"))</f>
        <v>OK</v>
      </c>
    </row>
    <row r="27" customFormat="false" ht="15" hidden="false" customHeight="false" outlineLevel="0" collapsed="false">
      <c r="A27" s="7" t="s">
        <v>46</v>
      </c>
      <c r="B27" s="8" t="s">
        <v>47</v>
      </c>
      <c r="C27" s="18" t="n">
        <v>0.066</v>
      </c>
      <c r="D27" s="18" t="n">
        <v>0.833</v>
      </c>
      <c r="E27" s="18" t="n">
        <v>-0.065</v>
      </c>
      <c r="F27" s="16" t="n">
        <f aca="false">MAX(ABS(C27),ABS(D27),ABS(E27))</f>
        <v>0.833</v>
      </c>
      <c r="G27" s="16" t="n">
        <f aca="false">ABS(C27)+ABS(D27)+ABS(E27)-MAX(ABS(C27),ABS(D27),ABS(E27))-MIN(ABS(C27),ABS(D27),ABS(E27))</f>
        <v>0.066</v>
      </c>
      <c r="H27" s="16" t="n">
        <f aca="false">F27-G27</f>
        <v>0.767</v>
      </c>
      <c r="I27" s="13" t="str">
        <f aca="false">IF(F27&lt;0.4,"主負荷&lt;.40",IF(AND(G27&gt;=0.3,H27&lt;0.2),"跨負荷","OK"))</f>
        <v>OK</v>
      </c>
    </row>
    <row r="28" customFormat="false" ht="15" hidden="false" customHeight="false" outlineLevel="0" collapsed="false">
      <c r="A28" s="7" t="s">
        <v>50</v>
      </c>
      <c r="B28" s="8" t="s">
        <v>51</v>
      </c>
      <c r="C28" s="18" t="n">
        <v>0.039</v>
      </c>
      <c r="D28" s="18" t="n">
        <v>0.793</v>
      </c>
      <c r="E28" s="18" t="n">
        <v>0.047</v>
      </c>
      <c r="F28" s="16" t="n">
        <f aca="false">MAX(ABS(C28),ABS(D28),ABS(E28))</f>
        <v>0.793</v>
      </c>
      <c r="G28" s="16" t="n">
        <f aca="false">ABS(C28)+ABS(D28)+ABS(E28)-MAX(ABS(C28),ABS(D28),ABS(E28))-MIN(ABS(C28),ABS(D28),ABS(E28))</f>
        <v>0.0470000000000001</v>
      </c>
      <c r="H28" s="16" t="n">
        <f aca="false">F28-G28</f>
        <v>0.746</v>
      </c>
      <c r="I28" s="13" t="str">
        <f aca="false">IF(F28&lt;0.4,"主負荷&lt;.40",IF(AND(G28&gt;=0.3,H28&lt;0.2),"跨負荷","OK"))</f>
        <v>OK</v>
      </c>
    </row>
    <row r="29" customFormat="false" ht="15" hidden="false" customHeight="false" outlineLevel="0" collapsed="false">
      <c r="A29" s="7" t="s">
        <v>54</v>
      </c>
      <c r="B29" s="8" t="s">
        <v>55</v>
      </c>
      <c r="C29" s="18" t="n">
        <v>0.048</v>
      </c>
      <c r="D29" s="18" t="n">
        <v>0.061</v>
      </c>
      <c r="E29" s="18" t="n">
        <v>0.769</v>
      </c>
      <c r="F29" s="16" t="n">
        <f aca="false">MAX(ABS(C29),ABS(D29),ABS(E29))</f>
        <v>0.769</v>
      </c>
      <c r="G29" s="16" t="n">
        <f aca="false">ABS(C29)+ABS(D29)+ABS(E29)-MAX(ABS(C29),ABS(D29),ABS(E29))-MIN(ABS(C29),ABS(D29),ABS(E29))</f>
        <v>0.061</v>
      </c>
      <c r="H29" s="16" t="n">
        <f aca="false">F29-G29</f>
        <v>0.708</v>
      </c>
      <c r="I29" s="13" t="str">
        <f aca="false">IF(F29&lt;0.4,"主負荷&lt;.40",IF(AND(G29&gt;=0.3,H29&lt;0.2),"跨負荷","OK"))</f>
        <v>OK</v>
      </c>
    </row>
    <row r="30" customFormat="false" ht="15" hidden="false" customHeight="false" outlineLevel="0" collapsed="false">
      <c r="A30" s="7" t="s">
        <v>56</v>
      </c>
      <c r="B30" s="8" t="s">
        <v>57</v>
      </c>
      <c r="C30" s="18" t="n">
        <v>-0.098</v>
      </c>
      <c r="D30" s="18" t="n">
        <v>0.02</v>
      </c>
      <c r="E30" s="18" t="n">
        <v>0.829</v>
      </c>
      <c r="F30" s="16" t="n">
        <f aca="false">MAX(ABS(C30),ABS(D30),ABS(E30))</f>
        <v>0.829</v>
      </c>
      <c r="G30" s="16" t="n">
        <f aca="false">ABS(C30)+ABS(D30)+ABS(E30)-MAX(ABS(C30),ABS(D30),ABS(E30))-MIN(ABS(C30),ABS(D30),ABS(E30))</f>
        <v>0.098</v>
      </c>
      <c r="H30" s="16" t="n">
        <f aca="false">F30-G30</f>
        <v>0.731</v>
      </c>
      <c r="I30" s="13" t="str">
        <f aca="false">IF(F30&lt;0.4,"主負荷&lt;.40",IF(AND(G30&gt;=0.3,H30&lt;0.2),"跨負荷","OK"))</f>
        <v>OK</v>
      </c>
    </row>
    <row r="31" customFormat="false" ht="15" hidden="false" customHeight="false" outlineLevel="0" collapsed="false">
      <c r="A31" s="7" t="s">
        <v>58</v>
      </c>
      <c r="B31" s="8" t="s">
        <v>354</v>
      </c>
      <c r="C31" s="18" t="n">
        <v>-0.093</v>
      </c>
      <c r="D31" s="18" t="n">
        <v>-0.029</v>
      </c>
      <c r="E31" s="18" t="n">
        <v>0.833</v>
      </c>
      <c r="F31" s="16" t="n">
        <f aca="false">MAX(ABS(C31),ABS(D31),ABS(E31))</f>
        <v>0.833</v>
      </c>
      <c r="G31" s="16" t="n">
        <f aca="false">ABS(C31)+ABS(D31)+ABS(E31)-MAX(ABS(C31),ABS(D31),ABS(E31))-MIN(ABS(C31),ABS(D31),ABS(E31))</f>
        <v>0.093</v>
      </c>
      <c r="H31" s="16" t="n">
        <f aca="false">F31-G31</f>
        <v>0.74</v>
      </c>
      <c r="I31" s="13" t="str">
        <f aca="false">IF(F31&lt;0.4,"主負荷&lt;.40",IF(AND(G31&gt;=0.3,H31&lt;0.2),"跨負荷","OK"))</f>
        <v>OK</v>
      </c>
    </row>
    <row r="32" customFormat="false" ht="15" hidden="false" customHeight="false" outlineLevel="0" collapsed="false">
      <c r="A32" s="7" t="s">
        <v>60</v>
      </c>
      <c r="B32" s="8" t="s">
        <v>61</v>
      </c>
      <c r="C32" s="18" t="n">
        <v>0.025</v>
      </c>
      <c r="D32" s="18" t="n">
        <v>-0.007</v>
      </c>
      <c r="E32" s="18" t="n">
        <v>0.765</v>
      </c>
      <c r="F32" s="16" t="n">
        <f aca="false">MAX(ABS(C32),ABS(D32),ABS(E32))</f>
        <v>0.765</v>
      </c>
      <c r="G32" s="16" t="n">
        <f aca="false">ABS(C32)+ABS(D32)+ABS(E32)-MAX(ABS(C32),ABS(D32),ABS(E32))-MIN(ABS(C32),ABS(D32),ABS(E32))</f>
        <v>0.025</v>
      </c>
      <c r="H32" s="16" t="n">
        <f aca="false">F32-G32</f>
        <v>0.74</v>
      </c>
      <c r="I32" s="13" t="str">
        <f aca="false">IF(F32&lt;0.4,"主負荷&lt;.40",IF(AND(G32&gt;=0.3,H32&lt;0.2),"跨負荷","OK"))</f>
        <v>OK</v>
      </c>
    </row>
    <row r="33" customFormat="false" ht="15" hidden="false" customHeight="false" outlineLevel="0" collapsed="false">
      <c r="A33" s="3" t="s">
        <v>387</v>
      </c>
    </row>
    <row r="34" customFormat="false" ht="15" hidden="false" customHeight="false" outlineLevel="0" collapsed="false">
      <c r="B34" s="7" t="s">
        <v>388</v>
      </c>
      <c r="C34" s="18" t="n">
        <v>1</v>
      </c>
      <c r="D34" s="18" t="n">
        <v>0.276</v>
      </c>
      <c r="E34" s="18" t="n">
        <v>0.387</v>
      </c>
    </row>
    <row r="35" customFormat="false" ht="15" hidden="false" customHeight="false" outlineLevel="0" collapsed="false">
      <c r="B35" s="7" t="s">
        <v>389</v>
      </c>
      <c r="C35" s="18" t="n">
        <v>0.276</v>
      </c>
      <c r="D35" s="18" t="n">
        <v>1</v>
      </c>
      <c r="E35" s="18" t="n">
        <v>0.306</v>
      </c>
    </row>
    <row r="36" customFormat="false" ht="15" hidden="false" customHeight="false" outlineLevel="0" collapsed="false">
      <c r="B36" s="7" t="s">
        <v>390</v>
      </c>
      <c r="C36" s="18" t="n">
        <v>0.387</v>
      </c>
      <c r="D36" s="18" t="n">
        <v>0.306</v>
      </c>
      <c r="E36" s="18" t="n">
        <v>1</v>
      </c>
    </row>
    <row r="39" customFormat="false" ht="17.15" hidden="false" customHeight="false" outlineLevel="0" collapsed="false">
      <c r="A39" s="3" t="s">
        <v>391</v>
      </c>
    </row>
    <row r="40" customFormat="false" ht="17.15" hidden="false" customHeight="false" outlineLevel="0" collapsed="false">
      <c r="A40" s="5" t="s">
        <v>19</v>
      </c>
      <c r="B40" s="5" t="s">
        <v>335</v>
      </c>
      <c r="C40" s="6" t="s">
        <v>380</v>
      </c>
      <c r="D40" s="6" t="s">
        <v>381</v>
      </c>
      <c r="E40" s="6" t="s">
        <v>382</v>
      </c>
      <c r="F40" s="5" t="s">
        <v>383</v>
      </c>
      <c r="G40" s="5" t="s">
        <v>384</v>
      </c>
      <c r="H40" s="5" t="s">
        <v>385</v>
      </c>
      <c r="I40" s="5" t="s">
        <v>386</v>
      </c>
    </row>
    <row r="41" customFormat="false" ht="15" hidden="false" customHeight="false" outlineLevel="0" collapsed="false">
      <c r="A41" s="7" t="s">
        <v>30</v>
      </c>
      <c r="B41" s="8" t="s">
        <v>31</v>
      </c>
      <c r="C41" s="18" t="n">
        <v>0.834</v>
      </c>
      <c r="D41" s="18" t="n">
        <v>-0.034</v>
      </c>
      <c r="E41" s="18" t="n">
        <v>0.02</v>
      </c>
      <c r="F41" s="16" t="n">
        <f aca="false">MAX(ABS(C41),ABS(D41),ABS(E41))</f>
        <v>0.834</v>
      </c>
      <c r="G41" s="16" t="n">
        <f aca="false">ABS(C41)+ABS(D41)+ABS(E41)-MAX(ABS(C41),ABS(D41),ABS(E41))-MIN(ABS(C41),ABS(D41),ABS(E41))</f>
        <v>0.034</v>
      </c>
      <c r="H41" s="16" t="n">
        <f aca="false">F41-G41</f>
        <v>0.8</v>
      </c>
      <c r="I41" s="13" t="str">
        <f aca="false">IF(F41&lt;0.4,"主負荷&lt;.40",IF(AND(G41&gt;=0.3,H41&lt;0.2),"跨負荷","OK"))</f>
        <v>OK</v>
      </c>
    </row>
    <row r="42" customFormat="false" ht="15" hidden="false" customHeight="false" outlineLevel="0" collapsed="false">
      <c r="A42" s="7" t="s">
        <v>32</v>
      </c>
      <c r="B42" s="8" t="s">
        <v>353</v>
      </c>
      <c r="C42" s="18" t="n">
        <v>0.812</v>
      </c>
      <c r="D42" s="18" t="n">
        <v>-0.008</v>
      </c>
      <c r="E42" s="18" t="n">
        <v>0.056</v>
      </c>
      <c r="F42" s="16" t="n">
        <f aca="false">MAX(ABS(C42),ABS(D42),ABS(E42))</f>
        <v>0.812</v>
      </c>
      <c r="G42" s="16" t="n">
        <f aca="false">ABS(C42)+ABS(D42)+ABS(E42)-MAX(ABS(C42),ABS(D42),ABS(E42))-MIN(ABS(C42),ABS(D42),ABS(E42))</f>
        <v>0.0560000000000001</v>
      </c>
      <c r="H42" s="16" t="n">
        <f aca="false">F42-G42</f>
        <v>0.756</v>
      </c>
      <c r="I42" s="13" t="str">
        <f aca="false">IF(F42&lt;0.4,"主負荷&lt;.40",IF(AND(G42&gt;=0.3,H42&lt;0.2),"跨負荷","OK"))</f>
        <v>OK</v>
      </c>
    </row>
    <row r="43" customFormat="false" ht="15" hidden="false" customHeight="false" outlineLevel="0" collapsed="false">
      <c r="A43" s="7" t="s">
        <v>34</v>
      </c>
      <c r="B43" s="8" t="s">
        <v>35</v>
      </c>
      <c r="C43" s="18" t="n">
        <v>0.846</v>
      </c>
      <c r="D43" s="18" t="n">
        <v>-0.009</v>
      </c>
      <c r="E43" s="18" t="n">
        <v>-0.013</v>
      </c>
      <c r="F43" s="16" t="n">
        <f aca="false">MAX(ABS(C43),ABS(D43),ABS(E43))</f>
        <v>0.846</v>
      </c>
      <c r="G43" s="16" t="n">
        <f aca="false">ABS(C43)+ABS(D43)+ABS(E43)-MAX(ABS(C43),ABS(D43),ABS(E43))-MIN(ABS(C43),ABS(D43),ABS(E43))</f>
        <v>0.013</v>
      </c>
      <c r="H43" s="16" t="n">
        <f aca="false">F43-G43</f>
        <v>0.833</v>
      </c>
      <c r="I43" s="13" t="str">
        <f aca="false">IF(F43&lt;0.4,"主負荷&lt;.40",IF(AND(G43&gt;=0.3,H43&lt;0.2),"跨負荷","OK"))</f>
        <v>OK</v>
      </c>
    </row>
    <row r="44" customFormat="false" ht="15" hidden="false" customHeight="false" outlineLevel="0" collapsed="false">
      <c r="A44" s="7" t="s">
        <v>36</v>
      </c>
      <c r="B44" s="8" t="s">
        <v>37</v>
      </c>
      <c r="C44" s="18" t="n">
        <v>0.835</v>
      </c>
      <c r="D44" s="18" t="n">
        <v>0.044</v>
      </c>
      <c r="E44" s="18" t="n">
        <v>-0.063</v>
      </c>
      <c r="F44" s="16" t="n">
        <f aca="false">MAX(ABS(C44),ABS(D44),ABS(E44))</f>
        <v>0.835</v>
      </c>
      <c r="G44" s="16" t="n">
        <f aca="false">ABS(C44)+ABS(D44)+ABS(E44)-MAX(ABS(C44),ABS(D44),ABS(E44))-MIN(ABS(C44),ABS(D44),ABS(E44))</f>
        <v>0.063</v>
      </c>
      <c r="H44" s="16" t="n">
        <f aca="false">F44-G44</f>
        <v>0.772</v>
      </c>
      <c r="I44" s="13" t="str">
        <f aca="false">IF(F44&lt;0.4,"主負荷&lt;.40",IF(AND(G44&gt;=0.3,H44&lt;0.2),"跨負荷","OK"))</f>
        <v>OK</v>
      </c>
    </row>
    <row r="45" customFormat="false" ht="15" hidden="false" customHeight="false" outlineLevel="0" collapsed="false">
      <c r="A45" s="7" t="s">
        <v>42</v>
      </c>
      <c r="B45" s="8" t="s">
        <v>43</v>
      </c>
      <c r="C45" s="18" t="n">
        <v>-0.048</v>
      </c>
      <c r="D45" s="18" t="n">
        <v>0.855</v>
      </c>
      <c r="E45" s="18" t="n">
        <v>-0.049</v>
      </c>
      <c r="F45" s="16" t="n">
        <f aca="false">MAX(ABS(C45),ABS(D45),ABS(E45))</f>
        <v>0.855</v>
      </c>
      <c r="G45" s="16" t="n">
        <f aca="false">ABS(C45)+ABS(D45)+ABS(E45)-MAX(ABS(C45),ABS(D45),ABS(E45))-MIN(ABS(C45),ABS(D45),ABS(E45))</f>
        <v>0.0490000000000001</v>
      </c>
      <c r="H45" s="16" t="n">
        <f aca="false">F45-G45</f>
        <v>0.806</v>
      </c>
      <c r="I45" s="13" t="str">
        <f aca="false">IF(F45&lt;0.4,"主負荷&lt;.40",IF(AND(G45&gt;=0.3,H45&lt;0.2),"跨負荷","OK"))</f>
        <v>OK</v>
      </c>
    </row>
    <row r="46" customFormat="false" ht="15" hidden="false" customHeight="false" outlineLevel="0" collapsed="false">
      <c r="A46" s="7" t="s">
        <v>44</v>
      </c>
      <c r="B46" s="8" t="s">
        <v>45</v>
      </c>
      <c r="C46" s="18" t="n">
        <v>-0.046</v>
      </c>
      <c r="D46" s="18" t="n">
        <v>0.77</v>
      </c>
      <c r="E46" s="18" t="n">
        <v>0.075</v>
      </c>
      <c r="F46" s="16" t="n">
        <f aca="false">MAX(ABS(C46),ABS(D46),ABS(E46))</f>
        <v>0.77</v>
      </c>
      <c r="G46" s="16" t="n">
        <f aca="false">ABS(C46)+ABS(D46)+ABS(E46)-MAX(ABS(C46),ABS(D46),ABS(E46))-MIN(ABS(C46),ABS(D46),ABS(E46))</f>
        <v>0.075</v>
      </c>
      <c r="H46" s="16" t="n">
        <f aca="false">F46-G46</f>
        <v>0.695</v>
      </c>
      <c r="I46" s="13" t="str">
        <f aca="false">IF(F46&lt;0.4,"主負荷&lt;.40",IF(AND(G46&gt;=0.3,H46&lt;0.2),"跨負荷","OK"))</f>
        <v>OK</v>
      </c>
    </row>
    <row r="47" customFormat="false" ht="15" hidden="false" customHeight="false" outlineLevel="0" collapsed="false">
      <c r="A47" s="7" t="s">
        <v>46</v>
      </c>
      <c r="B47" s="8" t="s">
        <v>47</v>
      </c>
      <c r="C47" s="18" t="n">
        <v>0.063</v>
      </c>
      <c r="D47" s="18" t="n">
        <v>0.832</v>
      </c>
      <c r="E47" s="18" t="n">
        <v>-0.062</v>
      </c>
      <c r="F47" s="16" t="n">
        <f aca="false">MAX(ABS(C47),ABS(D47),ABS(E47))</f>
        <v>0.832</v>
      </c>
      <c r="G47" s="16" t="n">
        <f aca="false">ABS(C47)+ABS(D47)+ABS(E47)-MAX(ABS(C47),ABS(D47),ABS(E47))-MIN(ABS(C47),ABS(D47),ABS(E47))</f>
        <v>0.0630000000000001</v>
      </c>
      <c r="H47" s="16" t="n">
        <f aca="false">F47-G47</f>
        <v>0.769</v>
      </c>
      <c r="I47" s="13" t="str">
        <f aca="false">IF(F47&lt;0.4,"主負荷&lt;.40",IF(AND(G47&gt;=0.3,H47&lt;0.2),"跨負荷","OK"))</f>
        <v>OK</v>
      </c>
    </row>
    <row r="48" customFormat="false" ht="15" hidden="false" customHeight="false" outlineLevel="0" collapsed="false">
      <c r="A48" s="7" t="s">
        <v>50</v>
      </c>
      <c r="B48" s="8" t="s">
        <v>51</v>
      </c>
      <c r="C48" s="18" t="n">
        <v>0.032</v>
      </c>
      <c r="D48" s="18" t="n">
        <v>0.798</v>
      </c>
      <c r="E48" s="18" t="n">
        <v>0.04</v>
      </c>
      <c r="F48" s="16" t="n">
        <f aca="false">MAX(ABS(C48),ABS(D48),ABS(E48))</f>
        <v>0.798</v>
      </c>
      <c r="G48" s="16" t="n">
        <f aca="false">ABS(C48)+ABS(D48)+ABS(E48)-MAX(ABS(C48),ABS(D48),ABS(E48))-MIN(ABS(C48),ABS(D48),ABS(E48))</f>
        <v>0.0400000000000001</v>
      </c>
      <c r="H48" s="16" t="n">
        <f aca="false">F48-G48</f>
        <v>0.758</v>
      </c>
      <c r="I48" s="13" t="str">
        <f aca="false">IF(F48&lt;0.4,"主負荷&lt;.40",IF(AND(G48&gt;=0.3,H48&lt;0.2),"跨負荷","OK"))</f>
        <v>OK</v>
      </c>
    </row>
    <row r="49" customFormat="false" ht="15" hidden="false" customHeight="false" outlineLevel="0" collapsed="false">
      <c r="A49" s="7" t="s">
        <v>54</v>
      </c>
      <c r="B49" s="8" t="s">
        <v>55</v>
      </c>
      <c r="C49" s="18" t="n">
        <v>0.08</v>
      </c>
      <c r="D49" s="18" t="n">
        <v>0.051</v>
      </c>
      <c r="E49" s="18" t="n">
        <v>0.769</v>
      </c>
      <c r="F49" s="16" t="n">
        <f aca="false">MAX(ABS(C49),ABS(D49),ABS(E49))</f>
        <v>0.769</v>
      </c>
      <c r="G49" s="16" t="n">
        <f aca="false">ABS(C49)+ABS(D49)+ABS(E49)-MAX(ABS(C49),ABS(D49),ABS(E49))-MIN(ABS(C49),ABS(D49),ABS(E49))</f>
        <v>0.08</v>
      </c>
      <c r="H49" s="16" t="n">
        <f aca="false">F49-G49</f>
        <v>0.689</v>
      </c>
      <c r="I49" s="13" t="str">
        <f aca="false">IF(F49&lt;0.4,"主負荷&lt;.40",IF(AND(G49&gt;=0.3,H49&lt;0.2),"跨負荷","OK"))</f>
        <v>OK</v>
      </c>
    </row>
    <row r="50" customFormat="false" ht="15" hidden="false" customHeight="false" outlineLevel="0" collapsed="false">
      <c r="A50" s="7" t="s">
        <v>56</v>
      </c>
      <c r="B50" s="8" t="s">
        <v>57</v>
      </c>
      <c r="C50" s="18" t="n">
        <v>-0.064</v>
      </c>
      <c r="D50" s="18" t="n">
        <v>0.012</v>
      </c>
      <c r="E50" s="18" t="n">
        <v>0.82</v>
      </c>
      <c r="F50" s="16" t="n">
        <f aca="false">MAX(ABS(C50),ABS(D50),ABS(E50))</f>
        <v>0.82</v>
      </c>
      <c r="G50" s="16" t="n">
        <f aca="false">ABS(C50)+ABS(D50)+ABS(E50)-MAX(ABS(C50),ABS(D50),ABS(E50))-MIN(ABS(C50),ABS(D50),ABS(E50))</f>
        <v>0.064</v>
      </c>
      <c r="H50" s="16" t="n">
        <f aca="false">F50-G50</f>
        <v>0.756</v>
      </c>
      <c r="I50" s="13" t="str">
        <f aca="false">IF(F50&lt;0.4,"主負荷&lt;.40",IF(AND(G50&gt;=0.3,H50&lt;0.2),"跨負荷","OK"))</f>
        <v>OK</v>
      </c>
    </row>
    <row r="51" customFormat="false" ht="15" hidden="false" customHeight="false" outlineLevel="0" collapsed="false">
      <c r="A51" s="7" t="s">
        <v>58</v>
      </c>
      <c r="B51" s="8" t="s">
        <v>354</v>
      </c>
      <c r="C51" s="18" t="n">
        <v>-0.057</v>
      </c>
      <c r="D51" s="18" t="n">
        <v>-0.037</v>
      </c>
      <c r="E51" s="18" t="n">
        <v>0.825</v>
      </c>
      <c r="F51" s="16" t="n">
        <f aca="false">MAX(ABS(C51),ABS(D51),ABS(E51))</f>
        <v>0.825</v>
      </c>
      <c r="G51" s="16" t="n">
        <f aca="false">ABS(C51)+ABS(D51)+ABS(E51)-MAX(ABS(C51),ABS(D51),ABS(E51))-MIN(ABS(C51),ABS(D51),ABS(E51))</f>
        <v>0.057</v>
      </c>
      <c r="H51" s="16" t="n">
        <f aca="false">F51-G51</f>
        <v>0.768</v>
      </c>
      <c r="I51" s="13" t="str">
        <f aca="false">IF(F51&lt;0.4,"主負荷&lt;.40",IF(AND(G51&gt;=0.3,H51&lt;0.2),"跨負荷","OK"))</f>
        <v>OK</v>
      </c>
    </row>
    <row r="52" customFormat="false" ht="15" hidden="false" customHeight="false" outlineLevel="0" collapsed="false">
      <c r="A52" s="7" t="s">
        <v>60</v>
      </c>
      <c r="B52" s="8" t="s">
        <v>61</v>
      </c>
      <c r="C52" s="18" t="n">
        <v>0.057</v>
      </c>
      <c r="D52" s="18" t="n">
        <v>-0.018</v>
      </c>
      <c r="E52" s="18" t="n">
        <v>0.764</v>
      </c>
      <c r="F52" s="16" t="n">
        <f aca="false">MAX(ABS(C52),ABS(D52),ABS(E52))</f>
        <v>0.764</v>
      </c>
      <c r="G52" s="16" t="n">
        <f aca="false">ABS(C52)+ABS(D52)+ABS(E52)-MAX(ABS(C52),ABS(D52),ABS(E52))-MIN(ABS(C52),ABS(D52),ABS(E52))</f>
        <v>0.057</v>
      </c>
      <c r="H52" s="16" t="n">
        <f aca="false">F52-G52</f>
        <v>0.707</v>
      </c>
      <c r="I52" s="13" t="str">
        <f aca="false">IF(F52&lt;0.4,"主負荷&lt;.40",IF(AND(G52&gt;=0.3,H52&lt;0.2),"跨負荷","OK"))</f>
        <v>OK</v>
      </c>
    </row>
    <row r="53" customFormat="false" ht="15" hidden="false" customHeight="false" outlineLevel="0" collapsed="false">
      <c r="A53" s="3" t="s">
        <v>387</v>
      </c>
    </row>
    <row r="54" customFormat="false" ht="15" hidden="false" customHeight="false" outlineLevel="0" collapsed="false">
      <c r="B54" s="7" t="s">
        <v>388</v>
      </c>
      <c r="C54" s="18" t="n">
        <v>1</v>
      </c>
      <c r="D54" s="18" t="n">
        <v>0.281</v>
      </c>
      <c r="E54" s="18" t="n">
        <v>0.313</v>
      </c>
    </row>
    <row r="55" customFormat="false" ht="15" hidden="false" customHeight="false" outlineLevel="0" collapsed="false">
      <c r="B55" s="7" t="s">
        <v>389</v>
      </c>
      <c r="C55" s="18" t="n">
        <v>0.281</v>
      </c>
      <c r="D55" s="18" t="n">
        <v>1</v>
      </c>
      <c r="E55" s="18" t="n">
        <v>0.315</v>
      </c>
    </row>
    <row r="56" customFormat="false" ht="15" hidden="false" customHeight="false" outlineLevel="0" collapsed="false">
      <c r="B56" s="7" t="s">
        <v>390</v>
      </c>
      <c r="C56" s="18" t="n">
        <v>0.313</v>
      </c>
      <c r="D56" s="18" t="n">
        <v>0.315</v>
      </c>
      <c r="E56" s="18" t="n"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7.15" hidden="false" customHeight="false" outlineLevel="0" collapsed="false">
      <c r="A1" s="6" t="s">
        <v>69</v>
      </c>
      <c r="B1" s="6" t="s">
        <v>30</v>
      </c>
      <c r="C1" s="6" t="s">
        <v>32</v>
      </c>
      <c r="D1" s="6" t="s">
        <v>34</v>
      </c>
      <c r="E1" s="6" t="s">
        <v>36</v>
      </c>
      <c r="F1" s="6" t="s">
        <v>42</v>
      </c>
      <c r="G1" s="6" t="s">
        <v>44</v>
      </c>
      <c r="H1" s="6" t="s">
        <v>46</v>
      </c>
      <c r="I1" s="6" t="s">
        <v>50</v>
      </c>
      <c r="J1" s="6" t="s">
        <v>54</v>
      </c>
      <c r="K1" s="6" t="s">
        <v>56</v>
      </c>
      <c r="L1" s="6" t="s">
        <v>58</v>
      </c>
      <c r="M1" s="6" t="s">
        <v>60</v>
      </c>
      <c r="N1" s="5" t="s">
        <v>392</v>
      </c>
    </row>
    <row r="2" customFormat="false" ht="15" hidden="false" customHeight="false" outlineLevel="0" collapsed="false">
      <c r="A2" s="7" t="s">
        <v>393</v>
      </c>
      <c r="B2" s="9" t="n">
        <v>3</v>
      </c>
      <c r="C2" s="9" t="n">
        <v>4</v>
      </c>
      <c r="D2" s="9" t="n">
        <v>4</v>
      </c>
      <c r="E2" s="9" t="n">
        <v>4</v>
      </c>
      <c r="F2" s="9" t="n">
        <v>3</v>
      </c>
      <c r="G2" s="9" t="n">
        <v>3</v>
      </c>
      <c r="H2" s="9" t="n">
        <v>3</v>
      </c>
      <c r="I2" s="9" t="n">
        <v>3</v>
      </c>
      <c r="J2" s="9" t="n">
        <v>5</v>
      </c>
      <c r="K2" s="9" t="n">
        <v>4</v>
      </c>
      <c r="L2" s="9" t="n">
        <v>5</v>
      </c>
      <c r="M2" s="9" t="n">
        <v>5</v>
      </c>
      <c r="N2" s="10" t="n">
        <f aca="false">AVERAGE(B2:M2)</f>
        <v>3.83333333333333</v>
      </c>
    </row>
    <row r="3" customFormat="false" ht="15" hidden="false" customHeight="false" outlineLevel="0" collapsed="false">
      <c r="A3" s="7" t="s">
        <v>394</v>
      </c>
      <c r="B3" s="9" t="n">
        <v>2</v>
      </c>
      <c r="C3" s="9" t="n">
        <v>2</v>
      </c>
      <c r="D3" s="9" t="n">
        <v>2</v>
      </c>
      <c r="E3" s="9" t="n">
        <v>3</v>
      </c>
      <c r="F3" s="9" t="n">
        <v>3</v>
      </c>
      <c r="G3" s="9" t="n">
        <v>3</v>
      </c>
      <c r="H3" s="9" t="n">
        <v>4</v>
      </c>
      <c r="I3" s="9" t="n">
        <v>2</v>
      </c>
      <c r="J3" s="9" t="n">
        <v>4</v>
      </c>
      <c r="K3" s="9" t="n">
        <v>4</v>
      </c>
      <c r="L3" s="9" t="n">
        <v>3</v>
      </c>
      <c r="M3" s="9" t="n">
        <v>4</v>
      </c>
      <c r="N3" s="10" t="n">
        <f aca="false">AVERAGE(B3:M3)</f>
        <v>3</v>
      </c>
    </row>
    <row r="4" customFormat="false" ht="15" hidden="false" customHeight="false" outlineLevel="0" collapsed="false">
      <c r="A4" s="7" t="s">
        <v>395</v>
      </c>
      <c r="B4" s="9" t="n">
        <v>3</v>
      </c>
      <c r="C4" s="9" t="n">
        <v>4</v>
      </c>
      <c r="D4" s="9" t="n">
        <v>3</v>
      </c>
      <c r="E4" s="9" t="n">
        <v>3</v>
      </c>
      <c r="F4" s="9" t="n">
        <v>3</v>
      </c>
      <c r="G4" s="9" t="n">
        <v>3</v>
      </c>
      <c r="H4" s="9" t="n">
        <v>4</v>
      </c>
      <c r="I4" s="9" t="n">
        <v>4</v>
      </c>
      <c r="J4" s="9" t="n">
        <v>3</v>
      </c>
      <c r="K4" s="9" t="n">
        <v>4</v>
      </c>
      <c r="L4" s="9" t="n">
        <v>3</v>
      </c>
      <c r="M4" s="9" t="n">
        <v>3</v>
      </c>
      <c r="N4" s="10" t="n">
        <f aca="false">AVERAGE(B4:M4)</f>
        <v>3.33333333333333</v>
      </c>
    </row>
    <row r="5" customFormat="false" ht="15" hidden="false" customHeight="false" outlineLevel="0" collapsed="false">
      <c r="A5" s="7" t="s">
        <v>396</v>
      </c>
      <c r="B5" s="9" t="n">
        <v>5</v>
      </c>
      <c r="C5" s="9" t="n">
        <v>5</v>
      </c>
      <c r="D5" s="9" t="n">
        <v>5</v>
      </c>
      <c r="E5" s="9" t="n">
        <v>5</v>
      </c>
      <c r="F5" s="9" t="n">
        <v>4</v>
      </c>
      <c r="G5" s="9" t="n">
        <v>4</v>
      </c>
      <c r="H5" s="9" t="n">
        <v>4</v>
      </c>
      <c r="I5" s="9" t="n">
        <v>4</v>
      </c>
      <c r="J5" s="9" t="n">
        <v>4</v>
      </c>
      <c r="K5" s="9" t="n">
        <v>4</v>
      </c>
      <c r="L5" s="9" t="n">
        <v>5</v>
      </c>
      <c r="M5" s="9" t="n">
        <v>4</v>
      </c>
      <c r="N5" s="10" t="n">
        <f aca="false">AVERAGE(B5:M5)</f>
        <v>4.41666666666667</v>
      </c>
    </row>
    <row r="6" customFormat="false" ht="15" hidden="false" customHeight="false" outlineLevel="0" collapsed="false">
      <c r="A6" s="7" t="s">
        <v>397</v>
      </c>
      <c r="B6" s="9" t="n">
        <v>4</v>
      </c>
      <c r="C6" s="9" t="n">
        <v>3</v>
      </c>
      <c r="D6" s="9" t="n">
        <v>3</v>
      </c>
      <c r="E6" s="9" t="n">
        <v>3</v>
      </c>
      <c r="F6" s="9" t="n">
        <v>2</v>
      </c>
      <c r="G6" s="9" t="n">
        <v>4</v>
      </c>
      <c r="H6" s="9" t="n">
        <v>1</v>
      </c>
      <c r="I6" s="9" t="n">
        <v>2</v>
      </c>
      <c r="J6" s="9" t="n">
        <v>4</v>
      </c>
      <c r="K6" s="9" t="n">
        <v>4</v>
      </c>
      <c r="L6" s="9" t="n">
        <v>2</v>
      </c>
      <c r="M6" s="9" t="n">
        <v>4</v>
      </c>
      <c r="N6" s="10" t="n">
        <f aca="false">AVERAGE(B6:M6)</f>
        <v>3</v>
      </c>
    </row>
    <row r="7" customFormat="false" ht="15" hidden="false" customHeight="false" outlineLevel="0" collapsed="false">
      <c r="A7" s="7" t="s">
        <v>398</v>
      </c>
      <c r="B7" s="9" t="n">
        <v>5</v>
      </c>
      <c r="C7" s="9" t="n">
        <v>5</v>
      </c>
      <c r="D7" s="9" t="n">
        <v>5</v>
      </c>
      <c r="E7" s="9" t="n">
        <v>5</v>
      </c>
      <c r="F7" s="9" t="n">
        <v>5</v>
      </c>
      <c r="G7" s="9" t="n">
        <v>5</v>
      </c>
      <c r="H7" s="9" t="n">
        <v>5</v>
      </c>
      <c r="I7" s="9" t="n">
        <v>4</v>
      </c>
      <c r="J7" s="9" t="n">
        <v>4</v>
      </c>
      <c r="K7" s="9" t="n">
        <v>5</v>
      </c>
      <c r="L7" s="9" t="n">
        <v>5</v>
      </c>
      <c r="M7" s="9" t="n">
        <v>5</v>
      </c>
      <c r="N7" s="10" t="n">
        <f aca="false">AVERAGE(B7:M7)</f>
        <v>4.83333333333333</v>
      </c>
    </row>
    <row r="8" customFormat="false" ht="15" hidden="false" customHeight="false" outlineLevel="0" collapsed="false">
      <c r="A8" s="7" t="s">
        <v>399</v>
      </c>
      <c r="B8" s="9" t="n">
        <v>2</v>
      </c>
      <c r="C8" s="9" t="n">
        <v>2</v>
      </c>
      <c r="D8" s="9" t="n">
        <v>2</v>
      </c>
      <c r="E8" s="9" t="n">
        <v>3</v>
      </c>
      <c r="F8" s="9" t="n">
        <v>2</v>
      </c>
      <c r="G8" s="9" t="n">
        <v>3</v>
      </c>
      <c r="H8" s="9" t="n">
        <v>2</v>
      </c>
      <c r="I8" s="9" t="n">
        <v>2</v>
      </c>
      <c r="J8" s="9" t="n">
        <v>3</v>
      </c>
      <c r="K8" s="9" t="n">
        <v>3</v>
      </c>
      <c r="L8" s="9" t="n">
        <v>3</v>
      </c>
      <c r="M8" s="9" t="n">
        <v>3</v>
      </c>
      <c r="N8" s="10" t="n">
        <f aca="false">AVERAGE(B8:M8)</f>
        <v>2.5</v>
      </c>
    </row>
    <row r="9" customFormat="false" ht="15" hidden="false" customHeight="false" outlineLevel="0" collapsed="false">
      <c r="A9" s="7" t="s">
        <v>400</v>
      </c>
      <c r="B9" s="9" t="n">
        <v>2</v>
      </c>
      <c r="C9" s="9" t="n">
        <v>2</v>
      </c>
      <c r="D9" s="9" t="n">
        <v>2</v>
      </c>
      <c r="E9" s="9" t="n">
        <v>2</v>
      </c>
      <c r="F9" s="9" t="n">
        <v>4</v>
      </c>
      <c r="G9" s="9" t="n">
        <v>4</v>
      </c>
      <c r="H9" s="9" t="n">
        <v>4</v>
      </c>
      <c r="I9" s="9" t="n">
        <v>3</v>
      </c>
      <c r="J9" s="9" t="n">
        <v>3</v>
      </c>
      <c r="K9" s="9" t="n">
        <v>4</v>
      </c>
      <c r="L9" s="9" t="n">
        <v>3</v>
      </c>
      <c r="M9" s="9" t="n">
        <v>2</v>
      </c>
      <c r="N9" s="10" t="n">
        <f aca="false">AVERAGE(B9:M9)</f>
        <v>2.91666666666667</v>
      </c>
    </row>
    <row r="10" customFormat="false" ht="15" hidden="false" customHeight="false" outlineLevel="0" collapsed="false">
      <c r="A10" s="7" t="s">
        <v>401</v>
      </c>
      <c r="B10" s="9" t="n">
        <v>5</v>
      </c>
      <c r="C10" s="9" t="n">
        <v>4</v>
      </c>
      <c r="D10" s="9" t="n">
        <v>4</v>
      </c>
      <c r="E10" s="9" t="n">
        <v>4</v>
      </c>
      <c r="F10" s="9" t="n">
        <v>4</v>
      </c>
      <c r="G10" s="9" t="n">
        <v>4</v>
      </c>
      <c r="H10" s="9" t="n">
        <v>4</v>
      </c>
      <c r="I10" s="9" t="n">
        <v>4</v>
      </c>
      <c r="J10" s="9" t="n">
        <v>4</v>
      </c>
      <c r="K10" s="9" t="n">
        <v>2</v>
      </c>
      <c r="L10" s="9" t="n">
        <v>3</v>
      </c>
      <c r="M10" s="9" t="n">
        <v>2</v>
      </c>
      <c r="N10" s="10" t="n">
        <f aca="false">AVERAGE(B10:M10)</f>
        <v>3.66666666666667</v>
      </c>
    </row>
    <row r="11" customFormat="false" ht="15" hidden="false" customHeight="false" outlineLevel="0" collapsed="false">
      <c r="A11" s="7" t="s">
        <v>402</v>
      </c>
      <c r="B11" s="9" t="n">
        <v>3</v>
      </c>
      <c r="C11" s="9" t="n">
        <v>3</v>
      </c>
      <c r="D11" s="9" t="n">
        <v>2</v>
      </c>
      <c r="E11" s="9" t="n">
        <v>3</v>
      </c>
      <c r="F11" s="9" t="n">
        <v>3</v>
      </c>
      <c r="G11" s="9" t="n">
        <v>3</v>
      </c>
      <c r="H11" s="9" t="n">
        <v>2</v>
      </c>
      <c r="I11" s="9" t="n">
        <v>3</v>
      </c>
      <c r="J11" s="9" t="n">
        <v>2</v>
      </c>
      <c r="K11" s="9" t="n">
        <v>2</v>
      </c>
      <c r="L11" s="9" t="n">
        <v>3</v>
      </c>
      <c r="M11" s="9" t="n">
        <v>2</v>
      </c>
      <c r="N11" s="10" t="n">
        <f aca="false">AVERAGE(B11:M11)</f>
        <v>2.58333333333333</v>
      </c>
    </row>
    <row r="12" customFormat="false" ht="15" hidden="false" customHeight="false" outlineLevel="0" collapsed="false">
      <c r="A12" s="7" t="s">
        <v>403</v>
      </c>
      <c r="B12" s="9" t="n">
        <v>4</v>
      </c>
      <c r="C12" s="9" t="n">
        <v>4</v>
      </c>
      <c r="D12" s="9" t="n">
        <v>4</v>
      </c>
      <c r="E12" s="9" t="n">
        <v>3</v>
      </c>
      <c r="F12" s="9" t="n">
        <v>4</v>
      </c>
      <c r="G12" s="9" t="n">
        <v>4</v>
      </c>
      <c r="H12" s="9" t="n">
        <v>4</v>
      </c>
      <c r="I12" s="9" t="n">
        <v>5</v>
      </c>
      <c r="J12" s="9" t="n">
        <v>5</v>
      </c>
      <c r="K12" s="9" t="n">
        <v>3</v>
      </c>
      <c r="L12" s="9" t="n">
        <v>4</v>
      </c>
      <c r="M12" s="9" t="n">
        <v>4</v>
      </c>
      <c r="N12" s="10" t="n">
        <f aca="false">AVERAGE(B12:M12)</f>
        <v>4</v>
      </c>
    </row>
    <row r="13" customFormat="false" ht="15" hidden="false" customHeight="false" outlineLevel="0" collapsed="false">
      <c r="A13" s="7" t="s">
        <v>404</v>
      </c>
      <c r="B13" s="9" t="n">
        <v>2</v>
      </c>
      <c r="C13" s="9" t="n">
        <v>3</v>
      </c>
      <c r="D13" s="9" t="n">
        <v>3</v>
      </c>
      <c r="E13" s="9" t="n">
        <v>3</v>
      </c>
      <c r="F13" s="9" t="n">
        <v>3</v>
      </c>
      <c r="G13" s="9" t="n">
        <v>4</v>
      </c>
      <c r="H13" s="9" t="n">
        <v>4</v>
      </c>
      <c r="I13" s="9" t="n">
        <v>3</v>
      </c>
      <c r="J13" s="9" t="n">
        <v>4</v>
      </c>
      <c r="K13" s="9" t="n">
        <v>4</v>
      </c>
      <c r="L13" s="9" t="n">
        <v>3</v>
      </c>
      <c r="M13" s="9" t="n">
        <v>4</v>
      </c>
      <c r="N13" s="10" t="n">
        <f aca="false">AVERAGE(B13:M13)</f>
        <v>3.33333333333333</v>
      </c>
    </row>
    <row r="14" customFormat="false" ht="15" hidden="false" customHeight="false" outlineLevel="0" collapsed="false">
      <c r="A14" s="7" t="s">
        <v>405</v>
      </c>
      <c r="B14" s="9" t="n">
        <v>4</v>
      </c>
      <c r="C14" s="9" t="n">
        <v>3</v>
      </c>
      <c r="D14" s="9" t="n">
        <v>3</v>
      </c>
      <c r="E14" s="9" t="n">
        <v>3</v>
      </c>
      <c r="F14" s="9" t="n">
        <v>4</v>
      </c>
      <c r="G14" s="9" t="n">
        <v>4</v>
      </c>
      <c r="H14" s="9" t="n">
        <v>4</v>
      </c>
      <c r="I14" s="9" t="n">
        <v>5</v>
      </c>
      <c r="J14" s="9" t="n">
        <v>5</v>
      </c>
      <c r="K14" s="9" t="n">
        <v>5</v>
      </c>
      <c r="L14" s="9" t="n">
        <v>5</v>
      </c>
      <c r="M14" s="9" t="n">
        <v>5</v>
      </c>
      <c r="N14" s="10" t="n">
        <f aca="false">AVERAGE(B14:M14)</f>
        <v>4.16666666666667</v>
      </c>
    </row>
    <row r="15" customFormat="false" ht="15" hidden="false" customHeight="false" outlineLevel="0" collapsed="false">
      <c r="A15" s="7" t="s">
        <v>406</v>
      </c>
      <c r="B15" s="9" t="n">
        <v>5</v>
      </c>
      <c r="C15" s="9" t="n">
        <v>3</v>
      </c>
      <c r="D15" s="9" t="n">
        <v>3</v>
      </c>
      <c r="E15" s="9" t="n">
        <v>4</v>
      </c>
      <c r="F15" s="9" t="n">
        <v>5</v>
      </c>
      <c r="G15" s="9" t="n">
        <v>5</v>
      </c>
      <c r="H15" s="9" t="n">
        <v>5</v>
      </c>
      <c r="I15" s="9" t="n">
        <v>4</v>
      </c>
      <c r="J15" s="9" t="n">
        <v>4</v>
      </c>
      <c r="K15" s="9" t="n">
        <v>5</v>
      </c>
      <c r="L15" s="9" t="n">
        <v>4</v>
      </c>
      <c r="M15" s="9" t="n">
        <v>5</v>
      </c>
      <c r="N15" s="10" t="n">
        <f aca="false">AVERAGE(B15:M15)</f>
        <v>4.33333333333333</v>
      </c>
    </row>
    <row r="16" customFormat="false" ht="15" hidden="false" customHeight="false" outlineLevel="0" collapsed="false">
      <c r="A16" s="7" t="s">
        <v>407</v>
      </c>
      <c r="B16" s="9" t="n">
        <v>3</v>
      </c>
      <c r="C16" s="9" t="n">
        <v>4</v>
      </c>
      <c r="D16" s="9" t="n">
        <v>4</v>
      </c>
      <c r="E16" s="9" t="n">
        <v>4</v>
      </c>
      <c r="F16" s="9" t="n">
        <v>5</v>
      </c>
      <c r="G16" s="9" t="n">
        <v>5</v>
      </c>
      <c r="H16" s="9" t="n">
        <v>4</v>
      </c>
      <c r="I16" s="9" t="n">
        <v>4</v>
      </c>
      <c r="J16" s="9" t="n">
        <v>5</v>
      </c>
      <c r="K16" s="9" t="n">
        <v>5</v>
      </c>
      <c r="L16" s="9" t="n">
        <v>4</v>
      </c>
      <c r="M16" s="9" t="n">
        <v>4</v>
      </c>
      <c r="N16" s="10" t="n">
        <f aca="false">AVERAGE(B16:M16)</f>
        <v>4.25</v>
      </c>
    </row>
    <row r="17" customFormat="false" ht="15" hidden="false" customHeight="false" outlineLevel="0" collapsed="false">
      <c r="A17" s="7" t="s">
        <v>408</v>
      </c>
      <c r="B17" s="9" t="n">
        <v>4</v>
      </c>
      <c r="C17" s="9" t="n">
        <v>4</v>
      </c>
      <c r="D17" s="9" t="n">
        <v>4</v>
      </c>
      <c r="E17" s="9" t="n">
        <v>5</v>
      </c>
      <c r="F17" s="9" t="n">
        <v>4</v>
      </c>
      <c r="G17" s="9" t="n">
        <v>5</v>
      </c>
      <c r="H17" s="9" t="n">
        <v>4</v>
      </c>
      <c r="I17" s="9" t="n">
        <v>4</v>
      </c>
      <c r="J17" s="9" t="n">
        <v>5</v>
      </c>
      <c r="K17" s="9" t="n">
        <v>5</v>
      </c>
      <c r="L17" s="9" t="n">
        <v>3</v>
      </c>
      <c r="M17" s="9" t="n">
        <v>4</v>
      </c>
      <c r="N17" s="10" t="n">
        <f aca="false">AVERAGE(B17:M17)</f>
        <v>4.25</v>
      </c>
    </row>
    <row r="18" customFormat="false" ht="15" hidden="false" customHeight="false" outlineLevel="0" collapsed="false">
      <c r="A18" s="7" t="s">
        <v>409</v>
      </c>
      <c r="B18" s="9" t="n">
        <v>5</v>
      </c>
      <c r="C18" s="9" t="n">
        <v>3</v>
      </c>
      <c r="D18" s="9" t="n">
        <v>4</v>
      </c>
      <c r="E18" s="9" t="n">
        <v>4</v>
      </c>
      <c r="F18" s="9" t="n">
        <v>3</v>
      </c>
      <c r="G18" s="9" t="n">
        <v>3</v>
      </c>
      <c r="H18" s="9" t="n">
        <v>3</v>
      </c>
      <c r="I18" s="9" t="n">
        <v>4</v>
      </c>
      <c r="J18" s="9" t="n">
        <v>3</v>
      </c>
      <c r="K18" s="9" t="n">
        <v>4</v>
      </c>
      <c r="L18" s="9" t="n">
        <v>3</v>
      </c>
      <c r="M18" s="9" t="n">
        <v>3</v>
      </c>
      <c r="N18" s="10" t="n">
        <f aca="false">AVERAGE(B18:M18)</f>
        <v>3.5</v>
      </c>
    </row>
    <row r="19" customFormat="false" ht="15" hidden="false" customHeight="false" outlineLevel="0" collapsed="false">
      <c r="A19" s="7" t="s">
        <v>410</v>
      </c>
      <c r="B19" s="9" t="n">
        <v>5</v>
      </c>
      <c r="C19" s="9" t="n">
        <v>5</v>
      </c>
      <c r="D19" s="9" t="n">
        <v>5</v>
      </c>
      <c r="E19" s="9" t="n">
        <v>4</v>
      </c>
      <c r="F19" s="9" t="n">
        <v>5</v>
      </c>
      <c r="G19" s="9" t="n">
        <v>5</v>
      </c>
      <c r="H19" s="9" t="n">
        <v>4</v>
      </c>
      <c r="I19" s="9" t="n">
        <v>5</v>
      </c>
      <c r="J19" s="9" t="n">
        <v>3</v>
      </c>
      <c r="K19" s="9" t="n">
        <v>4</v>
      </c>
      <c r="L19" s="9" t="n">
        <v>3</v>
      </c>
      <c r="M19" s="9" t="n">
        <v>4</v>
      </c>
      <c r="N19" s="10" t="n">
        <f aca="false">AVERAGE(B19:M19)</f>
        <v>4.33333333333333</v>
      </c>
    </row>
    <row r="20" customFormat="false" ht="15" hidden="false" customHeight="false" outlineLevel="0" collapsed="false">
      <c r="A20" s="7" t="s">
        <v>411</v>
      </c>
      <c r="B20" s="9" t="n">
        <v>4</v>
      </c>
      <c r="C20" s="9" t="n">
        <v>4</v>
      </c>
      <c r="D20" s="9" t="n">
        <v>3</v>
      </c>
      <c r="E20" s="9" t="n">
        <v>4</v>
      </c>
      <c r="F20" s="9" t="n">
        <v>4</v>
      </c>
      <c r="G20" s="9" t="n">
        <v>3</v>
      </c>
      <c r="H20" s="9" t="n">
        <v>3</v>
      </c>
      <c r="I20" s="9" t="n">
        <v>2</v>
      </c>
      <c r="J20" s="9" t="n">
        <v>5</v>
      </c>
      <c r="K20" s="9" t="n">
        <v>4</v>
      </c>
      <c r="L20" s="9" t="n">
        <v>4</v>
      </c>
      <c r="M20" s="9" t="n">
        <v>3</v>
      </c>
      <c r="N20" s="10" t="n">
        <f aca="false">AVERAGE(B20:M20)</f>
        <v>3.58333333333333</v>
      </c>
    </row>
    <row r="21" customFormat="false" ht="15" hidden="false" customHeight="false" outlineLevel="0" collapsed="false">
      <c r="A21" s="7" t="s">
        <v>412</v>
      </c>
      <c r="B21" s="9" t="n">
        <v>2</v>
      </c>
      <c r="C21" s="9" t="n">
        <v>4</v>
      </c>
      <c r="D21" s="9" t="n">
        <v>3</v>
      </c>
      <c r="E21" s="9" t="n">
        <v>3</v>
      </c>
      <c r="F21" s="9" t="n">
        <v>5</v>
      </c>
      <c r="G21" s="9" t="n">
        <v>5</v>
      </c>
      <c r="H21" s="9" t="n">
        <v>4</v>
      </c>
      <c r="I21" s="9" t="n">
        <v>4</v>
      </c>
      <c r="J21" s="9" t="n">
        <v>4</v>
      </c>
      <c r="K21" s="9" t="n">
        <v>4</v>
      </c>
      <c r="L21" s="9" t="n">
        <v>4</v>
      </c>
      <c r="M21" s="9" t="n">
        <v>4</v>
      </c>
      <c r="N21" s="10" t="n">
        <f aca="false">AVERAGE(B21:M21)</f>
        <v>3.83333333333333</v>
      </c>
    </row>
    <row r="22" customFormat="false" ht="15" hidden="false" customHeight="false" outlineLevel="0" collapsed="false">
      <c r="A22" s="7" t="s">
        <v>413</v>
      </c>
      <c r="B22" s="9" t="n">
        <v>5</v>
      </c>
      <c r="C22" s="9" t="n">
        <v>4</v>
      </c>
      <c r="D22" s="9" t="n">
        <v>4</v>
      </c>
      <c r="E22" s="9" t="n">
        <v>4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4</v>
      </c>
      <c r="K22" s="9" t="n">
        <v>4</v>
      </c>
      <c r="L22" s="9" t="n">
        <v>4</v>
      </c>
      <c r="M22" s="9" t="n">
        <v>4</v>
      </c>
      <c r="N22" s="10" t="n">
        <f aca="false">AVERAGE(B22:M22)</f>
        <v>3.75</v>
      </c>
    </row>
    <row r="23" customFormat="false" ht="15" hidden="false" customHeight="false" outlineLevel="0" collapsed="false">
      <c r="A23" s="7" t="s">
        <v>414</v>
      </c>
      <c r="B23" s="9" t="n">
        <v>4</v>
      </c>
      <c r="C23" s="9" t="n">
        <v>4</v>
      </c>
      <c r="D23" s="9" t="n">
        <v>4</v>
      </c>
      <c r="E23" s="9" t="n">
        <v>4</v>
      </c>
      <c r="F23" s="9" t="n">
        <v>4</v>
      </c>
      <c r="G23" s="9" t="n">
        <v>5</v>
      </c>
      <c r="H23" s="9" t="n">
        <v>4</v>
      </c>
      <c r="I23" s="9" t="n">
        <v>4</v>
      </c>
      <c r="J23" s="9" t="n">
        <v>3</v>
      </c>
      <c r="K23" s="9" t="n">
        <v>3</v>
      </c>
      <c r="L23" s="9" t="n">
        <v>1</v>
      </c>
      <c r="M23" s="9" t="n">
        <v>2</v>
      </c>
      <c r="N23" s="10" t="n">
        <f aca="false">AVERAGE(B23:M23)</f>
        <v>3.5</v>
      </c>
    </row>
    <row r="24" customFormat="false" ht="15" hidden="false" customHeight="false" outlineLevel="0" collapsed="false">
      <c r="A24" s="7" t="s">
        <v>415</v>
      </c>
      <c r="B24" s="9" t="n">
        <v>5</v>
      </c>
      <c r="C24" s="9" t="n">
        <v>5</v>
      </c>
      <c r="D24" s="9" t="n">
        <v>5</v>
      </c>
      <c r="E24" s="9" t="n">
        <v>4</v>
      </c>
      <c r="F24" s="9" t="n">
        <v>5</v>
      </c>
      <c r="G24" s="9" t="n">
        <v>5</v>
      </c>
      <c r="H24" s="9" t="n">
        <v>4</v>
      </c>
      <c r="I24" s="9" t="n">
        <v>5</v>
      </c>
      <c r="J24" s="9" t="n">
        <v>4</v>
      </c>
      <c r="K24" s="9" t="n">
        <v>4</v>
      </c>
      <c r="L24" s="9" t="n">
        <v>3</v>
      </c>
      <c r="M24" s="9" t="n">
        <v>3</v>
      </c>
      <c r="N24" s="10" t="n">
        <f aca="false">AVERAGE(B24:M24)</f>
        <v>4.33333333333333</v>
      </c>
    </row>
    <row r="25" customFormat="false" ht="15" hidden="false" customHeight="false" outlineLevel="0" collapsed="false">
      <c r="A25" s="7" t="s">
        <v>416</v>
      </c>
      <c r="B25" s="9" t="n">
        <v>4</v>
      </c>
      <c r="C25" s="9" t="n">
        <v>4</v>
      </c>
      <c r="D25" s="9" t="n">
        <v>5</v>
      </c>
      <c r="E25" s="9" t="n">
        <v>4</v>
      </c>
      <c r="F25" s="9" t="n">
        <v>4</v>
      </c>
      <c r="G25" s="9" t="n">
        <v>3</v>
      </c>
      <c r="H25" s="9" t="n">
        <v>4</v>
      </c>
      <c r="I25" s="9" t="n">
        <v>4</v>
      </c>
      <c r="J25" s="9" t="n">
        <v>3</v>
      </c>
      <c r="K25" s="9" t="n">
        <v>3</v>
      </c>
      <c r="L25" s="9" t="n">
        <v>4</v>
      </c>
      <c r="M25" s="9" t="n">
        <v>4</v>
      </c>
      <c r="N25" s="10" t="n">
        <f aca="false">AVERAGE(B25:M25)</f>
        <v>3.83333333333333</v>
      </c>
    </row>
    <row r="26" customFormat="false" ht="15" hidden="false" customHeight="false" outlineLevel="0" collapsed="false">
      <c r="A26" s="7" t="s">
        <v>417</v>
      </c>
      <c r="B26" s="9" t="n">
        <v>3</v>
      </c>
      <c r="C26" s="9" t="n">
        <v>3</v>
      </c>
      <c r="D26" s="9" t="n">
        <v>3</v>
      </c>
      <c r="E26" s="9" t="n">
        <v>3</v>
      </c>
      <c r="F26" s="9" t="n">
        <v>3</v>
      </c>
      <c r="G26" s="9" t="n">
        <v>2</v>
      </c>
      <c r="H26" s="9" t="n">
        <v>3</v>
      </c>
      <c r="I26" s="9" t="n">
        <v>4</v>
      </c>
      <c r="J26" s="9" t="n">
        <v>4</v>
      </c>
      <c r="K26" s="9" t="n">
        <v>4</v>
      </c>
      <c r="L26" s="9" t="n">
        <v>2</v>
      </c>
      <c r="M26" s="9" t="n">
        <v>3</v>
      </c>
      <c r="N26" s="10" t="n">
        <f aca="false">AVERAGE(B26:M26)</f>
        <v>3.08333333333333</v>
      </c>
    </row>
    <row r="27" customFormat="false" ht="15" hidden="false" customHeight="false" outlineLevel="0" collapsed="false">
      <c r="A27" s="7" t="s">
        <v>418</v>
      </c>
      <c r="B27" s="9" t="n">
        <v>4</v>
      </c>
      <c r="C27" s="9" t="n">
        <v>4</v>
      </c>
      <c r="D27" s="9" t="n">
        <v>5</v>
      </c>
      <c r="E27" s="9" t="n">
        <v>4</v>
      </c>
      <c r="F27" s="9" t="n">
        <v>5</v>
      </c>
      <c r="G27" s="9" t="n">
        <v>4</v>
      </c>
      <c r="H27" s="9" t="n">
        <v>4</v>
      </c>
      <c r="I27" s="9" t="n">
        <v>4</v>
      </c>
      <c r="J27" s="9" t="n">
        <v>4</v>
      </c>
      <c r="K27" s="9" t="n">
        <v>4</v>
      </c>
      <c r="L27" s="9" t="n">
        <v>5</v>
      </c>
      <c r="M27" s="9" t="n">
        <v>4</v>
      </c>
      <c r="N27" s="10" t="n">
        <f aca="false">AVERAGE(B27:M27)</f>
        <v>4.25</v>
      </c>
    </row>
    <row r="28" customFormat="false" ht="15" hidden="false" customHeight="false" outlineLevel="0" collapsed="false">
      <c r="A28" s="7" t="s">
        <v>419</v>
      </c>
      <c r="B28" s="9" t="n">
        <v>4</v>
      </c>
      <c r="C28" s="9" t="n">
        <v>5</v>
      </c>
      <c r="D28" s="9" t="n">
        <v>5</v>
      </c>
      <c r="E28" s="9" t="n">
        <v>4</v>
      </c>
      <c r="F28" s="9" t="n">
        <v>4</v>
      </c>
      <c r="G28" s="9" t="n">
        <v>4</v>
      </c>
      <c r="H28" s="9" t="n">
        <v>3</v>
      </c>
      <c r="I28" s="9" t="n">
        <v>4</v>
      </c>
      <c r="J28" s="9" t="n">
        <v>4</v>
      </c>
      <c r="K28" s="9" t="n">
        <v>3</v>
      </c>
      <c r="L28" s="9" t="n">
        <v>3</v>
      </c>
      <c r="M28" s="9" t="n">
        <v>4</v>
      </c>
      <c r="N28" s="10" t="n">
        <f aca="false">AVERAGE(B28:M28)</f>
        <v>3.91666666666667</v>
      </c>
    </row>
    <row r="29" customFormat="false" ht="15" hidden="false" customHeight="false" outlineLevel="0" collapsed="false">
      <c r="A29" s="7" t="s">
        <v>420</v>
      </c>
      <c r="B29" s="9" t="n">
        <v>2</v>
      </c>
      <c r="C29" s="9" t="n">
        <v>1</v>
      </c>
      <c r="D29" s="9" t="n">
        <v>1</v>
      </c>
      <c r="E29" s="9" t="n">
        <v>2</v>
      </c>
      <c r="F29" s="9" t="n">
        <v>2</v>
      </c>
      <c r="G29" s="9" t="n">
        <v>2</v>
      </c>
      <c r="H29" s="9" t="n">
        <v>1</v>
      </c>
      <c r="I29" s="9" t="n">
        <v>2</v>
      </c>
      <c r="J29" s="9" t="n">
        <v>3</v>
      </c>
      <c r="K29" s="9" t="n">
        <v>3</v>
      </c>
      <c r="L29" s="9" t="n">
        <v>3</v>
      </c>
      <c r="M29" s="9" t="n">
        <v>3</v>
      </c>
      <c r="N29" s="10" t="n">
        <f aca="false">AVERAGE(B29:M29)</f>
        <v>2.08333333333333</v>
      </c>
    </row>
    <row r="30" customFormat="false" ht="15" hidden="false" customHeight="false" outlineLevel="0" collapsed="false">
      <c r="A30" s="7" t="s">
        <v>421</v>
      </c>
      <c r="B30" s="9" t="n">
        <v>4</v>
      </c>
      <c r="C30" s="9" t="n">
        <v>5</v>
      </c>
      <c r="D30" s="9" t="n">
        <v>3</v>
      </c>
      <c r="E30" s="9" t="n">
        <v>4</v>
      </c>
      <c r="F30" s="9" t="n">
        <v>4</v>
      </c>
      <c r="G30" s="9" t="n">
        <v>4</v>
      </c>
      <c r="H30" s="9" t="n">
        <v>4</v>
      </c>
      <c r="I30" s="9" t="n">
        <v>4</v>
      </c>
      <c r="J30" s="9" t="n">
        <v>5</v>
      </c>
      <c r="K30" s="9" t="n">
        <v>5</v>
      </c>
      <c r="L30" s="9" t="n">
        <v>5</v>
      </c>
      <c r="M30" s="9" t="n">
        <v>4</v>
      </c>
      <c r="N30" s="10" t="n">
        <f aca="false">AVERAGE(B30:M30)</f>
        <v>4.25</v>
      </c>
    </row>
    <row r="31" customFormat="false" ht="15" hidden="false" customHeight="false" outlineLevel="0" collapsed="false">
      <c r="A31" s="7" t="s">
        <v>422</v>
      </c>
      <c r="B31" s="9" t="n">
        <v>3</v>
      </c>
      <c r="C31" s="9" t="n">
        <v>3</v>
      </c>
      <c r="D31" s="9" t="n">
        <v>3</v>
      </c>
      <c r="E31" s="9" t="n">
        <v>2</v>
      </c>
      <c r="F31" s="9" t="n">
        <v>5</v>
      </c>
      <c r="G31" s="9" t="n">
        <v>5</v>
      </c>
      <c r="H31" s="9" t="n">
        <v>5</v>
      </c>
      <c r="I31" s="9" t="n">
        <v>5</v>
      </c>
      <c r="J31" s="9" t="n">
        <v>3</v>
      </c>
      <c r="K31" s="9" t="n">
        <v>3</v>
      </c>
      <c r="L31" s="9" t="n">
        <v>3</v>
      </c>
      <c r="M31" s="9" t="n">
        <v>4</v>
      </c>
      <c r="N31" s="10" t="n">
        <f aca="false">AVERAGE(B31:M31)</f>
        <v>3.66666666666667</v>
      </c>
    </row>
    <row r="32" customFormat="false" ht="15" hidden="false" customHeight="false" outlineLevel="0" collapsed="false">
      <c r="A32" s="7" t="s">
        <v>423</v>
      </c>
      <c r="B32" s="9" t="n">
        <v>3</v>
      </c>
      <c r="C32" s="9" t="n">
        <v>3</v>
      </c>
      <c r="D32" s="9" t="n">
        <v>2</v>
      </c>
      <c r="E32" s="9" t="n">
        <v>3</v>
      </c>
      <c r="F32" s="9" t="n">
        <v>3</v>
      </c>
      <c r="G32" s="9" t="n">
        <v>4</v>
      </c>
      <c r="H32" s="9" t="n">
        <v>4</v>
      </c>
      <c r="I32" s="9" t="n">
        <v>4</v>
      </c>
      <c r="J32" s="9" t="n">
        <v>2</v>
      </c>
      <c r="K32" s="9" t="n">
        <v>4</v>
      </c>
      <c r="L32" s="9" t="n">
        <v>3</v>
      </c>
      <c r="M32" s="9" t="n">
        <v>2</v>
      </c>
      <c r="N32" s="10" t="n">
        <f aca="false">AVERAGE(B32:M32)</f>
        <v>3.08333333333333</v>
      </c>
    </row>
    <row r="33" customFormat="false" ht="15" hidden="false" customHeight="false" outlineLevel="0" collapsed="false">
      <c r="A33" s="7" t="s">
        <v>424</v>
      </c>
      <c r="B33" s="9" t="n">
        <v>3</v>
      </c>
      <c r="C33" s="9" t="n">
        <v>5</v>
      </c>
      <c r="D33" s="9" t="n">
        <v>4</v>
      </c>
      <c r="E33" s="9" t="n">
        <v>5</v>
      </c>
      <c r="F33" s="9" t="n">
        <v>3</v>
      </c>
      <c r="G33" s="9" t="n">
        <v>4</v>
      </c>
      <c r="H33" s="9" t="n">
        <v>4</v>
      </c>
      <c r="I33" s="9" t="n">
        <v>4</v>
      </c>
      <c r="J33" s="9" t="n">
        <v>5</v>
      </c>
      <c r="K33" s="9" t="n">
        <v>5</v>
      </c>
      <c r="L33" s="9" t="n">
        <v>5</v>
      </c>
      <c r="M33" s="9" t="n">
        <v>5</v>
      </c>
      <c r="N33" s="10" t="n">
        <f aca="false">AVERAGE(B33:M33)</f>
        <v>4.33333333333333</v>
      </c>
    </row>
    <row r="34" customFormat="false" ht="15" hidden="false" customHeight="false" outlineLevel="0" collapsed="false">
      <c r="A34" s="7" t="s">
        <v>425</v>
      </c>
      <c r="B34" s="9" t="n">
        <v>3</v>
      </c>
      <c r="C34" s="9" t="n">
        <v>4</v>
      </c>
      <c r="D34" s="9" t="n">
        <v>2</v>
      </c>
      <c r="E34" s="9" t="n">
        <v>2</v>
      </c>
      <c r="F34" s="9" t="n">
        <v>4</v>
      </c>
      <c r="G34" s="9" t="n">
        <v>4</v>
      </c>
      <c r="H34" s="9" t="n">
        <v>4</v>
      </c>
      <c r="I34" s="9" t="n">
        <v>3</v>
      </c>
      <c r="J34" s="9" t="n">
        <v>4</v>
      </c>
      <c r="K34" s="9" t="n">
        <v>4</v>
      </c>
      <c r="L34" s="9" t="n">
        <v>3</v>
      </c>
      <c r="M34" s="9" t="n">
        <v>3</v>
      </c>
      <c r="N34" s="10" t="n">
        <f aca="false">AVERAGE(B34:M34)</f>
        <v>3.33333333333333</v>
      </c>
    </row>
    <row r="35" customFormat="false" ht="15" hidden="false" customHeight="false" outlineLevel="0" collapsed="false">
      <c r="A35" s="7" t="s">
        <v>426</v>
      </c>
      <c r="B35" s="9" t="n">
        <v>5</v>
      </c>
      <c r="C35" s="9" t="n">
        <v>5</v>
      </c>
      <c r="D35" s="9" t="n">
        <v>5</v>
      </c>
      <c r="E35" s="9" t="n">
        <v>5</v>
      </c>
      <c r="F35" s="9" t="n">
        <v>4</v>
      </c>
      <c r="G35" s="9" t="n">
        <v>4</v>
      </c>
      <c r="H35" s="9" t="n">
        <v>4</v>
      </c>
      <c r="I35" s="9" t="n">
        <v>4</v>
      </c>
      <c r="J35" s="9" t="n">
        <v>5</v>
      </c>
      <c r="K35" s="9" t="n">
        <v>5</v>
      </c>
      <c r="L35" s="9" t="n">
        <v>5</v>
      </c>
      <c r="M35" s="9" t="n">
        <v>4</v>
      </c>
      <c r="N35" s="10" t="n">
        <f aca="false">AVERAGE(B35:M35)</f>
        <v>4.58333333333333</v>
      </c>
    </row>
    <row r="36" customFormat="false" ht="15" hidden="false" customHeight="false" outlineLevel="0" collapsed="false">
      <c r="A36" s="7" t="s">
        <v>427</v>
      </c>
      <c r="B36" s="9" t="n">
        <v>4</v>
      </c>
      <c r="C36" s="9" t="n">
        <v>4</v>
      </c>
      <c r="D36" s="9" t="n">
        <v>4</v>
      </c>
      <c r="E36" s="9" t="n">
        <v>5</v>
      </c>
      <c r="F36" s="9" t="n">
        <v>3</v>
      </c>
      <c r="G36" s="9" t="n">
        <v>3</v>
      </c>
      <c r="H36" s="9" t="n">
        <v>4</v>
      </c>
      <c r="I36" s="9" t="n">
        <v>3</v>
      </c>
      <c r="J36" s="9" t="n">
        <v>5</v>
      </c>
      <c r="K36" s="9" t="n">
        <v>5</v>
      </c>
      <c r="L36" s="9" t="n">
        <v>5</v>
      </c>
      <c r="M36" s="9" t="n">
        <v>4</v>
      </c>
      <c r="N36" s="10" t="n">
        <f aca="false">AVERAGE(B36:M36)</f>
        <v>4.08333333333333</v>
      </c>
    </row>
    <row r="37" customFormat="false" ht="15" hidden="false" customHeight="false" outlineLevel="0" collapsed="false">
      <c r="A37" s="7" t="s">
        <v>428</v>
      </c>
      <c r="B37" s="9" t="n">
        <v>5</v>
      </c>
      <c r="C37" s="9" t="n">
        <v>4</v>
      </c>
      <c r="D37" s="9" t="n">
        <v>5</v>
      </c>
      <c r="E37" s="9" t="n">
        <v>4</v>
      </c>
      <c r="F37" s="9" t="n">
        <v>5</v>
      </c>
      <c r="G37" s="9" t="n">
        <v>5</v>
      </c>
      <c r="H37" s="9" t="n">
        <v>5</v>
      </c>
      <c r="I37" s="9" t="n">
        <v>4</v>
      </c>
      <c r="J37" s="9" t="n">
        <v>3</v>
      </c>
      <c r="K37" s="9" t="n">
        <v>4</v>
      </c>
      <c r="L37" s="9" t="n">
        <v>4</v>
      </c>
      <c r="M37" s="9" t="n">
        <v>4</v>
      </c>
      <c r="N37" s="10" t="n">
        <f aca="false">AVERAGE(B37:M37)</f>
        <v>4.33333333333333</v>
      </c>
    </row>
    <row r="38" customFormat="false" ht="15" hidden="false" customHeight="false" outlineLevel="0" collapsed="false">
      <c r="A38" s="7" t="s">
        <v>429</v>
      </c>
      <c r="B38" s="9" t="n">
        <v>2</v>
      </c>
      <c r="C38" s="9" t="n">
        <v>3</v>
      </c>
      <c r="D38" s="9" t="n">
        <v>2</v>
      </c>
      <c r="E38" s="9" t="n">
        <v>1</v>
      </c>
      <c r="F38" s="9" t="n">
        <v>3</v>
      </c>
      <c r="G38" s="9" t="n">
        <v>3</v>
      </c>
      <c r="H38" s="9" t="n">
        <v>3</v>
      </c>
      <c r="I38" s="9" t="n">
        <v>3</v>
      </c>
      <c r="J38" s="9" t="n">
        <v>3</v>
      </c>
      <c r="K38" s="9" t="n">
        <v>3</v>
      </c>
      <c r="L38" s="9" t="n">
        <v>4</v>
      </c>
      <c r="M38" s="9" t="n">
        <v>4</v>
      </c>
      <c r="N38" s="10" t="n">
        <f aca="false">AVERAGE(B38:M38)</f>
        <v>2.83333333333333</v>
      </c>
    </row>
    <row r="39" customFormat="false" ht="15" hidden="false" customHeight="false" outlineLevel="0" collapsed="false">
      <c r="A39" s="7" t="s">
        <v>430</v>
      </c>
      <c r="B39" s="9" t="n">
        <v>2</v>
      </c>
      <c r="C39" s="9" t="n">
        <v>3</v>
      </c>
      <c r="D39" s="9" t="n">
        <v>3</v>
      </c>
      <c r="E39" s="9" t="n">
        <v>3</v>
      </c>
      <c r="F39" s="9" t="n">
        <v>4</v>
      </c>
      <c r="G39" s="9" t="n">
        <v>3</v>
      </c>
      <c r="H39" s="9" t="n">
        <v>3</v>
      </c>
      <c r="I39" s="9" t="n">
        <v>3</v>
      </c>
      <c r="J39" s="9" t="n">
        <v>3</v>
      </c>
      <c r="K39" s="9" t="n">
        <v>3</v>
      </c>
      <c r="L39" s="9" t="n">
        <v>4</v>
      </c>
      <c r="M39" s="9" t="n">
        <v>3</v>
      </c>
      <c r="N39" s="10" t="n">
        <f aca="false">AVERAGE(B39:M39)</f>
        <v>3.08333333333333</v>
      </c>
    </row>
    <row r="40" customFormat="false" ht="15" hidden="false" customHeight="false" outlineLevel="0" collapsed="false">
      <c r="A40" s="7" t="s">
        <v>431</v>
      </c>
      <c r="B40" s="9" t="n">
        <v>4</v>
      </c>
      <c r="C40" s="9" t="n">
        <v>5</v>
      </c>
      <c r="D40" s="9" t="n">
        <v>4</v>
      </c>
      <c r="E40" s="9" t="n">
        <v>3</v>
      </c>
      <c r="F40" s="9" t="n">
        <v>3</v>
      </c>
      <c r="G40" s="9" t="n">
        <v>2</v>
      </c>
      <c r="H40" s="9" t="n">
        <v>3</v>
      </c>
      <c r="I40" s="9" t="n">
        <v>3</v>
      </c>
      <c r="J40" s="9" t="n">
        <v>3</v>
      </c>
      <c r="K40" s="9" t="n">
        <v>3</v>
      </c>
      <c r="L40" s="9" t="n">
        <v>3</v>
      </c>
      <c r="M40" s="9" t="n">
        <v>3</v>
      </c>
      <c r="N40" s="10" t="n">
        <f aca="false">AVERAGE(B40:M40)</f>
        <v>3.25</v>
      </c>
    </row>
    <row r="41" customFormat="false" ht="15" hidden="false" customHeight="false" outlineLevel="0" collapsed="false">
      <c r="A41" s="7" t="s">
        <v>432</v>
      </c>
      <c r="B41" s="9" t="n">
        <v>4</v>
      </c>
      <c r="C41" s="9" t="n">
        <v>4</v>
      </c>
      <c r="D41" s="9" t="n">
        <v>3</v>
      </c>
      <c r="E41" s="9" t="n">
        <v>3</v>
      </c>
      <c r="F41" s="9" t="n">
        <v>2</v>
      </c>
      <c r="G41" s="9" t="n">
        <v>2</v>
      </c>
      <c r="H41" s="9" t="n">
        <v>3</v>
      </c>
      <c r="I41" s="9" t="n">
        <v>3</v>
      </c>
      <c r="J41" s="9" t="n">
        <v>2</v>
      </c>
      <c r="K41" s="9" t="n">
        <v>3</v>
      </c>
      <c r="L41" s="9" t="n">
        <v>3</v>
      </c>
      <c r="M41" s="9" t="n">
        <v>2</v>
      </c>
      <c r="N41" s="10" t="n">
        <f aca="false">AVERAGE(B41:M41)</f>
        <v>2.83333333333333</v>
      </c>
    </row>
    <row r="42" customFormat="false" ht="15" hidden="false" customHeight="false" outlineLevel="0" collapsed="false">
      <c r="A42" s="7" t="s">
        <v>433</v>
      </c>
      <c r="B42" s="9" t="n">
        <v>4</v>
      </c>
      <c r="C42" s="9" t="n">
        <v>4</v>
      </c>
      <c r="D42" s="9" t="n">
        <v>4</v>
      </c>
      <c r="E42" s="9" t="n">
        <v>3</v>
      </c>
      <c r="F42" s="9" t="n">
        <v>4</v>
      </c>
      <c r="G42" s="9" t="n">
        <v>3</v>
      </c>
      <c r="H42" s="9" t="n">
        <v>4</v>
      </c>
      <c r="I42" s="9" t="n">
        <v>4</v>
      </c>
      <c r="J42" s="9" t="n">
        <v>3</v>
      </c>
      <c r="K42" s="9" t="n">
        <v>3</v>
      </c>
      <c r="L42" s="9" t="n">
        <v>3</v>
      </c>
      <c r="M42" s="9" t="n">
        <v>4</v>
      </c>
      <c r="N42" s="10" t="n">
        <f aca="false">AVERAGE(B42:M42)</f>
        <v>3.58333333333333</v>
      </c>
    </row>
    <row r="43" customFormat="false" ht="15" hidden="false" customHeight="false" outlineLevel="0" collapsed="false">
      <c r="A43" s="7" t="s">
        <v>434</v>
      </c>
      <c r="B43" s="9" t="n">
        <v>3</v>
      </c>
      <c r="C43" s="9" t="n">
        <v>4</v>
      </c>
      <c r="D43" s="9" t="n">
        <v>3</v>
      </c>
      <c r="E43" s="9" t="n">
        <v>3</v>
      </c>
      <c r="F43" s="9" t="n">
        <v>3</v>
      </c>
      <c r="G43" s="9" t="n">
        <v>3</v>
      </c>
      <c r="H43" s="9" t="n">
        <v>3</v>
      </c>
      <c r="I43" s="9" t="n">
        <v>3</v>
      </c>
      <c r="J43" s="9" t="n">
        <v>4</v>
      </c>
      <c r="K43" s="9" t="n">
        <v>4</v>
      </c>
      <c r="L43" s="9" t="n">
        <v>5</v>
      </c>
      <c r="M43" s="9" t="n">
        <v>4</v>
      </c>
      <c r="N43" s="10" t="n">
        <f aca="false">AVERAGE(B43:M43)</f>
        <v>3.5</v>
      </c>
    </row>
    <row r="44" customFormat="false" ht="15" hidden="false" customHeight="false" outlineLevel="0" collapsed="false">
      <c r="A44" s="7" t="s">
        <v>435</v>
      </c>
      <c r="B44" s="9" t="n">
        <v>4</v>
      </c>
      <c r="C44" s="9" t="n">
        <v>4</v>
      </c>
      <c r="D44" s="9" t="n">
        <v>4</v>
      </c>
      <c r="E44" s="9" t="n">
        <v>5</v>
      </c>
      <c r="F44" s="9" t="n">
        <v>3</v>
      </c>
      <c r="G44" s="9" t="n">
        <v>3</v>
      </c>
      <c r="H44" s="9" t="n">
        <v>4</v>
      </c>
      <c r="I44" s="9" t="n">
        <v>5</v>
      </c>
      <c r="J44" s="9" t="n">
        <v>4</v>
      </c>
      <c r="K44" s="9" t="n">
        <v>3</v>
      </c>
      <c r="L44" s="9" t="n">
        <v>3</v>
      </c>
      <c r="M44" s="9" t="n">
        <v>4</v>
      </c>
      <c r="N44" s="10" t="n">
        <f aca="false">AVERAGE(B44:M44)</f>
        <v>3.83333333333333</v>
      </c>
    </row>
    <row r="45" customFormat="false" ht="15" hidden="false" customHeight="false" outlineLevel="0" collapsed="false">
      <c r="A45" s="7" t="s">
        <v>436</v>
      </c>
      <c r="B45" s="9" t="n">
        <v>3</v>
      </c>
      <c r="C45" s="9" t="n">
        <v>4</v>
      </c>
      <c r="D45" s="9" t="n">
        <v>3</v>
      </c>
      <c r="E45" s="9" t="n">
        <v>4</v>
      </c>
      <c r="F45" s="9" t="n">
        <v>4</v>
      </c>
      <c r="G45" s="9" t="n">
        <v>5</v>
      </c>
      <c r="H45" s="9" t="n">
        <v>4</v>
      </c>
      <c r="I45" s="9" t="n">
        <v>4</v>
      </c>
      <c r="J45" s="9" t="n">
        <v>3</v>
      </c>
      <c r="K45" s="9" t="n">
        <v>4</v>
      </c>
      <c r="L45" s="9" t="n">
        <v>5</v>
      </c>
      <c r="M45" s="9" t="n">
        <v>4</v>
      </c>
      <c r="N45" s="10" t="n">
        <f aca="false">AVERAGE(B45:M45)</f>
        <v>3.91666666666667</v>
      </c>
    </row>
    <row r="46" customFormat="false" ht="15" hidden="false" customHeight="false" outlineLevel="0" collapsed="false">
      <c r="A46" s="7" t="s">
        <v>437</v>
      </c>
      <c r="B46" s="9" t="n">
        <v>3</v>
      </c>
      <c r="C46" s="9" t="n">
        <v>3</v>
      </c>
      <c r="D46" s="9" t="n">
        <v>3</v>
      </c>
      <c r="E46" s="9" t="n">
        <v>3</v>
      </c>
      <c r="F46" s="9" t="n">
        <v>3</v>
      </c>
      <c r="G46" s="9" t="n">
        <v>3</v>
      </c>
      <c r="H46" s="9" t="n">
        <v>2</v>
      </c>
      <c r="I46" s="9" t="n">
        <v>4</v>
      </c>
      <c r="J46" s="9" t="n">
        <v>3</v>
      </c>
      <c r="K46" s="9" t="n">
        <v>2</v>
      </c>
      <c r="L46" s="9" t="n">
        <v>3</v>
      </c>
      <c r="M46" s="9" t="n">
        <v>3</v>
      </c>
      <c r="N46" s="10" t="n">
        <f aca="false">AVERAGE(B46:M46)</f>
        <v>2.91666666666667</v>
      </c>
    </row>
    <row r="47" customFormat="false" ht="15" hidden="false" customHeight="false" outlineLevel="0" collapsed="false">
      <c r="A47" s="7" t="s">
        <v>438</v>
      </c>
      <c r="B47" s="9" t="n">
        <v>3</v>
      </c>
      <c r="C47" s="9" t="n">
        <v>3</v>
      </c>
      <c r="D47" s="9" t="n">
        <v>4</v>
      </c>
      <c r="E47" s="9" t="n">
        <v>3</v>
      </c>
      <c r="F47" s="9" t="n">
        <v>3</v>
      </c>
      <c r="G47" s="9" t="n">
        <v>4</v>
      </c>
      <c r="H47" s="9" t="n">
        <v>3</v>
      </c>
      <c r="I47" s="9" t="n">
        <v>4</v>
      </c>
      <c r="J47" s="9" t="n">
        <v>3</v>
      </c>
      <c r="K47" s="9" t="n">
        <v>2</v>
      </c>
      <c r="L47" s="9" t="n">
        <v>3</v>
      </c>
      <c r="M47" s="9" t="n">
        <v>2</v>
      </c>
      <c r="N47" s="10" t="n">
        <f aca="false">AVERAGE(B47:M47)</f>
        <v>3.08333333333333</v>
      </c>
    </row>
    <row r="48" customFormat="false" ht="15" hidden="false" customHeight="false" outlineLevel="0" collapsed="false">
      <c r="A48" s="7" t="s">
        <v>439</v>
      </c>
      <c r="B48" s="9" t="n">
        <v>4</v>
      </c>
      <c r="C48" s="9" t="n">
        <v>3</v>
      </c>
      <c r="D48" s="9" t="n">
        <v>3</v>
      </c>
      <c r="E48" s="9" t="n">
        <v>4</v>
      </c>
      <c r="F48" s="9" t="n">
        <v>5</v>
      </c>
      <c r="G48" s="9" t="n">
        <v>5</v>
      </c>
      <c r="H48" s="9" t="n">
        <v>3</v>
      </c>
      <c r="I48" s="9" t="n">
        <v>5</v>
      </c>
      <c r="J48" s="9" t="n">
        <v>4</v>
      </c>
      <c r="K48" s="9" t="n">
        <v>4</v>
      </c>
      <c r="L48" s="9" t="n">
        <v>4</v>
      </c>
      <c r="M48" s="9" t="n">
        <v>3</v>
      </c>
      <c r="N48" s="10" t="n">
        <f aca="false">AVERAGE(B48:M48)</f>
        <v>3.91666666666667</v>
      </c>
    </row>
    <row r="49" customFormat="false" ht="15" hidden="false" customHeight="false" outlineLevel="0" collapsed="false">
      <c r="A49" s="7" t="s">
        <v>440</v>
      </c>
      <c r="B49" s="9" t="n">
        <v>4</v>
      </c>
      <c r="C49" s="9" t="n">
        <v>5</v>
      </c>
      <c r="D49" s="9" t="n">
        <v>5</v>
      </c>
      <c r="E49" s="9" t="n">
        <v>4</v>
      </c>
      <c r="F49" s="9" t="n">
        <v>5</v>
      </c>
      <c r="G49" s="9" t="n">
        <v>5</v>
      </c>
      <c r="H49" s="9" t="n">
        <v>5</v>
      </c>
      <c r="I49" s="9" t="n">
        <v>5</v>
      </c>
      <c r="J49" s="9" t="n">
        <v>4</v>
      </c>
      <c r="K49" s="9" t="n">
        <v>4</v>
      </c>
      <c r="L49" s="9" t="n">
        <v>4</v>
      </c>
      <c r="M49" s="9" t="n">
        <v>3</v>
      </c>
      <c r="N49" s="10" t="n">
        <f aca="false">AVERAGE(B49:M49)</f>
        <v>4.41666666666667</v>
      </c>
    </row>
    <row r="50" customFormat="false" ht="15" hidden="false" customHeight="false" outlineLevel="0" collapsed="false">
      <c r="A50" s="7" t="s">
        <v>441</v>
      </c>
      <c r="B50" s="9" t="n">
        <v>5</v>
      </c>
      <c r="C50" s="9" t="n">
        <v>5</v>
      </c>
      <c r="D50" s="9" t="n">
        <v>5</v>
      </c>
      <c r="E50" s="9" t="n">
        <v>5</v>
      </c>
      <c r="F50" s="9" t="n">
        <v>4</v>
      </c>
      <c r="G50" s="9" t="n">
        <v>3</v>
      </c>
      <c r="H50" s="9" t="n">
        <v>4</v>
      </c>
      <c r="I50" s="9" t="n">
        <v>4</v>
      </c>
      <c r="J50" s="9" t="n">
        <v>5</v>
      </c>
      <c r="K50" s="9" t="n">
        <v>4</v>
      </c>
      <c r="L50" s="9" t="n">
        <v>4</v>
      </c>
      <c r="M50" s="9" t="n">
        <v>4</v>
      </c>
      <c r="N50" s="10" t="n">
        <f aca="false">AVERAGE(B50:M50)</f>
        <v>4.33333333333333</v>
      </c>
    </row>
    <row r="51" customFormat="false" ht="15" hidden="false" customHeight="false" outlineLevel="0" collapsed="false">
      <c r="A51" s="7" t="s">
        <v>442</v>
      </c>
      <c r="B51" s="9" t="n">
        <v>4</v>
      </c>
      <c r="C51" s="9" t="n">
        <v>3</v>
      </c>
      <c r="D51" s="9" t="n">
        <v>2</v>
      </c>
      <c r="E51" s="9" t="n">
        <v>2</v>
      </c>
      <c r="F51" s="9" t="n">
        <v>4</v>
      </c>
      <c r="G51" s="9" t="n">
        <v>4</v>
      </c>
      <c r="H51" s="9" t="n">
        <v>3</v>
      </c>
      <c r="I51" s="9" t="n">
        <v>4</v>
      </c>
      <c r="J51" s="9" t="n">
        <v>3</v>
      </c>
      <c r="K51" s="9" t="n">
        <v>3</v>
      </c>
      <c r="L51" s="9" t="n">
        <v>3</v>
      </c>
      <c r="M51" s="9" t="n">
        <v>2</v>
      </c>
      <c r="N51" s="10" t="n">
        <f aca="false">AVERAGE(B51:M51)</f>
        <v>3.08333333333333</v>
      </c>
    </row>
    <row r="52" customFormat="false" ht="15" hidden="false" customHeight="false" outlineLevel="0" collapsed="false">
      <c r="A52" s="7" t="s">
        <v>443</v>
      </c>
      <c r="B52" s="9" t="n">
        <v>4</v>
      </c>
      <c r="C52" s="9" t="n">
        <v>5</v>
      </c>
      <c r="D52" s="9" t="n">
        <v>4</v>
      </c>
      <c r="E52" s="9" t="n">
        <v>4</v>
      </c>
      <c r="F52" s="9" t="n">
        <v>4</v>
      </c>
      <c r="G52" s="9" t="n">
        <v>4</v>
      </c>
      <c r="H52" s="9" t="n">
        <v>4</v>
      </c>
      <c r="I52" s="9" t="n">
        <v>3</v>
      </c>
      <c r="J52" s="9" t="n">
        <v>3</v>
      </c>
      <c r="K52" s="9" t="n">
        <v>2</v>
      </c>
      <c r="L52" s="9" t="n">
        <v>2</v>
      </c>
      <c r="M52" s="9" t="n">
        <v>3</v>
      </c>
      <c r="N52" s="10" t="n">
        <f aca="false">AVERAGE(B52:M52)</f>
        <v>3.5</v>
      </c>
    </row>
    <row r="53" customFormat="false" ht="15" hidden="false" customHeight="false" outlineLevel="0" collapsed="false">
      <c r="A53" s="7" t="s">
        <v>444</v>
      </c>
      <c r="B53" s="9" t="n">
        <v>4</v>
      </c>
      <c r="C53" s="9" t="n">
        <v>4</v>
      </c>
      <c r="D53" s="9" t="n">
        <v>3</v>
      </c>
      <c r="E53" s="9" t="n">
        <v>4</v>
      </c>
      <c r="F53" s="9" t="n">
        <v>3</v>
      </c>
      <c r="G53" s="9" t="n">
        <v>3</v>
      </c>
      <c r="H53" s="9" t="n">
        <v>3</v>
      </c>
      <c r="I53" s="9" t="n">
        <v>3</v>
      </c>
      <c r="J53" s="9" t="n">
        <v>4</v>
      </c>
      <c r="K53" s="9" t="n">
        <v>3</v>
      </c>
      <c r="L53" s="9" t="n">
        <v>4</v>
      </c>
      <c r="M53" s="9" t="n">
        <v>3</v>
      </c>
      <c r="N53" s="10" t="n">
        <f aca="false">AVERAGE(B53:M53)</f>
        <v>3.41666666666667</v>
      </c>
    </row>
    <row r="54" customFormat="false" ht="15" hidden="false" customHeight="false" outlineLevel="0" collapsed="false">
      <c r="A54" s="7" t="s">
        <v>445</v>
      </c>
      <c r="B54" s="9" t="n">
        <v>3</v>
      </c>
      <c r="C54" s="9" t="n">
        <v>2</v>
      </c>
      <c r="D54" s="9" t="n">
        <v>3</v>
      </c>
      <c r="E54" s="9" t="n">
        <v>2</v>
      </c>
      <c r="F54" s="9" t="n">
        <v>4</v>
      </c>
      <c r="G54" s="9" t="n">
        <v>3</v>
      </c>
      <c r="H54" s="9" t="n">
        <v>3</v>
      </c>
      <c r="I54" s="9" t="n">
        <v>3</v>
      </c>
      <c r="J54" s="9" t="n">
        <v>3</v>
      </c>
      <c r="K54" s="9" t="n">
        <v>2</v>
      </c>
      <c r="L54" s="9" t="n">
        <v>3</v>
      </c>
      <c r="M54" s="9" t="n">
        <v>3</v>
      </c>
      <c r="N54" s="10" t="n">
        <f aca="false">AVERAGE(B54:M54)</f>
        <v>2.83333333333333</v>
      </c>
    </row>
    <row r="55" customFormat="false" ht="15" hidden="false" customHeight="false" outlineLevel="0" collapsed="false">
      <c r="A55" s="7" t="s">
        <v>446</v>
      </c>
      <c r="B55" s="9" t="n">
        <v>3</v>
      </c>
      <c r="C55" s="9" t="n">
        <v>3</v>
      </c>
      <c r="D55" s="9" t="n">
        <v>3</v>
      </c>
      <c r="E55" s="9" t="n">
        <v>2</v>
      </c>
      <c r="F55" s="9" t="n">
        <v>1</v>
      </c>
      <c r="G55" s="9" t="n">
        <v>2</v>
      </c>
      <c r="H55" s="9" t="n">
        <v>1</v>
      </c>
      <c r="I55" s="9" t="n">
        <v>2</v>
      </c>
      <c r="J55" s="9" t="n">
        <v>3</v>
      </c>
      <c r="K55" s="9" t="n">
        <v>3</v>
      </c>
      <c r="L55" s="9" t="n">
        <v>4</v>
      </c>
      <c r="M55" s="9" t="n">
        <v>2</v>
      </c>
      <c r="N55" s="10" t="n">
        <f aca="false">AVERAGE(B55:M55)</f>
        <v>2.41666666666667</v>
      </c>
    </row>
    <row r="56" customFormat="false" ht="15" hidden="false" customHeight="false" outlineLevel="0" collapsed="false">
      <c r="A56" s="7" t="s">
        <v>447</v>
      </c>
      <c r="B56" s="9" t="n">
        <v>4</v>
      </c>
      <c r="C56" s="9" t="n">
        <v>3</v>
      </c>
      <c r="D56" s="9" t="n">
        <v>3</v>
      </c>
      <c r="E56" s="9" t="n">
        <v>5</v>
      </c>
      <c r="F56" s="9" t="n">
        <v>5</v>
      </c>
      <c r="G56" s="9" t="n">
        <v>5</v>
      </c>
      <c r="H56" s="9" t="n">
        <v>4</v>
      </c>
      <c r="I56" s="9" t="n">
        <v>4</v>
      </c>
      <c r="J56" s="9" t="n">
        <v>5</v>
      </c>
      <c r="K56" s="9" t="n">
        <v>5</v>
      </c>
      <c r="L56" s="9" t="n">
        <v>5</v>
      </c>
      <c r="M56" s="9" t="n">
        <v>5</v>
      </c>
      <c r="N56" s="10" t="n">
        <f aca="false">AVERAGE(B56:M56)</f>
        <v>4.41666666666667</v>
      </c>
    </row>
    <row r="57" customFormat="false" ht="15" hidden="false" customHeight="false" outlineLevel="0" collapsed="false">
      <c r="A57" s="7" t="s">
        <v>448</v>
      </c>
      <c r="B57" s="9" t="n">
        <v>5</v>
      </c>
      <c r="C57" s="9" t="n">
        <v>5</v>
      </c>
      <c r="D57" s="9" t="n">
        <v>5</v>
      </c>
      <c r="E57" s="9" t="n">
        <v>5</v>
      </c>
      <c r="F57" s="9" t="n">
        <v>5</v>
      </c>
      <c r="G57" s="9" t="n">
        <v>4</v>
      </c>
      <c r="H57" s="9" t="n">
        <v>5</v>
      </c>
      <c r="I57" s="9" t="n">
        <v>4</v>
      </c>
      <c r="J57" s="9" t="n">
        <v>4</v>
      </c>
      <c r="K57" s="9" t="n">
        <v>5</v>
      </c>
      <c r="L57" s="9" t="n">
        <v>3</v>
      </c>
      <c r="M57" s="9" t="n">
        <v>4</v>
      </c>
      <c r="N57" s="10" t="n">
        <f aca="false">AVERAGE(B57:M57)</f>
        <v>4.5</v>
      </c>
    </row>
    <row r="58" customFormat="false" ht="15" hidden="false" customHeight="false" outlineLevel="0" collapsed="false">
      <c r="A58" s="7" t="s">
        <v>449</v>
      </c>
      <c r="B58" s="9" t="n">
        <v>2</v>
      </c>
      <c r="C58" s="9" t="n">
        <v>3</v>
      </c>
      <c r="D58" s="9" t="n">
        <v>2</v>
      </c>
      <c r="E58" s="9" t="n">
        <v>2</v>
      </c>
      <c r="F58" s="9" t="n">
        <v>2</v>
      </c>
      <c r="G58" s="9" t="n">
        <v>3</v>
      </c>
      <c r="H58" s="9" t="n">
        <v>2</v>
      </c>
      <c r="I58" s="9" t="n">
        <v>4</v>
      </c>
      <c r="J58" s="9" t="n">
        <v>3</v>
      </c>
      <c r="K58" s="9" t="n">
        <v>3</v>
      </c>
      <c r="L58" s="9" t="n">
        <v>2</v>
      </c>
      <c r="M58" s="9" t="n">
        <v>3</v>
      </c>
      <c r="N58" s="10" t="n">
        <f aca="false">AVERAGE(B58:M58)</f>
        <v>2.58333333333333</v>
      </c>
    </row>
    <row r="59" customFormat="false" ht="15" hidden="false" customHeight="false" outlineLevel="0" collapsed="false">
      <c r="A59" s="7" t="s">
        <v>450</v>
      </c>
      <c r="B59" s="9" t="n">
        <v>5</v>
      </c>
      <c r="C59" s="9" t="n">
        <v>4</v>
      </c>
      <c r="D59" s="9" t="n">
        <v>4</v>
      </c>
      <c r="E59" s="9" t="n">
        <v>5</v>
      </c>
      <c r="F59" s="9" t="n">
        <v>5</v>
      </c>
      <c r="G59" s="9" t="n">
        <v>5</v>
      </c>
      <c r="H59" s="9" t="n">
        <v>5</v>
      </c>
      <c r="I59" s="9" t="n">
        <v>4</v>
      </c>
      <c r="J59" s="9" t="n">
        <v>5</v>
      </c>
      <c r="K59" s="9" t="n">
        <v>5</v>
      </c>
      <c r="L59" s="9" t="n">
        <v>4</v>
      </c>
      <c r="M59" s="9" t="n">
        <v>5</v>
      </c>
      <c r="N59" s="10" t="n">
        <f aca="false">AVERAGE(B59:M59)</f>
        <v>4.66666666666667</v>
      </c>
    </row>
    <row r="60" customFormat="false" ht="15" hidden="false" customHeight="false" outlineLevel="0" collapsed="false">
      <c r="A60" s="7" t="s">
        <v>451</v>
      </c>
      <c r="B60" s="9" t="n">
        <v>3</v>
      </c>
      <c r="C60" s="9" t="n">
        <v>3</v>
      </c>
      <c r="D60" s="9" t="n">
        <v>4</v>
      </c>
      <c r="E60" s="9" t="n">
        <v>4</v>
      </c>
      <c r="F60" s="9" t="n">
        <v>3</v>
      </c>
      <c r="G60" s="9" t="n">
        <v>4</v>
      </c>
      <c r="H60" s="9" t="n">
        <v>3</v>
      </c>
      <c r="I60" s="9" t="n">
        <v>3</v>
      </c>
      <c r="J60" s="9" t="n">
        <v>4</v>
      </c>
      <c r="K60" s="9" t="n">
        <v>4</v>
      </c>
      <c r="L60" s="9" t="n">
        <v>5</v>
      </c>
      <c r="M60" s="9" t="n">
        <v>4</v>
      </c>
      <c r="N60" s="10" t="n">
        <f aca="false">AVERAGE(B60:M60)</f>
        <v>3.66666666666667</v>
      </c>
    </row>
    <row r="61" customFormat="false" ht="15" hidden="false" customHeight="false" outlineLevel="0" collapsed="false">
      <c r="A61" s="7" t="s">
        <v>452</v>
      </c>
      <c r="B61" s="9" t="n">
        <v>5</v>
      </c>
      <c r="C61" s="9" t="n">
        <v>5</v>
      </c>
      <c r="D61" s="9" t="n">
        <v>4</v>
      </c>
      <c r="E61" s="9" t="n">
        <v>5</v>
      </c>
      <c r="F61" s="9" t="n">
        <v>5</v>
      </c>
      <c r="G61" s="9" t="n">
        <v>5</v>
      </c>
      <c r="H61" s="9" t="n">
        <v>5</v>
      </c>
      <c r="I61" s="9" t="n">
        <v>5</v>
      </c>
      <c r="J61" s="9" t="n">
        <v>4</v>
      </c>
      <c r="K61" s="9" t="n">
        <v>3</v>
      </c>
      <c r="L61" s="9" t="n">
        <v>3</v>
      </c>
      <c r="M61" s="9" t="n">
        <v>3</v>
      </c>
      <c r="N61" s="10" t="n">
        <f aca="false">AVERAGE(B61:M61)</f>
        <v>4.33333333333333</v>
      </c>
    </row>
    <row r="62" customFormat="false" ht="15" hidden="false" customHeight="false" outlineLevel="0" collapsed="false">
      <c r="A62" s="7" t="s">
        <v>453</v>
      </c>
      <c r="B62" s="9" t="n">
        <v>3</v>
      </c>
      <c r="C62" s="9" t="n">
        <v>2</v>
      </c>
      <c r="D62" s="9" t="n">
        <v>3</v>
      </c>
      <c r="E62" s="9" t="n">
        <v>4</v>
      </c>
      <c r="F62" s="9" t="n">
        <v>5</v>
      </c>
      <c r="G62" s="9" t="n">
        <v>3</v>
      </c>
      <c r="H62" s="9" t="n">
        <v>4</v>
      </c>
      <c r="I62" s="9" t="n">
        <v>4</v>
      </c>
      <c r="J62" s="9" t="n">
        <v>4</v>
      </c>
      <c r="K62" s="9" t="n">
        <v>4</v>
      </c>
      <c r="L62" s="9" t="n">
        <v>4</v>
      </c>
      <c r="M62" s="9" t="n">
        <v>3</v>
      </c>
      <c r="N62" s="10" t="n">
        <f aca="false">AVERAGE(B62:M62)</f>
        <v>3.58333333333333</v>
      </c>
    </row>
    <row r="63" customFormat="false" ht="15" hidden="false" customHeight="false" outlineLevel="0" collapsed="false">
      <c r="A63" s="7" t="s">
        <v>454</v>
      </c>
      <c r="B63" s="9" t="n">
        <v>1</v>
      </c>
      <c r="C63" s="9" t="n">
        <v>2</v>
      </c>
      <c r="D63" s="9" t="n">
        <v>2</v>
      </c>
      <c r="E63" s="9" t="n">
        <v>1</v>
      </c>
      <c r="F63" s="9" t="n">
        <v>2</v>
      </c>
      <c r="G63" s="9" t="n">
        <v>3</v>
      </c>
      <c r="H63" s="9" t="n">
        <v>1</v>
      </c>
      <c r="I63" s="9" t="n">
        <v>3</v>
      </c>
      <c r="J63" s="9" t="n">
        <v>3</v>
      </c>
      <c r="K63" s="9" t="n">
        <v>3</v>
      </c>
      <c r="L63" s="9" t="n">
        <v>2</v>
      </c>
      <c r="M63" s="9" t="n">
        <v>1</v>
      </c>
      <c r="N63" s="10" t="n">
        <f aca="false">AVERAGE(B63:M63)</f>
        <v>2</v>
      </c>
    </row>
    <row r="64" customFormat="false" ht="15" hidden="false" customHeight="false" outlineLevel="0" collapsed="false">
      <c r="A64" s="7" t="s">
        <v>455</v>
      </c>
      <c r="B64" s="9" t="n">
        <v>4</v>
      </c>
      <c r="C64" s="9" t="n">
        <v>4</v>
      </c>
      <c r="D64" s="9" t="n">
        <v>3</v>
      </c>
      <c r="E64" s="9" t="n">
        <v>5</v>
      </c>
      <c r="F64" s="9" t="n">
        <v>4</v>
      </c>
      <c r="G64" s="9" t="n">
        <v>4</v>
      </c>
      <c r="H64" s="9" t="n">
        <v>4</v>
      </c>
      <c r="I64" s="9" t="n">
        <v>4</v>
      </c>
      <c r="J64" s="9" t="n">
        <v>5</v>
      </c>
      <c r="K64" s="9" t="n">
        <v>5</v>
      </c>
      <c r="L64" s="9" t="n">
        <v>5</v>
      </c>
      <c r="M64" s="9" t="n">
        <v>5</v>
      </c>
      <c r="N64" s="10" t="n">
        <f aca="false">AVERAGE(B64:M64)</f>
        <v>4.33333333333333</v>
      </c>
    </row>
    <row r="65" customFormat="false" ht="15" hidden="false" customHeight="false" outlineLevel="0" collapsed="false">
      <c r="A65" s="7" t="s">
        <v>456</v>
      </c>
      <c r="B65" s="9" t="n">
        <v>2</v>
      </c>
      <c r="C65" s="9" t="n">
        <v>2</v>
      </c>
      <c r="D65" s="9" t="n">
        <v>3</v>
      </c>
      <c r="E65" s="9" t="n">
        <v>3</v>
      </c>
      <c r="F65" s="9" t="n">
        <v>2</v>
      </c>
      <c r="G65" s="9" t="n">
        <v>2</v>
      </c>
      <c r="H65" s="9" t="n">
        <v>2</v>
      </c>
      <c r="I65" s="9" t="n">
        <v>3</v>
      </c>
      <c r="J65" s="9" t="n">
        <v>3</v>
      </c>
      <c r="K65" s="9" t="n">
        <v>4</v>
      </c>
      <c r="L65" s="9" t="n">
        <v>2</v>
      </c>
      <c r="M65" s="9" t="n">
        <v>2</v>
      </c>
      <c r="N65" s="10" t="n">
        <f aca="false">AVERAGE(B65:M65)</f>
        <v>2.5</v>
      </c>
    </row>
    <row r="66" customFormat="false" ht="15" hidden="false" customHeight="false" outlineLevel="0" collapsed="false">
      <c r="A66" s="7" t="s">
        <v>457</v>
      </c>
      <c r="B66" s="9" t="n">
        <v>4</v>
      </c>
      <c r="C66" s="9" t="n">
        <v>2</v>
      </c>
      <c r="D66" s="9" t="n">
        <v>4</v>
      </c>
      <c r="E66" s="9" t="n">
        <v>5</v>
      </c>
      <c r="F66" s="9" t="n">
        <v>4</v>
      </c>
      <c r="G66" s="9" t="n">
        <v>3</v>
      </c>
      <c r="H66" s="9" t="n">
        <v>2</v>
      </c>
      <c r="I66" s="9" t="n">
        <v>4</v>
      </c>
      <c r="J66" s="9" t="n">
        <v>5</v>
      </c>
      <c r="K66" s="9" t="n">
        <v>4</v>
      </c>
      <c r="L66" s="9" t="n">
        <v>5</v>
      </c>
      <c r="M66" s="9" t="n">
        <v>5</v>
      </c>
      <c r="N66" s="10" t="n">
        <f aca="false">AVERAGE(B66:M66)</f>
        <v>3.91666666666667</v>
      </c>
    </row>
    <row r="67" customFormat="false" ht="15" hidden="false" customHeight="false" outlineLevel="0" collapsed="false">
      <c r="A67" s="7" t="s">
        <v>458</v>
      </c>
      <c r="B67" s="9" t="n">
        <v>3</v>
      </c>
      <c r="C67" s="9" t="n">
        <v>4</v>
      </c>
      <c r="D67" s="9" t="n">
        <v>3</v>
      </c>
      <c r="E67" s="9" t="n">
        <v>3</v>
      </c>
      <c r="F67" s="9" t="n">
        <v>3</v>
      </c>
      <c r="G67" s="9" t="n">
        <v>3</v>
      </c>
      <c r="H67" s="9" t="n">
        <v>3</v>
      </c>
      <c r="I67" s="9" t="n">
        <v>2</v>
      </c>
      <c r="J67" s="9" t="n">
        <v>2</v>
      </c>
      <c r="K67" s="9" t="n">
        <v>4</v>
      </c>
      <c r="L67" s="9" t="n">
        <v>3</v>
      </c>
      <c r="M67" s="9" t="n">
        <v>3</v>
      </c>
      <c r="N67" s="10" t="n">
        <f aca="false">AVERAGE(B67:M67)</f>
        <v>3</v>
      </c>
    </row>
    <row r="68" customFormat="false" ht="15" hidden="false" customHeight="false" outlineLevel="0" collapsed="false">
      <c r="A68" s="7" t="s">
        <v>459</v>
      </c>
      <c r="B68" s="9" t="n">
        <v>3</v>
      </c>
      <c r="C68" s="9" t="n">
        <v>4</v>
      </c>
      <c r="D68" s="9" t="n">
        <v>4</v>
      </c>
      <c r="E68" s="9" t="n">
        <v>4</v>
      </c>
      <c r="F68" s="9" t="n">
        <v>4</v>
      </c>
      <c r="G68" s="9" t="n">
        <v>4</v>
      </c>
      <c r="H68" s="9" t="n">
        <v>3</v>
      </c>
      <c r="I68" s="9" t="n">
        <v>3</v>
      </c>
      <c r="J68" s="9" t="n">
        <v>4</v>
      </c>
      <c r="K68" s="9" t="n">
        <v>4</v>
      </c>
      <c r="L68" s="9" t="n">
        <v>5</v>
      </c>
      <c r="M68" s="9" t="n">
        <v>5</v>
      </c>
      <c r="N68" s="10" t="n">
        <f aca="false">AVERAGE(B68:M68)</f>
        <v>3.91666666666667</v>
      </c>
    </row>
    <row r="69" customFormat="false" ht="15" hidden="false" customHeight="false" outlineLevel="0" collapsed="false">
      <c r="A69" s="7" t="s">
        <v>460</v>
      </c>
      <c r="B69" s="9" t="n">
        <v>4</v>
      </c>
      <c r="C69" s="9" t="n">
        <v>4</v>
      </c>
      <c r="D69" s="9" t="n">
        <v>3</v>
      </c>
      <c r="E69" s="9" t="n">
        <v>5</v>
      </c>
      <c r="F69" s="9" t="n">
        <v>4</v>
      </c>
      <c r="G69" s="9" t="n">
        <v>3</v>
      </c>
      <c r="H69" s="9" t="n">
        <v>4</v>
      </c>
      <c r="I69" s="9" t="n">
        <v>4</v>
      </c>
      <c r="J69" s="9" t="n">
        <v>4</v>
      </c>
      <c r="K69" s="9" t="n">
        <v>5</v>
      </c>
      <c r="L69" s="9" t="n">
        <v>3</v>
      </c>
      <c r="M69" s="9" t="n">
        <v>4</v>
      </c>
      <c r="N69" s="10" t="n">
        <f aca="false">AVERAGE(B69:M69)</f>
        <v>3.91666666666667</v>
      </c>
    </row>
    <row r="70" customFormat="false" ht="15" hidden="false" customHeight="false" outlineLevel="0" collapsed="false">
      <c r="A70" s="7" t="s">
        <v>461</v>
      </c>
      <c r="B70" s="9" t="n">
        <v>3</v>
      </c>
      <c r="C70" s="9" t="n">
        <v>4</v>
      </c>
      <c r="D70" s="9" t="n">
        <v>3</v>
      </c>
      <c r="E70" s="9" t="n">
        <v>3</v>
      </c>
      <c r="F70" s="9" t="n">
        <v>4</v>
      </c>
      <c r="G70" s="9" t="n">
        <v>4</v>
      </c>
      <c r="H70" s="9" t="n">
        <v>4</v>
      </c>
      <c r="I70" s="9" t="n">
        <v>5</v>
      </c>
      <c r="J70" s="9" t="n">
        <v>3</v>
      </c>
      <c r="K70" s="9" t="n">
        <v>3</v>
      </c>
      <c r="L70" s="9" t="n">
        <v>3</v>
      </c>
      <c r="M70" s="9" t="n">
        <v>4</v>
      </c>
      <c r="N70" s="10" t="n">
        <f aca="false">AVERAGE(B70:M70)</f>
        <v>3.58333333333333</v>
      </c>
    </row>
    <row r="71" customFormat="false" ht="15" hidden="false" customHeight="false" outlineLevel="0" collapsed="false">
      <c r="A71" s="7" t="s">
        <v>462</v>
      </c>
      <c r="B71" s="9" t="n">
        <v>3</v>
      </c>
      <c r="C71" s="9" t="n">
        <v>3</v>
      </c>
      <c r="D71" s="9" t="n">
        <v>3</v>
      </c>
      <c r="E71" s="9" t="n">
        <v>4</v>
      </c>
      <c r="F71" s="9" t="n">
        <v>3</v>
      </c>
      <c r="G71" s="9" t="n">
        <v>3</v>
      </c>
      <c r="H71" s="9" t="n">
        <v>3</v>
      </c>
      <c r="I71" s="9" t="n">
        <v>2</v>
      </c>
      <c r="J71" s="9" t="n">
        <v>2</v>
      </c>
      <c r="K71" s="9" t="n">
        <v>4</v>
      </c>
      <c r="L71" s="9" t="n">
        <v>4</v>
      </c>
      <c r="M71" s="9" t="n">
        <v>3</v>
      </c>
      <c r="N71" s="10" t="n">
        <f aca="false">AVERAGE(B71:M71)</f>
        <v>3.08333333333333</v>
      </c>
    </row>
    <row r="72" customFormat="false" ht="15" hidden="false" customHeight="false" outlineLevel="0" collapsed="false">
      <c r="A72" s="7" t="s">
        <v>463</v>
      </c>
      <c r="B72" s="9" t="n">
        <v>4</v>
      </c>
      <c r="C72" s="9" t="n">
        <v>4</v>
      </c>
      <c r="D72" s="9" t="n">
        <v>5</v>
      </c>
      <c r="E72" s="9" t="n">
        <v>4</v>
      </c>
      <c r="F72" s="9" t="n">
        <v>5</v>
      </c>
      <c r="G72" s="9" t="n">
        <v>5</v>
      </c>
      <c r="H72" s="9" t="n">
        <v>5</v>
      </c>
      <c r="I72" s="9" t="n">
        <v>5</v>
      </c>
      <c r="J72" s="9" t="n">
        <v>5</v>
      </c>
      <c r="K72" s="9" t="n">
        <v>4</v>
      </c>
      <c r="L72" s="9" t="n">
        <v>5</v>
      </c>
      <c r="M72" s="9" t="n">
        <v>4</v>
      </c>
      <c r="N72" s="10" t="n">
        <f aca="false">AVERAGE(B72:M72)</f>
        <v>4.58333333333333</v>
      </c>
    </row>
    <row r="73" customFormat="false" ht="15" hidden="false" customHeight="false" outlineLevel="0" collapsed="false">
      <c r="A73" s="7" t="s">
        <v>464</v>
      </c>
      <c r="B73" s="9" t="n">
        <v>4</v>
      </c>
      <c r="C73" s="9" t="n">
        <v>4</v>
      </c>
      <c r="D73" s="9" t="n">
        <v>5</v>
      </c>
      <c r="E73" s="9" t="n">
        <v>5</v>
      </c>
      <c r="F73" s="9" t="n">
        <v>4</v>
      </c>
      <c r="G73" s="9" t="n">
        <v>4</v>
      </c>
      <c r="H73" s="9" t="n">
        <v>5</v>
      </c>
      <c r="I73" s="9" t="n">
        <v>5</v>
      </c>
      <c r="J73" s="9" t="n">
        <v>5</v>
      </c>
      <c r="K73" s="9" t="n">
        <v>5</v>
      </c>
      <c r="L73" s="9" t="n">
        <v>4</v>
      </c>
      <c r="M73" s="9" t="n">
        <v>5</v>
      </c>
      <c r="N73" s="10" t="n">
        <f aca="false">AVERAGE(B73:M73)</f>
        <v>4.58333333333333</v>
      </c>
    </row>
    <row r="74" customFormat="false" ht="15" hidden="false" customHeight="false" outlineLevel="0" collapsed="false">
      <c r="A74" s="7" t="s">
        <v>465</v>
      </c>
      <c r="B74" s="9" t="n">
        <v>3</v>
      </c>
      <c r="C74" s="9" t="n">
        <v>4</v>
      </c>
      <c r="D74" s="9" t="n">
        <v>3</v>
      </c>
      <c r="E74" s="9" t="n">
        <v>2</v>
      </c>
      <c r="F74" s="9" t="n">
        <v>3</v>
      </c>
      <c r="G74" s="9" t="n">
        <v>1</v>
      </c>
      <c r="H74" s="9" t="n">
        <v>1</v>
      </c>
      <c r="I74" s="9" t="n">
        <v>1</v>
      </c>
      <c r="J74" s="9" t="n">
        <v>3</v>
      </c>
      <c r="K74" s="9" t="n">
        <v>4</v>
      </c>
      <c r="L74" s="9" t="n">
        <v>3</v>
      </c>
      <c r="M74" s="9" t="n">
        <v>3</v>
      </c>
      <c r="N74" s="10" t="n">
        <f aca="false">AVERAGE(B74:M74)</f>
        <v>2.58333333333333</v>
      </c>
    </row>
    <row r="75" customFormat="false" ht="15" hidden="false" customHeight="false" outlineLevel="0" collapsed="false">
      <c r="A75" s="7" t="s">
        <v>466</v>
      </c>
      <c r="B75" s="9" t="n">
        <v>4</v>
      </c>
      <c r="C75" s="9" t="n">
        <v>3</v>
      </c>
      <c r="D75" s="9" t="n">
        <v>3</v>
      </c>
      <c r="E75" s="9" t="n">
        <v>3</v>
      </c>
      <c r="F75" s="9" t="n">
        <v>5</v>
      </c>
      <c r="G75" s="9" t="n">
        <v>4</v>
      </c>
      <c r="H75" s="9" t="n">
        <v>3</v>
      </c>
      <c r="I75" s="9" t="n">
        <v>4</v>
      </c>
      <c r="J75" s="9" t="n">
        <v>5</v>
      </c>
      <c r="K75" s="9" t="n">
        <v>4</v>
      </c>
      <c r="L75" s="9" t="n">
        <v>4</v>
      </c>
      <c r="M75" s="9" t="n">
        <v>4</v>
      </c>
      <c r="N75" s="10" t="n">
        <f aca="false">AVERAGE(B75:M75)</f>
        <v>3.83333333333333</v>
      </c>
    </row>
    <row r="76" customFormat="false" ht="15" hidden="false" customHeight="false" outlineLevel="0" collapsed="false">
      <c r="A76" s="7" t="s">
        <v>467</v>
      </c>
      <c r="B76" s="9" t="n">
        <v>2</v>
      </c>
      <c r="C76" s="9" t="n">
        <v>2</v>
      </c>
      <c r="D76" s="9" t="n">
        <v>2</v>
      </c>
      <c r="E76" s="9" t="n">
        <v>2</v>
      </c>
      <c r="F76" s="9" t="n">
        <v>3</v>
      </c>
      <c r="G76" s="9" t="n">
        <v>4</v>
      </c>
      <c r="H76" s="9" t="n">
        <v>4</v>
      </c>
      <c r="I76" s="9" t="n">
        <v>4</v>
      </c>
      <c r="J76" s="9" t="n">
        <v>3</v>
      </c>
      <c r="K76" s="9" t="n">
        <v>3</v>
      </c>
      <c r="L76" s="9" t="n">
        <v>4</v>
      </c>
      <c r="M76" s="9" t="n">
        <v>2</v>
      </c>
      <c r="N76" s="10" t="n">
        <f aca="false">AVERAGE(B76:M76)</f>
        <v>2.91666666666667</v>
      </c>
    </row>
    <row r="77" customFormat="false" ht="15" hidden="false" customHeight="false" outlineLevel="0" collapsed="false">
      <c r="A77" s="7" t="s">
        <v>468</v>
      </c>
      <c r="B77" s="9" t="n">
        <v>4</v>
      </c>
      <c r="C77" s="9" t="n">
        <v>3</v>
      </c>
      <c r="D77" s="9" t="n">
        <v>3</v>
      </c>
      <c r="E77" s="9" t="n">
        <v>3</v>
      </c>
      <c r="F77" s="9" t="n">
        <v>4</v>
      </c>
      <c r="G77" s="9" t="n">
        <v>5</v>
      </c>
      <c r="H77" s="9" t="n">
        <v>5</v>
      </c>
      <c r="I77" s="9" t="n">
        <v>4</v>
      </c>
      <c r="J77" s="9" t="n">
        <v>5</v>
      </c>
      <c r="K77" s="9" t="n">
        <v>4</v>
      </c>
      <c r="L77" s="9" t="n">
        <v>5</v>
      </c>
      <c r="M77" s="9" t="n">
        <v>4</v>
      </c>
      <c r="N77" s="10" t="n">
        <f aca="false">AVERAGE(B77:M77)</f>
        <v>4.08333333333333</v>
      </c>
    </row>
    <row r="78" customFormat="false" ht="15" hidden="false" customHeight="false" outlineLevel="0" collapsed="false">
      <c r="A78" s="7" t="s">
        <v>469</v>
      </c>
      <c r="B78" s="9" t="n">
        <v>2</v>
      </c>
      <c r="C78" s="9" t="n">
        <v>2</v>
      </c>
      <c r="D78" s="9" t="n">
        <v>2</v>
      </c>
      <c r="E78" s="9" t="n">
        <v>3</v>
      </c>
      <c r="F78" s="9" t="n">
        <v>2</v>
      </c>
      <c r="G78" s="9" t="n">
        <v>2</v>
      </c>
      <c r="H78" s="9" t="n">
        <v>3</v>
      </c>
      <c r="I78" s="9" t="n">
        <v>2</v>
      </c>
      <c r="J78" s="9" t="n">
        <v>3</v>
      </c>
      <c r="K78" s="9" t="n">
        <v>4</v>
      </c>
      <c r="L78" s="9" t="n">
        <v>5</v>
      </c>
      <c r="M78" s="9" t="n">
        <v>5</v>
      </c>
      <c r="N78" s="10" t="n">
        <f aca="false">AVERAGE(B78:M78)</f>
        <v>2.91666666666667</v>
      </c>
    </row>
    <row r="79" customFormat="false" ht="15" hidden="false" customHeight="false" outlineLevel="0" collapsed="false">
      <c r="A79" s="7" t="s">
        <v>470</v>
      </c>
      <c r="B79" s="9" t="n">
        <v>4</v>
      </c>
      <c r="C79" s="9" t="n">
        <v>3</v>
      </c>
      <c r="D79" s="9" t="n">
        <v>3</v>
      </c>
      <c r="E79" s="9" t="n">
        <v>4</v>
      </c>
      <c r="F79" s="9" t="n">
        <v>5</v>
      </c>
      <c r="G79" s="9" t="n">
        <v>4</v>
      </c>
      <c r="H79" s="9" t="n">
        <v>4</v>
      </c>
      <c r="I79" s="9" t="n">
        <v>3</v>
      </c>
      <c r="J79" s="9" t="n">
        <v>3</v>
      </c>
      <c r="K79" s="9" t="n">
        <v>3</v>
      </c>
      <c r="L79" s="9" t="n">
        <v>4</v>
      </c>
      <c r="M79" s="9" t="n">
        <v>4</v>
      </c>
      <c r="N79" s="10" t="n">
        <f aca="false">AVERAGE(B79:M79)</f>
        <v>3.66666666666667</v>
      </c>
    </row>
    <row r="80" customFormat="false" ht="15" hidden="false" customHeight="false" outlineLevel="0" collapsed="false">
      <c r="A80" s="7" t="s">
        <v>471</v>
      </c>
      <c r="B80" s="9" t="n">
        <v>4</v>
      </c>
      <c r="C80" s="9" t="n">
        <v>5</v>
      </c>
      <c r="D80" s="9" t="n">
        <v>4</v>
      </c>
      <c r="E80" s="9" t="n">
        <v>4</v>
      </c>
      <c r="F80" s="9" t="n">
        <v>3</v>
      </c>
      <c r="G80" s="9" t="n">
        <v>3</v>
      </c>
      <c r="H80" s="9" t="n">
        <v>3</v>
      </c>
      <c r="I80" s="9" t="n">
        <v>3</v>
      </c>
      <c r="J80" s="9" t="n">
        <v>4</v>
      </c>
      <c r="K80" s="9" t="n">
        <v>4</v>
      </c>
      <c r="L80" s="9" t="n">
        <v>4</v>
      </c>
      <c r="M80" s="9" t="n">
        <v>4</v>
      </c>
      <c r="N80" s="10" t="n">
        <f aca="false">AVERAGE(B80:M80)</f>
        <v>3.75</v>
      </c>
    </row>
    <row r="81" customFormat="false" ht="15" hidden="false" customHeight="false" outlineLevel="0" collapsed="false">
      <c r="A81" s="7" t="s">
        <v>472</v>
      </c>
      <c r="B81" s="9" t="n">
        <v>4</v>
      </c>
      <c r="C81" s="9" t="n">
        <v>2</v>
      </c>
      <c r="D81" s="9" t="n">
        <v>4</v>
      </c>
      <c r="E81" s="9" t="n">
        <v>2</v>
      </c>
      <c r="F81" s="9" t="n">
        <v>4</v>
      </c>
      <c r="G81" s="9" t="n">
        <v>4</v>
      </c>
      <c r="H81" s="9" t="n">
        <v>4</v>
      </c>
      <c r="I81" s="9" t="n">
        <v>3</v>
      </c>
      <c r="J81" s="9" t="n">
        <v>2</v>
      </c>
      <c r="K81" s="9" t="n">
        <v>2</v>
      </c>
      <c r="L81" s="9" t="n">
        <v>2</v>
      </c>
      <c r="M81" s="9" t="n">
        <v>3</v>
      </c>
      <c r="N81" s="10" t="n">
        <f aca="false">AVERAGE(B81:M81)</f>
        <v>3</v>
      </c>
    </row>
    <row r="82" customFormat="false" ht="15" hidden="false" customHeight="false" outlineLevel="0" collapsed="false">
      <c r="A82" s="7" t="s">
        <v>473</v>
      </c>
      <c r="B82" s="9" t="n">
        <v>3</v>
      </c>
      <c r="C82" s="9" t="n">
        <v>5</v>
      </c>
      <c r="D82" s="9" t="n">
        <v>4</v>
      </c>
      <c r="E82" s="9" t="n">
        <v>3</v>
      </c>
      <c r="F82" s="9" t="n">
        <v>3</v>
      </c>
      <c r="G82" s="9" t="n">
        <v>4</v>
      </c>
      <c r="H82" s="9" t="n">
        <v>3</v>
      </c>
      <c r="I82" s="9" t="n">
        <v>4</v>
      </c>
      <c r="J82" s="9" t="n">
        <v>2</v>
      </c>
      <c r="K82" s="9" t="n">
        <v>4</v>
      </c>
      <c r="L82" s="9" t="n">
        <v>4</v>
      </c>
      <c r="M82" s="9" t="n">
        <v>4</v>
      </c>
      <c r="N82" s="10" t="n">
        <f aca="false">AVERAGE(B82:M82)</f>
        <v>3.58333333333333</v>
      </c>
    </row>
    <row r="83" customFormat="false" ht="15" hidden="false" customHeight="false" outlineLevel="0" collapsed="false">
      <c r="A83" s="7" t="s">
        <v>474</v>
      </c>
      <c r="B83" s="9" t="n">
        <v>3</v>
      </c>
      <c r="C83" s="9" t="n">
        <v>3</v>
      </c>
      <c r="D83" s="9" t="n">
        <v>3</v>
      </c>
      <c r="E83" s="9" t="n">
        <v>4</v>
      </c>
      <c r="F83" s="9" t="n">
        <v>3</v>
      </c>
      <c r="G83" s="9" t="n">
        <v>3</v>
      </c>
      <c r="H83" s="9" t="n">
        <v>4</v>
      </c>
      <c r="I83" s="9" t="n">
        <v>3</v>
      </c>
      <c r="J83" s="9" t="n">
        <v>3</v>
      </c>
      <c r="K83" s="9" t="n">
        <v>5</v>
      </c>
      <c r="L83" s="9" t="n">
        <v>4</v>
      </c>
      <c r="M83" s="9" t="n">
        <v>4</v>
      </c>
      <c r="N83" s="10" t="n">
        <f aca="false">AVERAGE(B83:M83)</f>
        <v>3.5</v>
      </c>
    </row>
    <row r="84" customFormat="false" ht="15" hidden="false" customHeight="false" outlineLevel="0" collapsed="false">
      <c r="A84" s="7" t="s">
        <v>475</v>
      </c>
      <c r="B84" s="9" t="n">
        <v>4</v>
      </c>
      <c r="C84" s="9" t="n">
        <v>4</v>
      </c>
      <c r="D84" s="9" t="n">
        <v>4</v>
      </c>
      <c r="E84" s="9" t="n">
        <v>4</v>
      </c>
      <c r="F84" s="9" t="n">
        <v>5</v>
      </c>
      <c r="G84" s="9" t="n">
        <v>4</v>
      </c>
      <c r="H84" s="9" t="n">
        <v>3</v>
      </c>
      <c r="I84" s="9" t="n">
        <v>5</v>
      </c>
      <c r="J84" s="9" t="n">
        <v>5</v>
      </c>
      <c r="K84" s="9" t="n">
        <v>5</v>
      </c>
      <c r="L84" s="9" t="n">
        <v>5</v>
      </c>
      <c r="M84" s="9" t="n">
        <v>5</v>
      </c>
      <c r="N84" s="10" t="n">
        <f aca="false">AVERAGE(B84:M84)</f>
        <v>4.41666666666667</v>
      </c>
    </row>
    <row r="85" customFormat="false" ht="15" hidden="false" customHeight="false" outlineLevel="0" collapsed="false">
      <c r="A85" s="7" t="s">
        <v>476</v>
      </c>
      <c r="B85" s="9" t="n">
        <v>5</v>
      </c>
      <c r="C85" s="9" t="n">
        <v>5</v>
      </c>
      <c r="D85" s="9" t="n">
        <v>5</v>
      </c>
      <c r="E85" s="9" t="n">
        <v>5</v>
      </c>
      <c r="F85" s="9" t="n">
        <v>3</v>
      </c>
      <c r="G85" s="9" t="n">
        <v>3</v>
      </c>
      <c r="H85" s="9" t="n">
        <v>4</v>
      </c>
      <c r="I85" s="9" t="n">
        <v>2</v>
      </c>
      <c r="J85" s="9" t="n">
        <v>5</v>
      </c>
      <c r="K85" s="9" t="n">
        <v>4</v>
      </c>
      <c r="L85" s="9" t="n">
        <v>4</v>
      </c>
      <c r="M85" s="9" t="n">
        <v>5</v>
      </c>
      <c r="N85" s="10" t="n">
        <f aca="false">AVERAGE(B85:M85)</f>
        <v>4.16666666666667</v>
      </c>
    </row>
    <row r="86" customFormat="false" ht="15" hidden="false" customHeight="false" outlineLevel="0" collapsed="false">
      <c r="A86" s="7" t="s">
        <v>477</v>
      </c>
      <c r="B86" s="9" t="n">
        <v>2</v>
      </c>
      <c r="C86" s="9" t="n">
        <v>2</v>
      </c>
      <c r="D86" s="9" t="n">
        <v>4</v>
      </c>
      <c r="E86" s="9" t="n">
        <v>3</v>
      </c>
      <c r="F86" s="9" t="n">
        <v>3</v>
      </c>
      <c r="G86" s="9" t="n">
        <v>4</v>
      </c>
      <c r="H86" s="9" t="n">
        <v>4</v>
      </c>
      <c r="I86" s="9" t="n">
        <v>5</v>
      </c>
      <c r="J86" s="9" t="n">
        <v>4</v>
      </c>
      <c r="K86" s="9" t="n">
        <v>5</v>
      </c>
      <c r="L86" s="9" t="n">
        <v>4</v>
      </c>
      <c r="M86" s="9" t="n">
        <v>5</v>
      </c>
      <c r="N86" s="10" t="n">
        <f aca="false">AVERAGE(B86:M86)</f>
        <v>3.75</v>
      </c>
    </row>
    <row r="87" customFormat="false" ht="15" hidden="false" customHeight="false" outlineLevel="0" collapsed="false">
      <c r="A87" s="7" t="s">
        <v>478</v>
      </c>
      <c r="B87" s="9" t="n">
        <v>3</v>
      </c>
      <c r="C87" s="9" t="n">
        <v>3</v>
      </c>
      <c r="D87" s="9" t="n">
        <v>3</v>
      </c>
      <c r="E87" s="9" t="n">
        <v>3</v>
      </c>
      <c r="F87" s="9" t="n">
        <v>2</v>
      </c>
      <c r="G87" s="9" t="n">
        <v>3</v>
      </c>
      <c r="H87" s="9" t="n">
        <v>3</v>
      </c>
      <c r="I87" s="9" t="n">
        <v>4</v>
      </c>
      <c r="J87" s="9" t="n">
        <v>3</v>
      </c>
      <c r="K87" s="9" t="n">
        <v>4</v>
      </c>
      <c r="L87" s="9" t="n">
        <v>4</v>
      </c>
      <c r="M87" s="9" t="n">
        <v>3</v>
      </c>
      <c r="N87" s="10" t="n">
        <f aca="false">AVERAGE(B87:M87)</f>
        <v>3.16666666666667</v>
      </c>
    </row>
    <row r="88" customFormat="false" ht="15" hidden="false" customHeight="false" outlineLevel="0" collapsed="false">
      <c r="A88" s="7" t="s">
        <v>479</v>
      </c>
      <c r="B88" s="9" t="n">
        <v>3</v>
      </c>
      <c r="C88" s="9" t="n">
        <v>3</v>
      </c>
      <c r="D88" s="9" t="n">
        <v>4</v>
      </c>
      <c r="E88" s="9" t="n">
        <v>3</v>
      </c>
      <c r="F88" s="9" t="n">
        <v>5</v>
      </c>
      <c r="G88" s="9" t="n">
        <v>4</v>
      </c>
      <c r="H88" s="9" t="n">
        <v>4</v>
      </c>
      <c r="I88" s="9" t="n">
        <v>3</v>
      </c>
      <c r="J88" s="9" t="n">
        <v>5</v>
      </c>
      <c r="K88" s="9" t="n">
        <v>5</v>
      </c>
      <c r="L88" s="9" t="n">
        <v>4</v>
      </c>
      <c r="M88" s="9" t="n">
        <v>4</v>
      </c>
      <c r="N88" s="10" t="n">
        <f aca="false">AVERAGE(B88:M88)</f>
        <v>3.91666666666667</v>
      </c>
    </row>
    <row r="89" customFormat="false" ht="15" hidden="false" customHeight="false" outlineLevel="0" collapsed="false">
      <c r="A89" s="7" t="s">
        <v>480</v>
      </c>
      <c r="B89" s="9" t="n">
        <v>3</v>
      </c>
      <c r="C89" s="9" t="n">
        <v>3</v>
      </c>
      <c r="D89" s="9" t="n">
        <v>3</v>
      </c>
      <c r="E89" s="9" t="n">
        <v>2</v>
      </c>
      <c r="F89" s="9" t="n">
        <v>2</v>
      </c>
      <c r="G89" s="9" t="n">
        <v>2</v>
      </c>
      <c r="H89" s="9" t="n">
        <v>2</v>
      </c>
      <c r="I89" s="9" t="n">
        <v>2</v>
      </c>
      <c r="J89" s="9" t="n">
        <v>5</v>
      </c>
      <c r="K89" s="9" t="n">
        <v>5</v>
      </c>
      <c r="L89" s="9" t="n">
        <v>5</v>
      </c>
      <c r="M89" s="9" t="n">
        <v>5</v>
      </c>
      <c r="N89" s="10" t="n">
        <f aca="false">AVERAGE(B89:M89)</f>
        <v>3.25</v>
      </c>
    </row>
    <row r="90" customFormat="false" ht="15" hidden="false" customHeight="false" outlineLevel="0" collapsed="false">
      <c r="A90" s="7" t="s">
        <v>481</v>
      </c>
      <c r="B90" s="9" t="n">
        <v>2</v>
      </c>
      <c r="C90" s="9" t="n">
        <v>3</v>
      </c>
      <c r="D90" s="9" t="n">
        <v>2</v>
      </c>
      <c r="E90" s="9" t="n">
        <v>2</v>
      </c>
      <c r="F90" s="9" t="n">
        <v>3</v>
      </c>
      <c r="G90" s="9" t="n">
        <v>2</v>
      </c>
      <c r="H90" s="9" t="n">
        <v>2</v>
      </c>
      <c r="I90" s="9" t="n">
        <v>3</v>
      </c>
      <c r="J90" s="9" t="n">
        <v>3</v>
      </c>
      <c r="K90" s="9" t="n">
        <v>2</v>
      </c>
      <c r="L90" s="9" t="n">
        <v>1</v>
      </c>
      <c r="M90" s="9" t="n">
        <v>2</v>
      </c>
      <c r="N90" s="10" t="n">
        <f aca="false">AVERAGE(B90:M90)</f>
        <v>2.25</v>
      </c>
    </row>
    <row r="91" customFormat="false" ht="15" hidden="false" customHeight="false" outlineLevel="0" collapsed="false">
      <c r="A91" s="7" t="s">
        <v>482</v>
      </c>
      <c r="B91" s="9" t="n">
        <v>5</v>
      </c>
      <c r="C91" s="9" t="n">
        <v>5</v>
      </c>
      <c r="D91" s="9" t="n">
        <v>5</v>
      </c>
      <c r="E91" s="9" t="n">
        <v>5</v>
      </c>
      <c r="F91" s="9" t="n">
        <v>5</v>
      </c>
      <c r="G91" s="9" t="n">
        <v>5</v>
      </c>
      <c r="H91" s="9" t="n">
        <v>5</v>
      </c>
      <c r="I91" s="9" t="n">
        <v>5</v>
      </c>
      <c r="J91" s="9" t="n">
        <v>5</v>
      </c>
      <c r="K91" s="9" t="n">
        <v>5</v>
      </c>
      <c r="L91" s="9" t="n">
        <v>4</v>
      </c>
      <c r="M91" s="9" t="n">
        <v>5</v>
      </c>
      <c r="N91" s="10" t="n">
        <f aca="false">AVERAGE(B91:M91)</f>
        <v>4.91666666666667</v>
      </c>
    </row>
    <row r="92" customFormat="false" ht="15" hidden="false" customHeight="false" outlineLevel="0" collapsed="false">
      <c r="A92" s="7" t="s">
        <v>483</v>
      </c>
      <c r="B92" s="9" t="n">
        <v>4</v>
      </c>
      <c r="C92" s="9" t="n">
        <v>3</v>
      </c>
      <c r="D92" s="9" t="n">
        <v>5</v>
      </c>
      <c r="E92" s="9" t="n">
        <v>4</v>
      </c>
      <c r="F92" s="9" t="n">
        <v>2</v>
      </c>
      <c r="G92" s="9" t="n">
        <v>3</v>
      </c>
      <c r="H92" s="9" t="n">
        <v>3</v>
      </c>
      <c r="I92" s="9" t="n">
        <v>3</v>
      </c>
      <c r="J92" s="9" t="n">
        <v>4</v>
      </c>
      <c r="K92" s="9" t="n">
        <v>4</v>
      </c>
      <c r="L92" s="9" t="n">
        <v>4</v>
      </c>
      <c r="M92" s="9" t="n">
        <v>5</v>
      </c>
      <c r="N92" s="10" t="n">
        <f aca="false">AVERAGE(B92:M92)</f>
        <v>3.66666666666667</v>
      </c>
    </row>
    <row r="93" customFormat="false" ht="15" hidden="false" customHeight="false" outlineLevel="0" collapsed="false">
      <c r="A93" s="7" t="s">
        <v>484</v>
      </c>
      <c r="B93" s="9" t="n">
        <v>3</v>
      </c>
      <c r="C93" s="9" t="n">
        <v>2</v>
      </c>
      <c r="D93" s="9" t="n">
        <v>2</v>
      </c>
      <c r="E93" s="9" t="n">
        <v>2</v>
      </c>
      <c r="F93" s="9" t="n">
        <v>2</v>
      </c>
      <c r="G93" s="9" t="n">
        <v>1</v>
      </c>
      <c r="H93" s="9" t="n">
        <v>3</v>
      </c>
      <c r="I93" s="9" t="n">
        <v>2</v>
      </c>
      <c r="J93" s="9" t="n">
        <v>3</v>
      </c>
      <c r="K93" s="9" t="n">
        <v>3</v>
      </c>
      <c r="L93" s="9" t="n">
        <v>2</v>
      </c>
      <c r="M93" s="9" t="n">
        <v>3</v>
      </c>
      <c r="N93" s="10" t="n">
        <f aca="false">AVERAGE(B93:M93)</f>
        <v>2.33333333333333</v>
      </c>
    </row>
    <row r="94" customFormat="false" ht="15" hidden="false" customHeight="false" outlineLevel="0" collapsed="false">
      <c r="A94" s="7" t="s">
        <v>485</v>
      </c>
      <c r="B94" s="9" t="n">
        <v>5</v>
      </c>
      <c r="C94" s="9" t="n">
        <v>4</v>
      </c>
      <c r="D94" s="9" t="n">
        <v>3</v>
      </c>
      <c r="E94" s="9" t="n">
        <v>5</v>
      </c>
      <c r="F94" s="9" t="n">
        <v>5</v>
      </c>
      <c r="G94" s="9" t="n">
        <v>5</v>
      </c>
      <c r="H94" s="9" t="n">
        <v>4</v>
      </c>
      <c r="I94" s="9" t="n">
        <v>4</v>
      </c>
      <c r="J94" s="9" t="n">
        <v>4</v>
      </c>
      <c r="K94" s="9" t="n">
        <v>5</v>
      </c>
      <c r="L94" s="9" t="n">
        <v>4</v>
      </c>
      <c r="M94" s="9" t="n">
        <v>4</v>
      </c>
      <c r="N94" s="10" t="n">
        <f aca="false">AVERAGE(B94:M94)</f>
        <v>4.33333333333333</v>
      </c>
    </row>
    <row r="95" customFormat="false" ht="15" hidden="false" customHeight="false" outlineLevel="0" collapsed="false">
      <c r="A95" s="7" t="s">
        <v>486</v>
      </c>
      <c r="B95" s="9" t="n">
        <v>4</v>
      </c>
      <c r="C95" s="9" t="n">
        <v>4</v>
      </c>
      <c r="D95" s="9" t="n">
        <v>4</v>
      </c>
      <c r="E95" s="9" t="n">
        <v>4</v>
      </c>
      <c r="F95" s="9" t="n">
        <v>4</v>
      </c>
      <c r="G95" s="9" t="n">
        <v>4</v>
      </c>
      <c r="H95" s="9" t="n">
        <v>5</v>
      </c>
      <c r="I95" s="9" t="n">
        <v>5</v>
      </c>
      <c r="J95" s="9" t="n">
        <v>5</v>
      </c>
      <c r="K95" s="9" t="n">
        <v>5</v>
      </c>
      <c r="L95" s="9" t="n">
        <v>5</v>
      </c>
      <c r="M95" s="9" t="n">
        <v>5</v>
      </c>
      <c r="N95" s="10" t="n">
        <f aca="false">AVERAGE(B95:M95)</f>
        <v>4.5</v>
      </c>
    </row>
    <row r="96" customFormat="false" ht="15" hidden="false" customHeight="false" outlineLevel="0" collapsed="false">
      <c r="A96" s="7" t="s">
        <v>487</v>
      </c>
      <c r="B96" s="9" t="n">
        <v>3</v>
      </c>
      <c r="C96" s="9" t="n">
        <v>2</v>
      </c>
      <c r="D96" s="9" t="n">
        <v>3</v>
      </c>
      <c r="E96" s="9" t="n">
        <v>2</v>
      </c>
      <c r="F96" s="9" t="n">
        <v>3</v>
      </c>
      <c r="G96" s="9" t="n">
        <v>4</v>
      </c>
      <c r="H96" s="9" t="n">
        <v>2</v>
      </c>
      <c r="I96" s="9" t="n">
        <v>2</v>
      </c>
      <c r="J96" s="9" t="n">
        <v>2</v>
      </c>
      <c r="K96" s="9" t="n">
        <v>1</v>
      </c>
      <c r="L96" s="9" t="n">
        <v>2</v>
      </c>
      <c r="M96" s="9" t="n">
        <v>1</v>
      </c>
      <c r="N96" s="10" t="n">
        <f aca="false">AVERAGE(B96:M96)</f>
        <v>2.25</v>
      </c>
    </row>
    <row r="97" customFormat="false" ht="15" hidden="false" customHeight="false" outlineLevel="0" collapsed="false">
      <c r="A97" s="7" t="s">
        <v>488</v>
      </c>
      <c r="B97" s="9" t="n">
        <v>3</v>
      </c>
      <c r="C97" s="9" t="n">
        <v>4</v>
      </c>
      <c r="D97" s="9" t="n">
        <v>3</v>
      </c>
      <c r="E97" s="9" t="n">
        <v>4</v>
      </c>
      <c r="F97" s="9" t="n">
        <v>3</v>
      </c>
      <c r="G97" s="9" t="n">
        <v>3</v>
      </c>
      <c r="H97" s="9" t="n">
        <v>3</v>
      </c>
      <c r="I97" s="9" t="n">
        <v>2</v>
      </c>
      <c r="J97" s="9" t="n">
        <v>1</v>
      </c>
      <c r="K97" s="9" t="n">
        <v>3</v>
      </c>
      <c r="L97" s="9" t="n">
        <v>2</v>
      </c>
      <c r="M97" s="9" t="n">
        <v>3</v>
      </c>
      <c r="N97" s="10" t="n">
        <f aca="false">AVERAGE(B97:M97)</f>
        <v>2.83333333333333</v>
      </c>
    </row>
    <row r="98" customFormat="false" ht="15" hidden="false" customHeight="false" outlineLevel="0" collapsed="false">
      <c r="A98" s="7" t="s">
        <v>489</v>
      </c>
      <c r="B98" s="9" t="n">
        <v>1</v>
      </c>
      <c r="C98" s="9" t="n">
        <v>2</v>
      </c>
      <c r="D98" s="9" t="n">
        <v>1</v>
      </c>
      <c r="E98" s="9" t="n">
        <v>2</v>
      </c>
      <c r="F98" s="9" t="n">
        <v>4</v>
      </c>
      <c r="G98" s="9" t="n">
        <v>4</v>
      </c>
      <c r="H98" s="9" t="n">
        <v>2</v>
      </c>
      <c r="I98" s="9" t="n">
        <v>3</v>
      </c>
      <c r="J98" s="9" t="n">
        <v>3</v>
      </c>
      <c r="K98" s="9" t="n">
        <v>5</v>
      </c>
      <c r="L98" s="9" t="n">
        <v>3</v>
      </c>
      <c r="M98" s="9" t="n">
        <v>3</v>
      </c>
      <c r="N98" s="10" t="n">
        <f aca="false">AVERAGE(B98:M98)</f>
        <v>2.75</v>
      </c>
    </row>
    <row r="99" customFormat="false" ht="15" hidden="false" customHeight="false" outlineLevel="0" collapsed="false">
      <c r="A99" s="7" t="s">
        <v>490</v>
      </c>
      <c r="B99" s="9" t="n">
        <v>4</v>
      </c>
      <c r="C99" s="9" t="n">
        <v>4</v>
      </c>
      <c r="D99" s="9" t="n">
        <v>4</v>
      </c>
      <c r="E99" s="9" t="n">
        <v>4</v>
      </c>
      <c r="F99" s="9" t="n">
        <v>4</v>
      </c>
      <c r="G99" s="9" t="n">
        <v>4</v>
      </c>
      <c r="H99" s="9" t="n">
        <v>4</v>
      </c>
      <c r="I99" s="9" t="n">
        <v>4</v>
      </c>
      <c r="J99" s="9" t="n">
        <v>3</v>
      </c>
      <c r="K99" s="9" t="n">
        <v>4</v>
      </c>
      <c r="L99" s="9" t="n">
        <v>3</v>
      </c>
      <c r="M99" s="9" t="n">
        <v>4</v>
      </c>
      <c r="N99" s="10" t="n">
        <f aca="false">AVERAGE(B99:M99)</f>
        <v>3.83333333333333</v>
      </c>
    </row>
    <row r="100" customFormat="false" ht="15" hidden="false" customHeight="false" outlineLevel="0" collapsed="false">
      <c r="A100" s="7" t="s">
        <v>491</v>
      </c>
      <c r="B100" s="9" t="n">
        <v>3</v>
      </c>
      <c r="C100" s="9" t="n">
        <v>3</v>
      </c>
      <c r="D100" s="9" t="n">
        <v>2</v>
      </c>
      <c r="E100" s="9" t="n">
        <v>4</v>
      </c>
      <c r="F100" s="9" t="n">
        <v>5</v>
      </c>
      <c r="G100" s="9" t="n">
        <v>4</v>
      </c>
      <c r="H100" s="9" t="n">
        <v>3</v>
      </c>
      <c r="I100" s="9" t="n">
        <v>3</v>
      </c>
      <c r="J100" s="9" t="n">
        <v>4</v>
      </c>
      <c r="K100" s="9" t="n">
        <v>3</v>
      </c>
      <c r="L100" s="9" t="n">
        <v>4</v>
      </c>
      <c r="M100" s="9" t="n">
        <v>3</v>
      </c>
      <c r="N100" s="10" t="n">
        <f aca="false">AVERAGE(B100:M100)</f>
        <v>3.41666666666667</v>
      </c>
    </row>
    <row r="101" customFormat="false" ht="15" hidden="false" customHeight="false" outlineLevel="0" collapsed="false">
      <c r="A101" s="7" t="s">
        <v>492</v>
      </c>
      <c r="B101" s="9" t="n">
        <v>4</v>
      </c>
      <c r="C101" s="9" t="n">
        <v>2</v>
      </c>
      <c r="D101" s="9" t="n">
        <v>4</v>
      </c>
      <c r="E101" s="9" t="n">
        <v>3</v>
      </c>
      <c r="F101" s="9" t="n">
        <v>4</v>
      </c>
      <c r="G101" s="9" t="n">
        <v>3</v>
      </c>
      <c r="H101" s="9" t="n">
        <v>3</v>
      </c>
      <c r="I101" s="9" t="n">
        <v>4</v>
      </c>
      <c r="J101" s="9" t="n">
        <v>4</v>
      </c>
      <c r="K101" s="9" t="n">
        <v>5</v>
      </c>
      <c r="L101" s="9" t="n">
        <v>4</v>
      </c>
      <c r="M101" s="9" t="n">
        <v>4</v>
      </c>
      <c r="N101" s="10" t="n">
        <f aca="false">AVERAGE(B101:M101)</f>
        <v>3.66666666666667</v>
      </c>
    </row>
    <row r="102" customFormat="false" ht="15" hidden="false" customHeight="false" outlineLevel="0" collapsed="false">
      <c r="A102" s="7" t="s">
        <v>493</v>
      </c>
      <c r="B102" s="9" t="n">
        <v>3</v>
      </c>
      <c r="C102" s="9" t="n">
        <v>5</v>
      </c>
      <c r="D102" s="9" t="n">
        <v>5</v>
      </c>
      <c r="E102" s="9" t="n">
        <v>5</v>
      </c>
      <c r="F102" s="9" t="n">
        <v>2</v>
      </c>
      <c r="G102" s="9" t="n">
        <v>3</v>
      </c>
      <c r="H102" s="9" t="n">
        <v>2</v>
      </c>
      <c r="I102" s="9" t="n">
        <v>3</v>
      </c>
      <c r="J102" s="9" t="n">
        <v>4</v>
      </c>
      <c r="K102" s="9" t="n">
        <v>3</v>
      </c>
      <c r="L102" s="9" t="n">
        <v>4</v>
      </c>
      <c r="M102" s="9" t="n">
        <v>5</v>
      </c>
      <c r="N102" s="10" t="n">
        <f aca="false">AVERAGE(B102:M102)</f>
        <v>3.66666666666667</v>
      </c>
    </row>
    <row r="103" customFormat="false" ht="15" hidden="false" customHeight="false" outlineLevel="0" collapsed="false">
      <c r="A103" s="7" t="s">
        <v>494</v>
      </c>
      <c r="B103" s="9" t="n">
        <v>3</v>
      </c>
      <c r="C103" s="9" t="n">
        <v>4</v>
      </c>
      <c r="D103" s="9" t="n">
        <v>3</v>
      </c>
      <c r="E103" s="9" t="n">
        <v>4</v>
      </c>
      <c r="F103" s="9" t="n">
        <v>3</v>
      </c>
      <c r="G103" s="9" t="n">
        <v>5</v>
      </c>
      <c r="H103" s="9" t="n">
        <v>4</v>
      </c>
      <c r="I103" s="9" t="n">
        <v>3</v>
      </c>
      <c r="J103" s="9" t="n">
        <v>5</v>
      </c>
      <c r="K103" s="9" t="n">
        <v>4</v>
      </c>
      <c r="L103" s="9" t="n">
        <v>4</v>
      </c>
      <c r="M103" s="9" t="n">
        <v>4</v>
      </c>
      <c r="N103" s="10" t="n">
        <f aca="false">AVERAGE(B103:M103)</f>
        <v>3.83333333333333</v>
      </c>
    </row>
    <row r="104" customFormat="false" ht="15" hidden="false" customHeight="false" outlineLevel="0" collapsed="false">
      <c r="A104" s="7" t="s">
        <v>495</v>
      </c>
      <c r="B104" s="9" t="n">
        <v>3</v>
      </c>
      <c r="C104" s="9" t="n">
        <v>3</v>
      </c>
      <c r="D104" s="9" t="n">
        <v>4</v>
      </c>
      <c r="E104" s="9" t="n">
        <v>3</v>
      </c>
      <c r="F104" s="9" t="n">
        <v>3</v>
      </c>
      <c r="G104" s="9" t="n">
        <v>2</v>
      </c>
      <c r="H104" s="9" t="n">
        <v>2</v>
      </c>
      <c r="I104" s="9" t="n">
        <v>3</v>
      </c>
      <c r="J104" s="9" t="n">
        <v>3</v>
      </c>
      <c r="K104" s="9" t="n">
        <v>3</v>
      </c>
      <c r="L104" s="9" t="n">
        <v>4</v>
      </c>
      <c r="M104" s="9" t="n">
        <v>3</v>
      </c>
      <c r="N104" s="10" t="n">
        <f aca="false">AVERAGE(B104:M104)</f>
        <v>3</v>
      </c>
    </row>
    <row r="105" customFormat="false" ht="15" hidden="false" customHeight="false" outlineLevel="0" collapsed="false">
      <c r="A105" s="7" t="s">
        <v>496</v>
      </c>
      <c r="B105" s="9" t="n">
        <v>3</v>
      </c>
      <c r="C105" s="9" t="n">
        <v>3</v>
      </c>
      <c r="D105" s="9" t="n">
        <v>3</v>
      </c>
      <c r="E105" s="9" t="n">
        <v>4</v>
      </c>
      <c r="F105" s="9" t="n">
        <v>3</v>
      </c>
      <c r="G105" s="9" t="n">
        <v>4</v>
      </c>
      <c r="H105" s="9" t="n">
        <v>3</v>
      </c>
      <c r="I105" s="9" t="n">
        <v>4</v>
      </c>
      <c r="J105" s="9" t="n">
        <v>4</v>
      </c>
      <c r="K105" s="9" t="n">
        <v>4</v>
      </c>
      <c r="L105" s="9" t="n">
        <v>3</v>
      </c>
      <c r="M105" s="9" t="n">
        <v>4</v>
      </c>
      <c r="N105" s="10" t="n">
        <f aca="false">AVERAGE(B105:M105)</f>
        <v>3.5</v>
      </c>
    </row>
    <row r="106" customFormat="false" ht="15" hidden="false" customHeight="false" outlineLevel="0" collapsed="false">
      <c r="A106" s="7" t="s">
        <v>497</v>
      </c>
      <c r="B106" s="9" t="n">
        <v>4</v>
      </c>
      <c r="C106" s="9" t="n">
        <v>4</v>
      </c>
      <c r="D106" s="9" t="n">
        <v>4</v>
      </c>
      <c r="E106" s="9" t="n">
        <v>4</v>
      </c>
      <c r="F106" s="9" t="n">
        <v>5</v>
      </c>
      <c r="G106" s="9" t="n">
        <v>5</v>
      </c>
      <c r="H106" s="9" t="n">
        <v>3</v>
      </c>
      <c r="I106" s="9" t="n">
        <v>4</v>
      </c>
      <c r="J106" s="9" t="n">
        <v>5</v>
      </c>
      <c r="K106" s="9" t="n">
        <v>4</v>
      </c>
      <c r="L106" s="9" t="n">
        <v>5</v>
      </c>
      <c r="M106" s="9" t="n">
        <v>4</v>
      </c>
      <c r="N106" s="10" t="n">
        <f aca="false">AVERAGE(B106:M106)</f>
        <v>4.25</v>
      </c>
    </row>
    <row r="107" customFormat="false" ht="15" hidden="false" customHeight="false" outlineLevel="0" collapsed="false">
      <c r="A107" s="7" t="s">
        <v>498</v>
      </c>
      <c r="B107" s="9" t="n">
        <v>4</v>
      </c>
      <c r="C107" s="9" t="n">
        <v>4</v>
      </c>
      <c r="D107" s="9" t="n">
        <v>3</v>
      </c>
      <c r="E107" s="9" t="n">
        <v>3</v>
      </c>
      <c r="F107" s="9" t="n">
        <v>5</v>
      </c>
      <c r="G107" s="9" t="n">
        <v>4</v>
      </c>
      <c r="H107" s="9" t="n">
        <v>4</v>
      </c>
      <c r="I107" s="9" t="n">
        <v>4</v>
      </c>
      <c r="J107" s="9" t="n">
        <v>5</v>
      </c>
      <c r="K107" s="9" t="n">
        <v>5</v>
      </c>
      <c r="L107" s="9" t="n">
        <v>4</v>
      </c>
      <c r="M107" s="9" t="n">
        <v>5</v>
      </c>
      <c r="N107" s="10" t="n">
        <f aca="false">AVERAGE(B107:M107)</f>
        <v>4.16666666666667</v>
      </c>
    </row>
    <row r="108" customFormat="false" ht="15" hidden="false" customHeight="false" outlineLevel="0" collapsed="false">
      <c r="A108" s="7" t="s">
        <v>499</v>
      </c>
      <c r="B108" s="9" t="n">
        <v>3</v>
      </c>
      <c r="C108" s="9" t="n">
        <v>3</v>
      </c>
      <c r="D108" s="9" t="n">
        <v>4</v>
      </c>
      <c r="E108" s="9" t="n">
        <v>4</v>
      </c>
      <c r="F108" s="9" t="n">
        <v>4</v>
      </c>
      <c r="G108" s="9" t="n">
        <v>5</v>
      </c>
      <c r="H108" s="9" t="n">
        <v>3</v>
      </c>
      <c r="I108" s="9" t="n">
        <v>4</v>
      </c>
      <c r="J108" s="9" t="n">
        <v>3</v>
      </c>
      <c r="K108" s="9" t="n">
        <v>3</v>
      </c>
      <c r="L108" s="9" t="n">
        <v>3</v>
      </c>
      <c r="M108" s="9" t="n">
        <v>4</v>
      </c>
      <c r="N108" s="10" t="n">
        <f aca="false">AVERAGE(B108:M108)</f>
        <v>3.58333333333333</v>
      </c>
    </row>
    <row r="109" customFormat="false" ht="15" hidden="false" customHeight="false" outlineLevel="0" collapsed="false">
      <c r="A109" s="7" t="s">
        <v>500</v>
      </c>
      <c r="B109" s="9" t="n">
        <v>2</v>
      </c>
      <c r="C109" s="9" t="n">
        <v>4</v>
      </c>
      <c r="D109" s="9" t="n">
        <v>3</v>
      </c>
      <c r="E109" s="9" t="n">
        <v>2</v>
      </c>
      <c r="F109" s="9" t="n">
        <v>3</v>
      </c>
      <c r="G109" s="9" t="n">
        <v>4</v>
      </c>
      <c r="H109" s="9" t="n">
        <v>3</v>
      </c>
      <c r="I109" s="9" t="n">
        <v>3</v>
      </c>
      <c r="J109" s="9" t="n">
        <v>3</v>
      </c>
      <c r="K109" s="9" t="n">
        <v>4</v>
      </c>
      <c r="L109" s="9" t="n">
        <v>3</v>
      </c>
      <c r="M109" s="9" t="n">
        <v>3</v>
      </c>
      <c r="N109" s="10" t="n">
        <f aca="false">AVERAGE(B109:M109)</f>
        <v>3.08333333333333</v>
      </c>
    </row>
    <row r="110" customFormat="false" ht="15" hidden="false" customHeight="false" outlineLevel="0" collapsed="false">
      <c r="A110" s="7" t="s">
        <v>501</v>
      </c>
      <c r="B110" s="9" t="n">
        <v>4</v>
      </c>
      <c r="C110" s="9" t="n">
        <v>3</v>
      </c>
      <c r="D110" s="9" t="n">
        <v>3</v>
      </c>
      <c r="E110" s="9" t="n">
        <v>3</v>
      </c>
      <c r="F110" s="9" t="n">
        <v>3</v>
      </c>
      <c r="G110" s="9" t="n">
        <v>4</v>
      </c>
      <c r="H110" s="9" t="n">
        <v>3</v>
      </c>
      <c r="I110" s="9" t="n">
        <v>2</v>
      </c>
      <c r="J110" s="9" t="n">
        <v>2</v>
      </c>
      <c r="K110" s="9" t="n">
        <v>3</v>
      </c>
      <c r="L110" s="9" t="n">
        <v>3</v>
      </c>
      <c r="M110" s="9" t="n">
        <v>2</v>
      </c>
      <c r="N110" s="10" t="n">
        <f aca="false">AVERAGE(B110:M110)</f>
        <v>2.91666666666667</v>
      </c>
    </row>
    <row r="111" customFormat="false" ht="15" hidden="false" customHeight="false" outlineLevel="0" collapsed="false">
      <c r="A111" s="7" t="s">
        <v>502</v>
      </c>
      <c r="B111" s="9" t="n">
        <v>3</v>
      </c>
      <c r="C111" s="9" t="n">
        <v>4</v>
      </c>
      <c r="D111" s="9" t="n">
        <v>2</v>
      </c>
      <c r="E111" s="9" t="n">
        <v>3</v>
      </c>
      <c r="F111" s="9" t="n">
        <v>4</v>
      </c>
      <c r="G111" s="9" t="n">
        <v>4</v>
      </c>
      <c r="H111" s="9" t="n">
        <v>5</v>
      </c>
      <c r="I111" s="9" t="n">
        <v>4</v>
      </c>
      <c r="J111" s="9" t="n">
        <v>5</v>
      </c>
      <c r="K111" s="9" t="n">
        <v>3</v>
      </c>
      <c r="L111" s="9" t="n">
        <v>4</v>
      </c>
      <c r="M111" s="9" t="n">
        <v>5</v>
      </c>
      <c r="N111" s="10" t="n">
        <f aca="false">AVERAGE(B111:M111)</f>
        <v>3.83333333333333</v>
      </c>
    </row>
    <row r="112" customFormat="false" ht="15" hidden="false" customHeight="false" outlineLevel="0" collapsed="false">
      <c r="A112" s="7" t="s">
        <v>503</v>
      </c>
      <c r="B112" s="9" t="n">
        <v>2</v>
      </c>
      <c r="C112" s="9" t="n">
        <v>2</v>
      </c>
      <c r="D112" s="9" t="n">
        <v>2</v>
      </c>
      <c r="E112" s="9" t="n">
        <v>4</v>
      </c>
      <c r="F112" s="9" t="n">
        <v>3</v>
      </c>
      <c r="G112" s="9" t="n">
        <v>4</v>
      </c>
      <c r="H112" s="9" t="n">
        <v>3</v>
      </c>
      <c r="I112" s="9" t="n">
        <v>3</v>
      </c>
      <c r="J112" s="9" t="n">
        <v>4</v>
      </c>
      <c r="K112" s="9" t="n">
        <v>4</v>
      </c>
      <c r="L112" s="9" t="n">
        <v>4</v>
      </c>
      <c r="M112" s="9" t="n">
        <v>5</v>
      </c>
      <c r="N112" s="10" t="n">
        <f aca="false">AVERAGE(B112:M112)</f>
        <v>3.33333333333333</v>
      </c>
    </row>
    <row r="113" customFormat="false" ht="15" hidden="false" customHeight="false" outlineLevel="0" collapsed="false">
      <c r="A113" s="7" t="s">
        <v>504</v>
      </c>
      <c r="B113" s="9" t="n">
        <v>5</v>
      </c>
      <c r="C113" s="9" t="n">
        <v>5</v>
      </c>
      <c r="D113" s="9" t="n">
        <v>4</v>
      </c>
      <c r="E113" s="9" t="n">
        <v>4</v>
      </c>
      <c r="F113" s="9" t="n">
        <v>2</v>
      </c>
      <c r="G113" s="9" t="n">
        <v>2</v>
      </c>
      <c r="H113" s="9" t="n">
        <v>3</v>
      </c>
      <c r="I113" s="9" t="n">
        <v>4</v>
      </c>
      <c r="J113" s="9" t="n">
        <v>5</v>
      </c>
      <c r="K113" s="9" t="n">
        <v>5</v>
      </c>
      <c r="L113" s="9" t="n">
        <v>5</v>
      </c>
      <c r="M113" s="9" t="n">
        <v>4</v>
      </c>
      <c r="N113" s="10" t="n">
        <f aca="false">AVERAGE(B113:M113)</f>
        <v>4</v>
      </c>
    </row>
    <row r="114" customFormat="false" ht="15" hidden="false" customHeight="false" outlineLevel="0" collapsed="false">
      <c r="A114" s="7" t="s">
        <v>505</v>
      </c>
      <c r="B114" s="9" t="n">
        <v>4</v>
      </c>
      <c r="C114" s="9" t="n">
        <v>3</v>
      </c>
      <c r="D114" s="9" t="n">
        <v>4</v>
      </c>
      <c r="E114" s="9" t="n">
        <v>3</v>
      </c>
      <c r="F114" s="9" t="n">
        <v>3</v>
      </c>
      <c r="G114" s="9" t="n">
        <v>3</v>
      </c>
      <c r="H114" s="9" t="n">
        <v>4</v>
      </c>
      <c r="I114" s="9" t="n">
        <v>4</v>
      </c>
      <c r="J114" s="9" t="n">
        <v>2</v>
      </c>
      <c r="K114" s="9" t="n">
        <v>3</v>
      </c>
      <c r="L114" s="9" t="n">
        <v>3</v>
      </c>
      <c r="M114" s="9" t="n">
        <v>3</v>
      </c>
      <c r="N114" s="10" t="n">
        <f aca="false">AVERAGE(B114:M114)</f>
        <v>3.25</v>
      </c>
    </row>
    <row r="115" customFormat="false" ht="15" hidden="false" customHeight="false" outlineLevel="0" collapsed="false">
      <c r="A115" s="7" t="s">
        <v>506</v>
      </c>
      <c r="B115" s="9" t="n">
        <v>3</v>
      </c>
      <c r="C115" s="9" t="n">
        <v>3</v>
      </c>
      <c r="D115" s="9" t="n">
        <v>3</v>
      </c>
      <c r="E115" s="9" t="n">
        <v>3</v>
      </c>
      <c r="F115" s="9" t="n">
        <v>2</v>
      </c>
      <c r="G115" s="9" t="n">
        <v>2</v>
      </c>
      <c r="H115" s="9" t="n">
        <v>2</v>
      </c>
      <c r="I115" s="9" t="n">
        <v>3</v>
      </c>
      <c r="J115" s="9" t="n">
        <v>5</v>
      </c>
      <c r="K115" s="9" t="n">
        <v>5</v>
      </c>
      <c r="L115" s="9" t="n">
        <v>5</v>
      </c>
      <c r="M115" s="9" t="n">
        <v>4</v>
      </c>
      <c r="N115" s="10" t="n">
        <f aca="false">AVERAGE(B115:M115)</f>
        <v>3.33333333333333</v>
      </c>
    </row>
    <row r="116" customFormat="false" ht="15" hidden="false" customHeight="false" outlineLevel="0" collapsed="false">
      <c r="A116" s="7" t="s">
        <v>507</v>
      </c>
      <c r="B116" s="9" t="n">
        <v>3</v>
      </c>
      <c r="C116" s="9" t="n">
        <v>4</v>
      </c>
      <c r="D116" s="9" t="n">
        <v>2</v>
      </c>
      <c r="E116" s="9" t="n">
        <v>3</v>
      </c>
      <c r="F116" s="9" t="n">
        <v>2</v>
      </c>
      <c r="G116" s="9" t="n">
        <v>4</v>
      </c>
      <c r="H116" s="9" t="n">
        <v>4</v>
      </c>
      <c r="I116" s="9" t="n">
        <v>4</v>
      </c>
      <c r="J116" s="9" t="n">
        <v>4</v>
      </c>
      <c r="K116" s="9" t="n">
        <v>4</v>
      </c>
      <c r="L116" s="9" t="n">
        <v>5</v>
      </c>
      <c r="M116" s="9" t="n">
        <v>4</v>
      </c>
      <c r="N116" s="10" t="n">
        <f aca="false">AVERAGE(B116:M116)</f>
        <v>3.58333333333333</v>
      </c>
    </row>
    <row r="117" customFormat="false" ht="15" hidden="false" customHeight="false" outlineLevel="0" collapsed="false">
      <c r="A117" s="7" t="s">
        <v>508</v>
      </c>
      <c r="B117" s="9" t="n">
        <v>4</v>
      </c>
      <c r="C117" s="9" t="n">
        <v>5</v>
      </c>
      <c r="D117" s="9" t="n">
        <v>4</v>
      </c>
      <c r="E117" s="9" t="n">
        <v>5</v>
      </c>
      <c r="F117" s="9" t="n">
        <v>4</v>
      </c>
      <c r="G117" s="9" t="n">
        <v>3</v>
      </c>
      <c r="H117" s="9" t="n">
        <v>4</v>
      </c>
      <c r="I117" s="9" t="n">
        <v>4</v>
      </c>
      <c r="J117" s="9" t="n">
        <v>3</v>
      </c>
      <c r="K117" s="9" t="n">
        <v>2</v>
      </c>
      <c r="L117" s="9" t="n">
        <v>3</v>
      </c>
      <c r="M117" s="9" t="n">
        <v>4</v>
      </c>
      <c r="N117" s="10" t="n">
        <f aca="false">AVERAGE(B117:M117)</f>
        <v>3.75</v>
      </c>
    </row>
    <row r="118" customFormat="false" ht="15" hidden="false" customHeight="false" outlineLevel="0" collapsed="false">
      <c r="A118" s="7" t="s">
        <v>509</v>
      </c>
      <c r="B118" s="9" t="n">
        <v>5</v>
      </c>
      <c r="C118" s="9" t="n">
        <v>5</v>
      </c>
      <c r="D118" s="9" t="n">
        <v>4</v>
      </c>
      <c r="E118" s="9" t="n">
        <v>5</v>
      </c>
      <c r="F118" s="9" t="n">
        <v>4</v>
      </c>
      <c r="G118" s="9" t="n">
        <v>4</v>
      </c>
      <c r="H118" s="9" t="n">
        <v>4</v>
      </c>
      <c r="I118" s="9" t="n">
        <v>4</v>
      </c>
      <c r="J118" s="9" t="n">
        <v>2</v>
      </c>
      <c r="K118" s="9" t="n">
        <v>2</v>
      </c>
      <c r="L118" s="9" t="n">
        <v>2</v>
      </c>
      <c r="M118" s="9" t="n">
        <v>3</v>
      </c>
      <c r="N118" s="10" t="n">
        <f aca="false">AVERAGE(B118:M118)</f>
        <v>3.66666666666667</v>
      </c>
    </row>
    <row r="119" customFormat="false" ht="15" hidden="false" customHeight="false" outlineLevel="0" collapsed="false">
      <c r="A119" s="7" t="s">
        <v>510</v>
      </c>
      <c r="B119" s="9" t="n">
        <v>4</v>
      </c>
      <c r="C119" s="9" t="n">
        <v>5</v>
      </c>
      <c r="D119" s="9" t="n">
        <v>5</v>
      </c>
      <c r="E119" s="9" t="n">
        <v>4</v>
      </c>
      <c r="F119" s="9" t="n">
        <v>5</v>
      </c>
      <c r="G119" s="9" t="n">
        <v>5</v>
      </c>
      <c r="H119" s="9" t="n">
        <v>5</v>
      </c>
      <c r="I119" s="9" t="n">
        <v>5</v>
      </c>
      <c r="J119" s="9" t="n">
        <v>4</v>
      </c>
      <c r="K119" s="9" t="n">
        <v>4</v>
      </c>
      <c r="L119" s="9" t="n">
        <v>4</v>
      </c>
      <c r="M119" s="9" t="n">
        <v>4</v>
      </c>
      <c r="N119" s="10" t="n">
        <f aca="false">AVERAGE(B119:M119)</f>
        <v>4.5</v>
      </c>
    </row>
    <row r="120" customFormat="false" ht="15" hidden="false" customHeight="false" outlineLevel="0" collapsed="false">
      <c r="A120" s="7" t="s">
        <v>511</v>
      </c>
      <c r="B120" s="9" t="n">
        <v>4</v>
      </c>
      <c r="C120" s="9" t="n">
        <v>4</v>
      </c>
      <c r="D120" s="9" t="n">
        <v>3</v>
      </c>
      <c r="E120" s="9" t="n">
        <v>4</v>
      </c>
      <c r="F120" s="9" t="n">
        <v>4</v>
      </c>
      <c r="G120" s="9" t="n">
        <v>5</v>
      </c>
      <c r="H120" s="9" t="n">
        <v>5</v>
      </c>
      <c r="I120" s="9" t="n">
        <v>5</v>
      </c>
      <c r="J120" s="9" t="n">
        <v>4</v>
      </c>
      <c r="K120" s="9" t="n">
        <v>4</v>
      </c>
      <c r="L120" s="9" t="n">
        <v>4</v>
      </c>
      <c r="M120" s="9" t="n">
        <v>4</v>
      </c>
      <c r="N120" s="10" t="n">
        <f aca="false">AVERAGE(B120:M120)</f>
        <v>4.16666666666667</v>
      </c>
    </row>
    <row r="121" customFormat="false" ht="15" hidden="false" customHeight="false" outlineLevel="0" collapsed="false">
      <c r="A121" s="7" t="s">
        <v>512</v>
      </c>
      <c r="B121" s="9" t="n">
        <v>4</v>
      </c>
      <c r="C121" s="9" t="n">
        <v>4</v>
      </c>
      <c r="D121" s="9" t="n">
        <v>4</v>
      </c>
      <c r="E121" s="9" t="n">
        <v>4</v>
      </c>
      <c r="F121" s="9" t="n">
        <v>3</v>
      </c>
      <c r="G121" s="9" t="n">
        <v>3</v>
      </c>
      <c r="H121" s="9" t="n">
        <v>2</v>
      </c>
      <c r="I121" s="9" t="n">
        <v>2</v>
      </c>
      <c r="J121" s="9" t="n">
        <v>2</v>
      </c>
      <c r="K121" s="9" t="n">
        <v>1</v>
      </c>
      <c r="L121" s="9" t="n">
        <v>3</v>
      </c>
      <c r="M121" s="9" t="n">
        <v>2</v>
      </c>
      <c r="N121" s="10" t="n">
        <f aca="false">AVERAGE(B121:M121)</f>
        <v>2.83333333333333</v>
      </c>
    </row>
    <row r="122" customFormat="false" ht="15" hidden="false" customHeight="false" outlineLevel="0" collapsed="false">
      <c r="A122" s="7" t="s">
        <v>513</v>
      </c>
      <c r="B122" s="9" t="n">
        <v>3</v>
      </c>
      <c r="C122" s="9" t="n">
        <v>4</v>
      </c>
      <c r="D122" s="9" t="n">
        <v>3</v>
      </c>
      <c r="E122" s="9" t="n">
        <v>4</v>
      </c>
      <c r="F122" s="9" t="n">
        <v>4</v>
      </c>
      <c r="G122" s="9" t="n">
        <v>4</v>
      </c>
      <c r="H122" s="9" t="n">
        <v>5</v>
      </c>
      <c r="I122" s="9" t="n">
        <v>4</v>
      </c>
      <c r="J122" s="9" t="n">
        <v>2</v>
      </c>
      <c r="K122" s="9" t="n">
        <v>3</v>
      </c>
      <c r="L122" s="9" t="n">
        <v>2</v>
      </c>
      <c r="M122" s="9" t="n">
        <v>3</v>
      </c>
      <c r="N122" s="10" t="n">
        <f aca="false">AVERAGE(B122:M122)</f>
        <v>3.41666666666667</v>
      </c>
    </row>
    <row r="123" customFormat="false" ht="15" hidden="false" customHeight="false" outlineLevel="0" collapsed="false">
      <c r="A123" s="7" t="s">
        <v>514</v>
      </c>
      <c r="B123" s="9" t="n">
        <v>3</v>
      </c>
      <c r="C123" s="9" t="n">
        <v>2</v>
      </c>
      <c r="D123" s="9" t="n">
        <v>2</v>
      </c>
      <c r="E123" s="9" t="n">
        <v>4</v>
      </c>
      <c r="F123" s="9" t="n">
        <v>3</v>
      </c>
      <c r="G123" s="9" t="n">
        <v>4</v>
      </c>
      <c r="H123" s="9" t="n">
        <v>4</v>
      </c>
      <c r="I123" s="9" t="n">
        <v>5</v>
      </c>
      <c r="J123" s="9" t="n">
        <v>3</v>
      </c>
      <c r="K123" s="9" t="n">
        <v>4</v>
      </c>
      <c r="L123" s="9" t="n">
        <v>5</v>
      </c>
      <c r="M123" s="9" t="n">
        <v>4</v>
      </c>
      <c r="N123" s="10" t="n">
        <f aca="false">AVERAGE(B123:M123)</f>
        <v>3.58333333333333</v>
      </c>
    </row>
    <row r="124" customFormat="false" ht="15" hidden="false" customHeight="false" outlineLevel="0" collapsed="false">
      <c r="A124" s="7" t="s">
        <v>515</v>
      </c>
      <c r="B124" s="9" t="n">
        <v>3</v>
      </c>
      <c r="C124" s="9" t="n">
        <v>3</v>
      </c>
      <c r="D124" s="9" t="n">
        <v>2</v>
      </c>
      <c r="E124" s="9" t="n">
        <v>3</v>
      </c>
      <c r="F124" s="9" t="n">
        <v>4</v>
      </c>
      <c r="G124" s="9" t="n">
        <v>3</v>
      </c>
      <c r="H124" s="9" t="n">
        <v>3</v>
      </c>
      <c r="I124" s="9" t="n">
        <v>4</v>
      </c>
      <c r="J124" s="9" t="n">
        <v>3</v>
      </c>
      <c r="K124" s="9" t="n">
        <v>2</v>
      </c>
      <c r="L124" s="9" t="n">
        <v>4</v>
      </c>
      <c r="M124" s="9" t="n">
        <v>4</v>
      </c>
      <c r="N124" s="10" t="n">
        <f aca="false">AVERAGE(B124:M124)</f>
        <v>3.16666666666667</v>
      </c>
    </row>
    <row r="125" customFormat="false" ht="15" hidden="false" customHeight="false" outlineLevel="0" collapsed="false">
      <c r="A125" s="7" t="s">
        <v>516</v>
      </c>
      <c r="B125" s="9" t="n">
        <v>3</v>
      </c>
      <c r="C125" s="9" t="n">
        <v>3</v>
      </c>
      <c r="D125" s="9" t="n">
        <v>3</v>
      </c>
      <c r="E125" s="9" t="n">
        <v>4</v>
      </c>
      <c r="F125" s="9" t="n">
        <v>4</v>
      </c>
      <c r="G125" s="9" t="n">
        <v>5</v>
      </c>
      <c r="H125" s="9" t="n">
        <v>3</v>
      </c>
      <c r="I125" s="9" t="n">
        <v>4</v>
      </c>
      <c r="J125" s="9" t="n">
        <v>4</v>
      </c>
      <c r="K125" s="9" t="n">
        <v>3</v>
      </c>
      <c r="L125" s="9" t="n">
        <v>4</v>
      </c>
      <c r="M125" s="9" t="n">
        <v>3</v>
      </c>
      <c r="N125" s="10" t="n">
        <f aca="false">AVERAGE(B125:M125)</f>
        <v>3.58333333333333</v>
      </c>
    </row>
    <row r="126" customFormat="false" ht="15" hidden="false" customHeight="false" outlineLevel="0" collapsed="false">
      <c r="A126" s="7" t="s">
        <v>517</v>
      </c>
      <c r="B126" s="9" t="n">
        <v>2</v>
      </c>
      <c r="C126" s="9" t="n">
        <v>1</v>
      </c>
      <c r="D126" s="9" t="n">
        <v>2</v>
      </c>
      <c r="E126" s="9" t="n">
        <v>2</v>
      </c>
      <c r="F126" s="9" t="n">
        <v>4</v>
      </c>
      <c r="G126" s="9" t="n">
        <v>3</v>
      </c>
      <c r="H126" s="9" t="n">
        <v>3</v>
      </c>
      <c r="I126" s="9" t="n">
        <v>4</v>
      </c>
      <c r="J126" s="9" t="n">
        <v>3</v>
      </c>
      <c r="K126" s="9" t="n">
        <v>3</v>
      </c>
      <c r="L126" s="9" t="n">
        <v>4</v>
      </c>
      <c r="M126" s="9" t="n">
        <v>4</v>
      </c>
      <c r="N126" s="10" t="n">
        <f aca="false">AVERAGE(B126:M126)</f>
        <v>2.91666666666667</v>
      </c>
    </row>
    <row r="127" customFormat="false" ht="15" hidden="false" customHeight="false" outlineLevel="0" collapsed="false">
      <c r="A127" s="7" t="s">
        <v>518</v>
      </c>
      <c r="B127" s="9" t="n">
        <v>3</v>
      </c>
      <c r="C127" s="9" t="n">
        <v>4</v>
      </c>
      <c r="D127" s="9" t="n">
        <v>5</v>
      </c>
      <c r="E127" s="9" t="n">
        <v>4</v>
      </c>
      <c r="F127" s="9" t="n">
        <v>3</v>
      </c>
      <c r="G127" s="9" t="n">
        <v>3</v>
      </c>
      <c r="H127" s="9" t="n">
        <v>5</v>
      </c>
      <c r="I127" s="9" t="n">
        <v>4</v>
      </c>
      <c r="J127" s="9" t="n">
        <v>5</v>
      </c>
      <c r="K127" s="9" t="n">
        <v>4</v>
      </c>
      <c r="L127" s="9" t="n">
        <v>5</v>
      </c>
      <c r="M127" s="9" t="n">
        <v>5</v>
      </c>
      <c r="N127" s="10" t="n">
        <f aca="false">AVERAGE(B127:M127)</f>
        <v>4.16666666666667</v>
      </c>
    </row>
    <row r="128" customFormat="false" ht="15" hidden="false" customHeight="false" outlineLevel="0" collapsed="false">
      <c r="A128" s="7" t="s">
        <v>519</v>
      </c>
      <c r="B128" s="9" t="n">
        <v>5</v>
      </c>
      <c r="C128" s="9" t="n">
        <v>5</v>
      </c>
      <c r="D128" s="9" t="n">
        <v>4</v>
      </c>
      <c r="E128" s="9" t="n">
        <v>4</v>
      </c>
      <c r="F128" s="9" t="n">
        <v>5</v>
      </c>
      <c r="G128" s="9" t="n">
        <v>4</v>
      </c>
      <c r="H128" s="9" t="n">
        <v>4</v>
      </c>
      <c r="I128" s="9" t="n">
        <v>5</v>
      </c>
      <c r="J128" s="9" t="n">
        <v>4</v>
      </c>
      <c r="K128" s="9" t="n">
        <v>4</v>
      </c>
      <c r="L128" s="9" t="n">
        <v>4</v>
      </c>
      <c r="M128" s="9" t="n">
        <v>3</v>
      </c>
      <c r="N128" s="10" t="n">
        <f aca="false">AVERAGE(B128:M128)</f>
        <v>4.25</v>
      </c>
    </row>
    <row r="129" customFormat="false" ht="15" hidden="false" customHeight="false" outlineLevel="0" collapsed="false">
      <c r="A129" s="7" t="s">
        <v>520</v>
      </c>
      <c r="B129" s="9" t="n">
        <v>4</v>
      </c>
      <c r="C129" s="9" t="n">
        <v>4</v>
      </c>
      <c r="D129" s="9" t="n">
        <v>3</v>
      </c>
      <c r="E129" s="9" t="n">
        <v>3</v>
      </c>
      <c r="F129" s="9" t="n">
        <v>2</v>
      </c>
      <c r="G129" s="9" t="n">
        <v>3</v>
      </c>
      <c r="H129" s="9" t="n">
        <v>4</v>
      </c>
      <c r="I129" s="9" t="n">
        <v>4</v>
      </c>
      <c r="J129" s="9" t="n">
        <v>2</v>
      </c>
      <c r="K129" s="9" t="n">
        <v>3</v>
      </c>
      <c r="L129" s="9" t="n">
        <v>4</v>
      </c>
      <c r="M129" s="9" t="n">
        <v>2</v>
      </c>
      <c r="N129" s="10" t="n">
        <f aca="false">AVERAGE(B129:M129)</f>
        <v>3.16666666666667</v>
      </c>
    </row>
    <row r="130" customFormat="false" ht="15" hidden="false" customHeight="false" outlineLevel="0" collapsed="false">
      <c r="A130" s="7" t="s">
        <v>521</v>
      </c>
      <c r="B130" s="9" t="n">
        <v>5</v>
      </c>
      <c r="C130" s="9" t="n">
        <v>4</v>
      </c>
      <c r="D130" s="9" t="n">
        <v>4</v>
      </c>
      <c r="E130" s="9" t="n">
        <v>4</v>
      </c>
      <c r="F130" s="9" t="n">
        <v>4</v>
      </c>
      <c r="G130" s="9" t="n">
        <v>3</v>
      </c>
      <c r="H130" s="9" t="n">
        <v>4</v>
      </c>
      <c r="I130" s="9" t="n">
        <v>4</v>
      </c>
      <c r="J130" s="9" t="n">
        <v>3</v>
      </c>
      <c r="K130" s="9" t="n">
        <v>4</v>
      </c>
      <c r="L130" s="9" t="n">
        <v>3</v>
      </c>
      <c r="M130" s="9" t="n">
        <v>4</v>
      </c>
      <c r="N130" s="10" t="n">
        <f aca="false">AVERAGE(B130:M130)</f>
        <v>3.83333333333333</v>
      </c>
    </row>
    <row r="131" customFormat="false" ht="15" hidden="false" customHeight="false" outlineLevel="0" collapsed="false">
      <c r="A131" s="7" t="s">
        <v>522</v>
      </c>
      <c r="B131" s="9" t="n">
        <v>4</v>
      </c>
      <c r="C131" s="9" t="n">
        <v>4</v>
      </c>
      <c r="D131" s="9" t="n">
        <v>5</v>
      </c>
      <c r="E131" s="9" t="n">
        <v>4</v>
      </c>
      <c r="F131" s="9" t="n">
        <v>5</v>
      </c>
      <c r="G131" s="9" t="n">
        <v>4</v>
      </c>
      <c r="H131" s="9" t="n">
        <v>4</v>
      </c>
      <c r="I131" s="9" t="n">
        <v>4</v>
      </c>
      <c r="J131" s="9" t="n">
        <v>3</v>
      </c>
      <c r="K131" s="9" t="n">
        <v>4</v>
      </c>
      <c r="L131" s="9" t="n">
        <v>4</v>
      </c>
      <c r="M131" s="9" t="n">
        <v>3</v>
      </c>
      <c r="N131" s="10" t="n">
        <f aca="false">AVERAGE(B131:M131)</f>
        <v>4</v>
      </c>
    </row>
    <row r="132" customFormat="false" ht="15" hidden="false" customHeight="false" outlineLevel="0" collapsed="false">
      <c r="A132" s="7" t="s">
        <v>523</v>
      </c>
      <c r="B132" s="9" t="n">
        <v>5</v>
      </c>
      <c r="C132" s="9" t="n">
        <v>5</v>
      </c>
      <c r="D132" s="9" t="n">
        <v>5</v>
      </c>
      <c r="E132" s="9" t="n">
        <v>5</v>
      </c>
      <c r="F132" s="9" t="n">
        <v>5</v>
      </c>
      <c r="G132" s="9" t="n">
        <v>5</v>
      </c>
      <c r="H132" s="9" t="n">
        <v>5</v>
      </c>
      <c r="I132" s="9" t="n">
        <v>5</v>
      </c>
      <c r="J132" s="9" t="n">
        <v>4</v>
      </c>
      <c r="K132" s="9" t="n">
        <v>5</v>
      </c>
      <c r="L132" s="9" t="n">
        <v>5</v>
      </c>
      <c r="M132" s="9" t="n">
        <v>5</v>
      </c>
      <c r="N132" s="10" t="n">
        <f aca="false">AVERAGE(B132:M132)</f>
        <v>4.91666666666667</v>
      </c>
    </row>
    <row r="133" customFormat="false" ht="15" hidden="false" customHeight="false" outlineLevel="0" collapsed="false">
      <c r="A133" s="7" t="s">
        <v>524</v>
      </c>
      <c r="B133" s="9" t="n">
        <v>4</v>
      </c>
      <c r="C133" s="9" t="n">
        <v>2</v>
      </c>
      <c r="D133" s="9" t="n">
        <v>4</v>
      </c>
      <c r="E133" s="9" t="n">
        <v>4</v>
      </c>
      <c r="F133" s="9" t="n">
        <v>2</v>
      </c>
      <c r="G133" s="9" t="n">
        <v>3</v>
      </c>
      <c r="H133" s="9" t="n">
        <v>2</v>
      </c>
      <c r="I133" s="9" t="n">
        <v>3</v>
      </c>
      <c r="J133" s="9" t="n">
        <v>4</v>
      </c>
      <c r="K133" s="9" t="n">
        <v>3</v>
      </c>
      <c r="L133" s="9" t="n">
        <v>4</v>
      </c>
      <c r="M133" s="9" t="n">
        <v>4</v>
      </c>
      <c r="N133" s="10" t="n">
        <f aca="false">AVERAGE(B133:M133)</f>
        <v>3.25</v>
      </c>
    </row>
    <row r="134" customFormat="false" ht="15" hidden="false" customHeight="false" outlineLevel="0" collapsed="false">
      <c r="A134" s="7" t="s">
        <v>525</v>
      </c>
      <c r="B134" s="9" t="n">
        <v>3</v>
      </c>
      <c r="C134" s="9" t="n">
        <v>4</v>
      </c>
      <c r="D134" s="9" t="n">
        <v>4</v>
      </c>
      <c r="E134" s="9" t="n">
        <v>4</v>
      </c>
      <c r="F134" s="9" t="n">
        <v>4</v>
      </c>
      <c r="G134" s="9" t="n">
        <v>4</v>
      </c>
      <c r="H134" s="9" t="n">
        <v>4</v>
      </c>
      <c r="I134" s="9" t="n">
        <v>4</v>
      </c>
      <c r="J134" s="9" t="n">
        <v>3</v>
      </c>
      <c r="K134" s="9" t="n">
        <v>5</v>
      </c>
      <c r="L134" s="9" t="n">
        <v>4</v>
      </c>
      <c r="M134" s="9" t="n">
        <v>4</v>
      </c>
      <c r="N134" s="10" t="n">
        <f aca="false">AVERAGE(B134:M134)</f>
        <v>3.91666666666667</v>
      </c>
    </row>
    <row r="135" customFormat="false" ht="15" hidden="false" customHeight="false" outlineLevel="0" collapsed="false">
      <c r="A135" s="7" t="s">
        <v>526</v>
      </c>
      <c r="B135" s="9" t="n">
        <v>5</v>
      </c>
      <c r="C135" s="9" t="n">
        <v>3</v>
      </c>
      <c r="D135" s="9" t="n">
        <v>4</v>
      </c>
      <c r="E135" s="9" t="n">
        <v>3</v>
      </c>
      <c r="F135" s="9" t="n">
        <v>3</v>
      </c>
      <c r="G135" s="9" t="n">
        <v>3</v>
      </c>
      <c r="H135" s="9" t="n">
        <v>4</v>
      </c>
      <c r="I135" s="9" t="n">
        <v>4</v>
      </c>
      <c r="J135" s="9" t="n">
        <v>5</v>
      </c>
      <c r="K135" s="9" t="n">
        <v>4</v>
      </c>
      <c r="L135" s="9" t="n">
        <v>4</v>
      </c>
      <c r="M135" s="9" t="n">
        <v>4</v>
      </c>
      <c r="N135" s="10" t="n">
        <f aca="false">AVERAGE(B135:M135)</f>
        <v>3.83333333333333</v>
      </c>
    </row>
    <row r="136" customFormat="false" ht="15" hidden="false" customHeight="false" outlineLevel="0" collapsed="false">
      <c r="A136" s="7" t="s">
        <v>527</v>
      </c>
      <c r="B136" s="9" t="n">
        <v>3</v>
      </c>
      <c r="C136" s="9" t="n">
        <v>2</v>
      </c>
      <c r="D136" s="9" t="n">
        <v>2</v>
      </c>
      <c r="E136" s="9" t="n">
        <v>3</v>
      </c>
      <c r="F136" s="9" t="n">
        <v>3</v>
      </c>
      <c r="G136" s="9" t="n">
        <v>3</v>
      </c>
      <c r="H136" s="9" t="n">
        <v>4</v>
      </c>
      <c r="I136" s="9" t="n">
        <v>4</v>
      </c>
      <c r="J136" s="9" t="n">
        <v>5</v>
      </c>
      <c r="K136" s="9" t="n">
        <v>5</v>
      </c>
      <c r="L136" s="9" t="n">
        <v>4</v>
      </c>
      <c r="M136" s="9" t="n">
        <v>4</v>
      </c>
      <c r="N136" s="10" t="n">
        <f aca="false">AVERAGE(B136:M136)</f>
        <v>3.5</v>
      </c>
    </row>
    <row r="137" customFormat="false" ht="15" hidden="false" customHeight="false" outlineLevel="0" collapsed="false">
      <c r="A137" s="7" t="s">
        <v>528</v>
      </c>
      <c r="B137" s="9" t="n">
        <v>4</v>
      </c>
      <c r="C137" s="9" t="n">
        <v>5</v>
      </c>
      <c r="D137" s="9" t="n">
        <v>4</v>
      </c>
      <c r="E137" s="9" t="n">
        <v>4</v>
      </c>
      <c r="F137" s="9" t="n">
        <v>2</v>
      </c>
      <c r="G137" s="9" t="n">
        <v>3</v>
      </c>
      <c r="H137" s="9" t="n">
        <v>4</v>
      </c>
      <c r="I137" s="9" t="n">
        <v>3</v>
      </c>
      <c r="J137" s="9" t="n">
        <v>4</v>
      </c>
      <c r="K137" s="9" t="n">
        <v>3</v>
      </c>
      <c r="L137" s="9" t="n">
        <v>4</v>
      </c>
      <c r="M137" s="9" t="n">
        <v>4</v>
      </c>
      <c r="N137" s="10" t="n">
        <f aca="false">AVERAGE(B137:M137)</f>
        <v>3.66666666666667</v>
      </c>
    </row>
    <row r="138" customFormat="false" ht="15" hidden="false" customHeight="false" outlineLevel="0" collapsed="false">
      <c r="A138" s="7" t="s">
        <v>529</v>
      </c>
      <c r="B138" s="9" t="n">
        <v>4</v>
      </c>
      <c r="C138" s="9" t="n">
        <v>4</v>
      </c>
      <c r="D138" s="9" t="n">
        <v>4</v>
      </c>
      <c r="E138" s="9" t="n">
        <v>4</v>
      </c>
      <c r="F138" s="9" t="n">
        <v>5</v>
      </c>
      <c r="G138" s="9" t="n">
        <v>5</v>
      </c>
      <c r="H138" s="9" t="n">
        <v>4</v>
      </c>
      <c r="I138" s="9" t="n">
        <v>4</v>
      </c>
      <c r="J138" s="9" t="n">
        <v>4</v>
      </c>
      <c r="K138" s="9" t="n">
        <v>5</v>
      </c>
      <c r="L138" s="9" t="n">
        <v>4</v>
      </c>
      <c r="M138" s="9" t="n">
        <v>4</v>
      </c>
      <c r="N138" s="10" t="n">
        <f aca="false">AVERAGE(B138:M138)</f>
        <v>4.25</v>
      </c>
    </row>
    <row r="139" customFormat="false" ht="15" hidden="false" customHeight="false" outlineLevel="0" collapsed="false">
      <c r="A139" s="7" t="s">
        <v>530</v>
      </c>
      <c r="B139" s="9" t="n">
        <v>3</v>
      </c>
      <c r="C139" s="9" t="n">
        <v>4</v>
      </c>
      <c r="D139" s="9" t="n">
        <v>3</v>
      </c>
      <c r="E139" s="9" t="n">
        <v>4</v>
      </c>
      <c r="F139" s="9" t="n">
        <v>3</v>
      </c>
      <c r="G139" s="9" t="n">
        <v>4</v>
      </c>
      <c r="H139" s="9" t="n">
        <v>3</v>
      </c>
      <c r="I139" s="9" t="n">
        <v>2</v>
      </c>
      <c r="J139" s="9" t="n">
        <v>2</v>
      </c>
      <c r="K139" s="9" t="n">
        <v>2</v>
      </c>
      <c r="L139" s="9" t="n">
        <v>2</v>
      </c>
      <c r="M139" s="9" t="n">
        <v>3</v>
      </c>
      <c r="N139" s="10" t="n">
        <f aca="false">AVERAGE(B139:M139)</f>
        <v>2.91666666666667</v>
      </c>
    </row>
    <row r="140" customFormat="false" ht="15" hidden="false" customHeight="false" outlineLevel="0" collapsed="false">
      <c r="A140" s="7" t="s">
        <v>531</v>
      </c>
      <c r="B140" s="9" t="n">
        <v>3</v>
      </c>
      <c r="C140" s="9" t="n">
        <v>4</v>
      </c>
      <c r="D140" s="9" t="n">
        <v>4</v>
      </c>
      <c r="E140" s="9" t="n">
        <v>3</v>
      </c>
      <c r="F140" s="9" t="n">
        <v>3</v>
      </c>
      <c r="G140" s="9" t="n">
        <v>4</v>
      </c>
      <c r="H140" s="9" t="n">
        <v>4</v>
      </c>
      <c r="I140" s="9" t="n">
        <v>3</v>
      </c>
      <c r="J140" s="9" t="n">
        <v>4</v>
      </c>
      <c r="K140" s="9" t="n">
        <v>4</v>
      </c>
      <c r="L140" s="9" t="n">
        <v>3</v>
      </c>
      <c r="M140" s="9" t="n">
        <v>5</v>
      </c>
      <c r="N140" s="10" t="n">
        <f aca="false">AVERAGE(B140:M140)</f>
        <v>3.66666666666667</v>
      </c>
    </row>
    <row r="141" customFormat="false" ht="15" hidden="false" customHeight="false" outlineLevel="0" collapsed="false">
      <c r="A141" s="7" t="s">
        <v>532</v>
      </c>
      <c r="B141" s="9" t="n">
        <v>4</v>
      </c>
      <c r="C141" s="9" t="n">
        <v>3</v>
      </c>
      <c r="D141" s="9" t="n">
        <v>4</v>
      </c>
      <c r="E141" s="9" t="n">
        <v>4</v>
      </c>
      <c r="F141" s="9" t="n">
        <v>5</v>
      </c>
      <c r="G141" s="9" t="n">
        <v>5</v>
      </c>
      <c r="H141" s="9" t="n">
        <v>5</v>
      </c>
      <c r="I141" s="9" t="n">
        <v>5</v>
      </c>
      <c r="J141" s="9" t="n">
        <v>3</v>
      </c>
      <c r="K141" s="9" t="n">
        <v>4</v>
      </c>
      <c r="L141" s="9" t="n">
        <v>4</v>
      </c>
      <c r="M141" s="9" t="n">
        <v>4</v>
      </c>
      <c r="N141" s="10" t="n">
        <f aca="false">AVERAGE(B141:M141)</f>
        <v>4.16666666666667</v>
      </c>
    </row>
    <row r="142" customFormat="false" ht="15" hidden="false" customHeight="false" outlineLevel="0" collapsed="false">
      <c r="A142" s="7" t="s">
        <v>533</v>
      </c>
      <c r="B142" s="9" t="n">
        <v>4</v>
      </c>
      <c r="C142" s="9" t="n">
        <v>5</v>
      </c>
      <c r="D142" s="9" t="n">
        <v>4</v>
      </c>
      <c r="E142" s="9" t="n">
        <v>3</v>
      </c>
      <c r="F142" s="9" t="n">
        <v>4</v>
      </c>
      <c r="G142" s="9" t="n">
        <v>4</v>
      </c>
      <c r="H142" s="9" t="n">
        <v>4</v>
      </c>
      <c r="I142" s="9" t="n">
        <v>3</v>
      </c>
      <c r="J142" s="9" t="n">
        <v>5</v>
      </c>
      <c r="K142" s="9" t="n">
        <v>5</v>
      </c>
      <c r="L142" s="9" t="n">
        <v>5</v>
      </c>
      <c r="M142" s="9" t="n">
        <v>4</v>
      </c>
      <c r="N142" s="10" t="n">
        <f aca="false">AVERAGE(B142:M142)</f>
        <v>4.16666666666667</v>
      </c>
    </row>
    <row r="143" customFormat="false" ht="15" hidden="false" customHeight="false" outlineLevel="0" collapsed="false">
      <c r="A143" s="7" t="s">
        <v>534</v>
      </c>
      <c r="B143" s="9" t="n">
        <v>4</v>
      </c>
      <c r="C143" s="9" t="n">
        <v>5</v>
      </c>
      <c r="D143" s="9" t="n">
        <v>4</v>
      </c>
      <c r="E143" s="9" t="n">
        <v>4</v>
      </c>
      <c r="F143" s="9" t="n">
        <v>4</v>
      </c>
      <c r="G143" s="9" t="n">
        <v>5</v>
      </c>
      <c r="H143" s="9" t="n">
        <v>4</v>
      </c>
      <c r="I143" s="9" t="n">
        <v>4</v>
      </c>
      <c r="J143" s="9" t="n">
        <v>4</v>
      </c>
      <c r="K143" s="9" t="n">
        <v>4</v>
      </c>
      <c r="L143" s="9" t="n">
        <v>2</v>
      </c>
      <c r="M143" s="9" t="n">
        <v>4</v>
      </c>
      <c r="N143" s="10" t="n">
        <f aca="false">AVERAGE(B143:M143)</f>
        <v>4</v>
      </c>
    </row>
    <row r="144" customFormat="false" ht="15" hidden="false" customHeight="false" outlineLevel="0" collapsed="false">
      <c r="A144" s="7" t="s">
        <v>535</v>
      </c>
      <c r="B144" s="9" t="n">
        <v>3</v>
      </c>
      <c r="C144" s="9" t="n">
        <v>2</v>
      </c>
      <c r="D144" s="9" t="n">
        <v>2</v>
      </c>
      <c r="E144" s="9" t="n">
        <v>1</v>
      </c>
      <c r="F144" s="9" t="n">
        <v>2</v>
      </c>
      <c r="G144" s="9" t="n">
        <v>2</v>
      </c>
      <c r="H144" s="9" t="n">
        <v>2</v>
      </c>
      <c r="I144" s="9" t="n">
        <v>3</v>
      </c>
      <c r="J144" s="9" t="n">
        <v>4</v>
      </c>
      <c r="K144" s="9" t="n">
        <v>4</v>
      </c>
      <c r="L144" s="9" t="n">
        <v>4</v>
      </c>
      <c r="M144" s="9" t="n">
        <v>3</v>
      </c>
      <c r="N144" s="10" t="n">
        <f aca="false">AVERAGE(B144:M144)</f>
        <v>2.66666666666667</v>
      </c>
    </row>
    <row r="145" customFormat="false" ht="15" hidden="false" customHeight="false" outlineLevel="0" collapsed="false">
      <c r="A145" s="7" t="s">
        <v>536</v>
      </c>
      <c r="B145" s="9" t="n">
        <v>5</v>
      </c>
      <c r="C145" s="9" t="n">
        <v>4</v>
      </c>
      <c r="D145" s="9" t="n">
        <v>5</v>
      </c>
      <c r="E145" s="9" t="n">
        <v>4</v>
      </c>
      <c r="F145" s="9" t="n">
        <v>3</v>
      </c>
      <c r="G145" s="9" t="n">
        <v>4</v>
      </c>
      <c r="H145" s="9" t="n">
        <v>4</v>
      </c>
      <c r="I145" s="9" t="n">
        <v>3</v>
      </c>
      <c r="J145" s="9" t="n">
        <v>5</v>
      </c>
      <c r="K145" s="9" t="n">
        <v>4</v>
      </c>
      <c r="L145" s="9" t="n">
        <v>4</v>
      </c>
      <c r="M145" s="9" t="n">
        <v>5</v>
      </c>
      <c r="N145" s="10" t="n">
        <f aca="false">AVERAGE(B145:M145)</f>
        <v>4.16666666666667</v>
      </c>
    </row>
    <row r="146" customFormat="false" ht="15" hidden="false" customHeight="false" outlineLevel="0" collapsed="false">
      <c r="A146" s="7" t="s">
        <v>537</v>
      </c>
      <c r="B146" s="9" t="n">
        <v>3</v>
      </c>
      <c r="C146" s="9" t="n">
        <v>3</v>
      </c>
      <c r="D146" s="9" t="n">
        <v>3</v>
      </c>
      <c r="E146" s="9" t="n">
        <v>4</v>
      </c>
      <c r="F146" s="9" t="n">
        <v>4</v>
      </c>
      <c r="G146" s="9" t="n">
        <v>4</v>
      </c>
      <c r="H146" s="9" t="n">
        <v>4</v>
      </c>
      <c r="I146" s="9" t="n">
        <v>4</v>
      </c>
      <c r="J146" s="9" t="n">
        <v>5</v>
      </c>
      <c r="K146" s="9" t="n">
        <v>5</v>
      </c>
      <c r="L146" s="9" t="n">
        <v>5</v>
      </c>
      <c r="M146" s="9" t="n">
        <v>5</v>
      </c>
      <c r="N146" s="10" t="n">
        <f aca="false">AVERAGE(B146:M146)</f>
        <v>4.08333333333333</v>
      </c>
    </row>
    <row r="147" customFormat="false" ht="15" hidden="false" customHeight="false" outlineLevel="0" collapsed="false">
      <c r="A147" s="7" t="s">
        <v>538</v>
      </c>
      <c r="B147" s="9" t="n">
        <v>3</v>
      </c>
      <c r="C147" s="9" t="n">
        <v>3</v>
      </c>
      <c r="D147" s="9" t="n">
        <v>3</v>
      </c>
      <c r="E147" s="9" t="n">
        <v>3</v>
      </c>
      <c r="F147" s="9" t="n">
        <v>3</v>
      </c>
      <c r="G147" s="9" t="n">
        <v>4</v>
      </c>
      <c r="H147" s="9" t="n">
        <v>3</v>
      </c>
      <c r="I147" s="9" t="n">
        <v>3</v>
      </c>
      <c r="J147" s="9" t="n">
        <v>2</v>
      </c>
      <c r="K147" s="9" t="n">
        <v>3</v>
      </c>
      <c r="L147" s="9" t="n">
        <v>3</v>
      </c>
      <c r="M147" s="9" t="n">
        <v>3</v>
      </c>
      <c r="N147" s="10" t="n">
        <f aca="false">AVERAGE(B147:M147)</f>
        <v>3</v>
      </c>
    </row>
    <row r="148" customFormat="false" ht="15" hidden="false" customHeight="false" outlineLevel="0" collapsed="false">
      <c r="A148" s="7" t="s">
        <v>539</v>
      </c>
      <c r="B148" s="9" t="n">
        <v>1</v>
      </c>
      <c r="C148" s="9" t="n">
        <v>2</v>
      </c>
      <c r="D148" s="9" t="n">
        <v>1</v>
      </c>
      <c r="E148" s="9" t="n">
        <v>1</v>
      </c>
      <c r="F148" s="9" t="n">
        <v>2</v>
      </c>
      <c r="G148" s="9" t="n">
        <v>2</v>
      </c>
      <c r="H148" s="9" t="n">
        <v>1</v>
      </c>
      <c r="I148" s="9" t="n">
        <v>2</v>
      </c>
      <c r="J148" s="9" t="n">
        <v>4</v>
      </c>
      <c r="K148" s="9" t="n">
        <v>4</v>
      </c>
      <c r="L148" s="9" t="n">
        <v>4</v>
      </c>
      <c r="M148" s="9" t="n">
        <v>3</v>
      </c>
      <c r="N148" s="10" t="n">
        <f aca="false">AVERAGE(B148:M148)</f>
        <v>2.25</v>
      </c>
    </row>
    <row r="149" customFormat="false" ht="15" hidden="false" customHeight="false" outlineLevel="0" collapsed="false">
      <c r="A149" s="7" t="s">
        <v>540</v>
      </c>
      <c r="B149" s="9" t="n">
        <v>4</v>
      </c>
      <c r="C149" s="9" t="n">
        <v>5</v>
      </c>
      <c r="D149" s="9" t="n">
        <v>5</v>
      </c>
      <c r="E149" s="9" t="n">
        <v>4</v>
      </c>
      <c r="F149" s="9" t="n">
        <v>5</v>
      </c>
      <c r="G149" s="9" t="n">
        <v>4</v>
      </c>
      <c r="H149" s="9" t="n">
        <v>4</v>
      </c>
      <c r="I149" s="9" t="n">
        <v>4</v>
      </c>
      <c r="J149" s="9" t="n">
        <v>3</v>
      </c>
      <c r="K149" s="9" t="n">
        <v>4</v>
      </c>
      <c r="L149" s="9" t="n">
        <v>3</v>
      </c>
      <c r="M149" s="9" t="n">
        <v>4</v>
      </c>
      <c r="N149" s="10" t="n">
        <f aca="false">AVERAGE(B149:M149)</f>
        <v>4.08333333333333</v>
      </c>
    </row>
    <row r="150" customFormat="false" ht="15" hidden="false" customHeight="false" outlineLevel="0" collapsed="false">
      <c r="A150" s="7" t="s">
        <v>541</v>
      </c>
      <c r="B150" s="9" t="n">
        <v>4</v>
      </c>
      <c r="C150" s="9" t="n">
        <v>4</v>
      </c>
      <c r="D150" s="9" t="n">
        <v>4</v>
      </c>
      <c r="E150" s="9" t="n">
        <v>5</v>
      </c>
      <c r="F150" s="9" t="n">
        <v>2</v>
      </c>
      <c r="G150" s="9" t="n">
        <v>2</v>
      </c>
      <c r="H150" s="9" t="n">
        <v>3</v>
      </c>
      <c r="I150" s="9" t="n">
        <v>2</v>
      </c>
      <c r="J150" s="9" t="n">
        <v>4</v>
      </c>
      <c r="K150" s="9" t="n">
        <v>4</v>
      </c>
      <c r="L150" s="9" t="n">
        <v>5</v>
      </c>
      <c r="M150" s="9" t="n">
        <v>4</v>
      </c>
      <c r="N150" s="10" t="n">
        <f aca="false">AVERAGE(B150:M150)</f>
        <v>3.58333333333333</v>
      </c>
    </row>
    <row r="151" customFormat="false" ht="15" hidden="false" customHeight="false" outlineLevel="0" collapsed="false">
      <c r="A151" s="7" t="s">
        <v>542</v>
      </c>
      <c r="B151" s="9" t="n">
        <v>3</v>
      </c>
      <c r="C151" s="9" t="n">
        <v>2</v>
      </c>
      <c r="D151" s="9" t="n">
        <v>2</v>
      </c>
      <c r="E151" s="9" t="n">
        <v>2</v>
      </c>
      <c r="F151" s="9" t="n">
        <v>5</v>
      </c>
      <c r="G151" s="9" t="n">
        <v>4</v>
      </c>
      <c r="H151" s="9" t="n">
        <v>4</v>
      </c>
      <c r="I151" s="9" t="n">
        <v>5</v>
      </c>
      <c r="J151" s="9" t="n">
        <v>4</v>
      </c>
      <c r="K151" s="9" t="n">
        <v>5</v>
      </c>
      <c r="L151" s="9" t="n">
        <v>5</v>
      </c>
      <c r="M151" s="9" t="n">
        <v>4</v>
      </c>
      <c r="N151" s="10" t="n">
        <f aca="false">AVERAGE(B151:M151)</f>
        <v>3.75</v>
      </c>
    </row>
    <row r="152" customFormat="false" ht="15" hidden="false" customHeight="false" outlineLevel="0" collapsed="false">
      <c r="A152" s="7" t="s">
        <v>543</v>
      </c>
      <c r="B152" s="9" t="n">
        <v>3</v>
      </c>
      <c r="C152" s="9" t="n">
        <v>3</v>
      </c>
      <c r="D152" s="9" t="n">
        <v>2</v>
      </c>
      <c r="E152" s="9" t="n">
        <v>2</v>
      </c>
      <c r="F152" s="9" t="n">
        <v>3</v>
      </c>
      <c r="G152" s="9" t="n">
        <v>4</v>
      </c>
      <c r="H152" s="9" t="n">
        <v>3</v>
      </c>
      <c r="I152" s="9" t="n">
        <v>4</v>
      </c>
      <c r="J152" s="9" t="n">
        <v>2</v>
      </c>
      <c r="K152" s="9" t="n">
        <v>3</v>
      </c>
      <c r="L152" s="9" t="n">
        <v>3</v>
      </c>
      <c r="M152" s="9" t="n">
        <v>3</v>
      </c>
      <c r="N152" s="10" t="n">
        <f aca="false">AVERAGE(B152:M152)</f>
        <v>2.91666666666667</v>
      </c>
    </row>
    <row r="153" customFormat="false" ht="15" hidden="false" customHeight="false" outlineLevel="0" collapsed="false">
      <c r="A153" s="7" t="s">
        <v>544</v>
      </c>
      <c r="B153" s="9" t="n">
        <v>4</v>
      </c>
      <c r="C153" s="9" t="n">
        <v>2</v>
      </c>
      <c r="D153" s="9" t="n">
        <v>2</v>
      </c>
      <c r="E153" s="9" t="n">
        <v>4</v>
      </c>
      <c r="F153" s="9" t="n">
        <v>2</v>
      </c>
      <c r="G153" s="9" t="n">
        <v>3</v>
      </c>
      <c r="H153" s="9" t="n">
        <v>3</v>
      </c>
      <c r="I153" s="9" t="n">
        <v>2</v>
      </c>
      <c r="J153" s="9" t="n">
        <v>4</v>
      </c>
      <c r="K153" s="9" t="n">
        <v>4</v>
      </c>
      <c r="L153" s="9" t="n">
        <v>5</v>
      </c>
      <c r="M153" s="9" t="n">
        <v>4</v>
      </c>
      <c r="N153" s="10" t="n">
        <f aca="false">AVERAGE(B153:M153)</f>
        <v>3.25</v>
      </c>
    </row>
    <row r="154" customFormat="false" ht="15" hidden="false" customHeight="false" outlineLevel="0" collapsed="false">
      <c r="A154" s="7" t="s">
        <v>545</v>
      </c>
      <c r="B154" s="9" t="n">
        <v>4</v>
      </c>
      <c r="C154" s="9" t="n">
        <v>4</v>
      </c>
      <c r="D154" s="9" t="n">
        <v>3</v>
      </c>
      <c r="E154" s="9" t="n">
        <v>4</v>
      </c>
      <c r="F154" s="9" t="n">
        <v>3</v>
      </c>
      <c r="G154" s="9" t="n">
        <v>2</v>
      </c>
      <c r="H154" s="9" t="n">
        <v>1</v>
      </c>
      <c r="I154" s="9" t="n">
        <v>3</v>
      </c>
      <c r="J154" s="9" t="n">
        <v>4</v>
      </c>
      <c r="K154" s="9" t="n">
        <v>4</v>
      </c>
      <c r="L154" s="9" t="n">
        <v>5</v>
      </c>
      <c r="M154" s="9" t="n">
        <v>4</v>
      </c>
      <c r="N154" s="10" t="n">
        <f aca="false">AVERAGE(B154:M154)</f>
        <v>3.41666666666667</v>
      </c>
    </row>
    <row r="155" customFormat="false" ht="15" hidden="false" customHeight="false" outlineLevel="0" collapsed="false">
      <c r="A155" s="7" t="s">
        <v>546</v>
      </c>
      <c r="B155" s="9" t="n">
        <v>4</v>
      </c>
      <c r="C155" s="9" t="n">
        <v>3</v>
      </c>
      <c r="D155" s="9" t="n">
        <v>3</v>
      </c>
      <c r="E155" s="9" t="n">
        <v>2</v>
      </c>
      <c r="F155" s="9" t="n">
        <v>5</v>
      </c>
      <c r="G155" s="9" t="n">
        <v>5</v>
      </c>
      <c r="H155" s="9" t="n">
        <v>5</v>
      </c>
      <c r="I155" s="9" t="n">
        <v>5</v>
      </c>
      <c r="J155" s="9" t="n">
        <v>2</v>
      </c>
      <c r="K155" s="9" t="n">
        <v>2</v>
      </c>
      <c r="L155" s="9" t="n">
        <v>2</v>
      </c>
      <c r="M155" s="9" t="n">
        <v>2</v>
      </c>
      <c r="N155" s="10" t="n">
        <f aca="false">AVERAGE(B155:M155)</f>
        <v>3.33333333333333</v>
      </c>
    </row>
    <row r="156" customFormat="false" ht="15" hidden="false" customHeight="false" outlineLevel="0" collapsed="false">
      <c r="A156" s="7" t="s">
        <v>547</v>
      </c>
      <c r="B156" s="9" t="n">
        <v>2</v>
      </c>
      <c r="C156" s="9" t="n">
        <v>2</v>
      </c>
      <c r="D156" s="9" t="n">
        <v>4</v>
      </c>
      <c r="E156" s="9" t="n">
        <v>3</v>
      </c>
      <c r="F156" s="9" t="n">
        <v>3</v>
      </c>
      <c r="G156" s="9" t="n">
        <v>3</v>
      </c>
      <c r="H156" s="9" t="n">
        <v>4</v>
      </c>
      <c r="I156" s="9" t="n">
        <v>4</v>
      </c>
      <c r="J156" s="9" t="n">
        <v>1</v>
      </c>
      <c r="K156" s="9" t="n">
        <v>3</v>
      </c>
      <c r="L156" s="9" t="n">
        <v>2</v>
      </c>
      <c r="M156" s="9" t="n">
        <v>2</v>
      </c>
      <c r="N156" s="10" t="n">
        <f aca="false">AVERAGE(B156:M156)</f>
        <v>2.75</v>
      </c>
    </row>
    <row r="157" customFormat="false" ht="15" hidden="false" customHeight="false" outlineLevel="0" collapsed="false">
      <c r="A157" s="7" t="s">
        <v>548</v>
      </c>
      <c r="B157" s="9" t="n">
        <v>5</v>
      </c>
      <c r="C157" s="9" t="n">
        <v>5</v>
      </c>
      <c r="D157" s="9" t="n">
        <v>5</v>
      </c>
      <c r="E157" s="9" t="n">
        <v>5</v>
      </c>
      <c r="F157" s="9" t="n">
        <v>4</v>
      </c>
      <c r="G157" s="9" t="n">
        <v>3</v>
      </c>
      <c r="H157" s="9" t="n">
        <v>4</v>
      </c>
      <c r="I157" s="9" t="n">
        <v>3</v>
      </c>
      <c r="J157" s="9" t="n">
        <v>3</v>
      </c>
      <c r="K157" s="9" t="n">
        <v>3</v>
      </c>
      <c r="L157" s="9" t="n">
        <v>4</v>
      </c>
      <c r="M157" s="9" t="n">
        <v>2</v>
      </c>
      <c r="N157" s="10" t="n">
        <f aca="false">AVERAGE(B157:M157)</f>
        <v>3.83333333333333</v>
      </c>
    </row>
    <row r="158" customFormat="false" ht="15" hidden="false" customHeight="false" outlineLevel="0" collapsed="false">
      <c r="A158" s="7" t="s">
        <v>549</v>
      </c>
      <c r="B158" s="9" t="n">
        <v>2</v>
      </c>
      <c r="C158" s="9" t="n">
        <v>3</v>
      </c>
      <c r="D158" s="9" t="n">
        <v>3</v>
      </c>
      <c r="E158" s="9" t="n">
        <v>3</v>
      </c>
      <c r="F158" s="9" t="n">
        <v>1</v>
      </c>
      <c r="G158" s="9" t="n">
        <v>3</v>
      </c>
      <c r="H158" s="9" t="n">
        <v>2</v>
      </c>
      <c r="I158" s="9" t="n">
        <v>3</v>
      </c>
      <c r="J158" s="9" t="n">
        <v>3</v>
      </c>
      <c r="K158" s="9" t="n">
        <v>5</v>
      </c>
      <c r="L158" s="9" t="n">
        <v>4</v>
      </c>
      <c r="M158" s="9" t="n">
        <v>3</v>
      </c>
      <c r="N158" s="10" t="n">
        <f aca="false">AVERAGE(B158:M158)</f>
        <v>2.91666666666667</v>
      </c>
    </row>
    <row r="159" customFormat="false" ht="15" hidden="false" customHeight="false" outlineLevel="0" collapsed="false">
      <c r="A159" s="7" t="s">
        <v>550</v>
      </c>
      <c r="B159" s="9" t="n">
        <v>5</v>
      </c>
      <c r="C159" s="9" t="n">
        <v>5</v>
      </c>
      <c r="D159" s="9" t="n">
        <v>5</v>
      </c>
      <c r="E159" s="9" t="n">
        <v>5</v>
      </c>
      <c r="F159" s="9" t="n">
        <v>5</v>
      </c>
      <c r="G159" s="9" t="n">
        <v>4</v>
      </c>
      <c r="H159" s="9" t="n">
        <v>5</v>
      </c>
      <c r="I159" s="9" t="n">
        <v>4</v>
      </c>
      <c r="J159" s="9" t="n">
        <v>5</v>
      </c>
      <c r="K159" s="9" t="n">
        <v>4</v>
      </c>
      <c r="L159" s="9" t="n">
        <v>4</v>
      </c>
      <c r="M159" s="9" t="n">
        <v>3</v>
      </c>
      <c r="N159" s="10" t="n">
        <f aca="false">AVERAGE(B159:M159)</f>
        <v>4.5</v>
      </c>
    </row>
    <row r="160" customFormat="false" ht="15" hidden="false" customHeight="false" outlineLevel="0" collapsed="false">
      <c r="A160" s="7" t="s">
        <v>551</v>
      </c>
      <c r="B160" s="9" t="n">
        <v>3</v>
      </c>
      <c r="C160" s="9" t="n">
        <v>5</v>
      </c>
      <c r="D160" s="9" t="n">
        <v>4</v>
      </c>
      <c r="E160" s="9" t="n">
        <v>4</v>
      </c>
      <c r="F160" s="9" t="n">
        <v>3</v>
      </c>
      <c r="G160" s="9" t="n">
        <v>3</v>
      </c>
      <c r="H160" s="9" t="n">
        <v>4</v>
      </c>
      <c r="I160" s="9" t="n">
        <v>3</v>
      </c>
      <c r="J160" s="9" t="n">
        <v>3</v>
      </c>
      <c r="K160" s="9" t="n">
        <v>3</v>
      </c>
      <c r="L160" s="9" t="n">
        <v>2</v>
      </c>
      <c r="M160" s="9" t="n">
        <v>4</v>
      </c>
      <c r="N160" s="10" t="n">
        <f aca="false">AVERAGE(B160:M160)</f>
        <v>3.41666666666667</v>
      </c>
    </row>
    <row r="161" customFormat="false" ht="15" hidden="false" customHeight="false" outlineLevel="0" collapsed="false">
      <c r="A161" s="7" t="s">
        <v>552</v>
      </c>
      <c r="B161" s="9" t="n">
        <v>4</v>
      </c>
      <c r="C161" s="9" t="n">
        <v>2</v>
      </c>
      <c r="D161" s="9" t="n">
        <v>4</v>
      </c>
      <c r="E161" s="9" t="n">
        <v>3</v>
      </c>
      <c r="F161" s="9" t="n">
        <v>4</v>
      </c>
      <c r="G161" s="9" t="n">
        <v>4</v>
      </c>
      <c r="H161" s="9" t="n">
        <v>3</v>
      </c>
      <c r="I161" s="9" t="n">
        <v>3</v>
      </c>
      <c r="J161" s="9" t="n">
        <v>5</v>
      </c>
      <c r="K161" s="9" t="n">
        <v>5</v>
      </c>
      <c r="L161" s="9" t="n">
        <v>5</v>
      </c>
      <c r="M161" s="9" t="n">
        <v>5</v>
      </c>
      <c r="N161" s="10" t="n">
        <f aca="false">AVERAGE(B161:M161)</f>
        <v>3.91666666666667</v>
      </c>
    </row>
    <row r="162" customFormat="false" ht="15" hidden="false" customHeight="false" outlineLevel="0" collapsed="false">
      <c r="A162" s="7" t="s">
        <v>553</v>
      </c>
      <c r="B162" s="9" t="n">
        <v>5</v>
      </c>
      <c r="C162" s="9" t="n">
        <v>5</v>
      </c>
      <c r="D162" s="9" t="n">
        <v>4</v>
      </c>
      <c r="E162" s="9" t="n">
        <v>5</v>
      </c>
      <c r="F162" s="9" t="n">
        <v>4</v>
      </c>
      <c r="G162" s="9" t="n">
        <v>4</v>
      </c>
      <c r="H162" s="9" t="n">
        <v>5</v>
      </c>
      <c r="I162" s="9" t="n">
        <v>4</v>
      </c>
      <c r="J162" s="9" t="n">
        <v>4</v>
      </c>
      <c r="K162" s="9" t="n">
        <v>4</v>
      </c>
      <c r="L162" s="9" t="n">
        <v>4</v>
      </c>
      <c r="M162" s="9" t="n">
        <v>4</v>
      </c>
      <c r="N162" s="10" t="n">
        <f aca="false">AVERAGE(B162:M162)</f>
        <v>4.33333333333333</v>
      </c>
    </row>
    <row r="163" customFormat="false" ht="15" hidden="false" customHeight="false" outlineLevel="0" collapsed="false">
      <c r="A163" s="7" t="s">
        <v>554</v>
      </c>
      <c r="B163" s="9" t="n">
        <v>5</v>
      </c>
      <c r="C163" s="9" t="n">
        <v>5</v>
      </c>
      <c r="D163" s="9" t="n">
        <v>5</v>
      </c>
      <c r="E163" s="9" t="n">
        <v>5</v>
      </c>
      <c r="F163" s="9" t="n">
        <v>3</v>
      </c>
      <c r="G163" s="9" t="n">
        <v>3</v>
      </c>
      <c r="H163" s="9" t="n">
        <v>3</v>
      </c>
      <c r="I163" s="9" t="n">
        <v>3</v>
      </c>
      <c r="J163" s="9" t="n">
        <v>5</v>
      </c>
      <c r="K163" s="9" t="n">
        <v>4</v>
      </c>
      <c r="L163" s="9" t="n">
        <v>4</v>
      </c>
      <c r="M163" s="9" t="n">
        <v>5</v>
      </c>
      <c r="N163" s="10" t="n">
        <f aca="false">AVERAGE(B163:M163)</f>
        <v>4.16666666666667</v>
      </c>
    </row>
    <row r="164" customFormat="false" ht="15" hidden="false" customHeight="false" outlineLevel="0" collapsed="false">
      <c r="A164" s="7" t="s">
        <v>555</v>
      </c>
      <c r="B164" s="9" t="n">
        <v>4</v>
      </c>
      <c r="C164" s="9" t="n">
        <v>4</v>
      </c>
      <c r="D164" s="9" t="n">
        <v>5</v>
      </c>
      <c r="E164" s="9" t="n">
        <v>4</v>
      </c>
      <c r="F164" s="9" t="n">
        <v>5</v>
      </c>
      <c r="G164" s="9" t="n">
        <v>3</v>
      </c>
      <c r="H164" s="9" t="n">
        <v>5</v>
      </c>
      <c r="I164" s="9" t="n">
        <v>4</v>
      </c>
      <c r="J164" s="9" t="n">
        <v>5</v>
      </c>
      <c r="K164" s="9" t="n">
        <v>5</v>
      </c>
      <c r="L164" s="9" t="n">
        <v>4</v>
      </c>
      <c r="M164" s="9" t="n">
        <v>5</v>
      </c>
      <c r="N164" s="10" t="n">
        <f aca="false">AVERAGE(B164:M164)</f>
        <v>4.41666666666667</v>
      </c>
    </row>
    <row r="165" customFormat="false" ht="15" hidden="false" customHeight="false" outlineLevel="0" collapsed="false">
      <c r="A165" s="7" t="s">
        <v>556</v>
      </c>
      <c r="B165" s="9" t="n">
        <v>4</v>
      </c>
      <c r="C165" s="9" t="n">
        <v>2</v>
      </c>
      <c r="D165" s="9" t="n">
        <v>3</v>
      </c>
      <c r="E165" s="9" t="n">
        <v>2</v>
      </c>
      <c r="F165" s="9" t="n">
        <v>4</v>
      </c>
      <c r="G165" s="9" t="n">
        <v>4</v>
      </c>
      <c r="H165" s="9" t="n">
        <v>2</v>
      </c>
      <c r="I165" s="9" t="n">
        <v>3</v>
      </c>
      <c r="J165" s="9" t="n">
        <v>2</v>
      </c>
      <c r="K165" s="9" t="n">
        <v>3</v>
      </c>
      <c r="L165" s="9" t="n">
        <v>4</v>
      </c>
      <c r="M165" s="9" t="n">
        <v>4</v>
      </c>
      <c r="N165" s="10" t="n">
        <f aca="false">AVERAGE(B165:M165)</f>
        <v>3.08333333333333</v>
      </c>
    </row>
    <row r="166" customFormat="false" ht="15" hidden="false" customHeight="false" outlineLevel="0" collapsed="false">
      <c r="A166" s="7" t="s">
        <v>557</v>
      </c>
      <c r="B166" s="9" t="n">
        <v>2</v>
      </c>
      <c r="C166" s="9" t="n">
        <v>3</v>
      </c>
      <c r="D166" s="9" t="n">
        <v>2</v>
      </c>
      <c r="E166" s="9" t="n">
        <v>2</v>
      </c>
      <c r="F166" s="9" t="n">
        <v>5</v>
      </c>
      <c r="G166" s="9" t="n">
        <v>4</v>
      </c>
      <c r="H166" s="9" t="n">
        <v>4</v>
      </c>
      <c r="I166" s="9" t="n">
        <v>5</v>
      </c>
      <c r="J166" s="9" t="n">
        <v>3</v>
      </c>
      <c r="K166" s="9" t="n">
        <v>3</v>
      </c>
      <c r="L166" s="9" t="n">
        <v>2</v>
      </c>
      <c r="M166" s="9" t="n">
        <v>3</v>
      </c>
      <c r="N166" s="10" t="n">
        <f aca="false">AVERAGE(B166:M166)</f>
        <v>3.16666666666667</v>
      </c>
    </row>
    <row r="167" customFormat="false" ht="15" hidden="false" customHeight="false" outlineLevel="0" collapsed="false">
      <c r="A167" s="7" t="s">
        <v>558</v>
      </c>
      <c r="B167" s="9" t="n">
        <v>3</v>
      </c>
      <c r="C167" s="9" t="n">
        <v>3</v>
      </c>
      <c r="D167" s="9" t="n">
        <v>3</v>
      </c>
      <c r="E167" s="9" t="n">
        <v>4</v>
      </c>
      <c r="F167" s="9" t="n">
        <v>4</v>
      </c>
      <c r="G167" s="9" t="n">
        <v>4</v>
      </c>
      <c r="H167" s="9" t="n">
        <v>4</v>
      </c>
      <c r="I167" s="9" t="n">
        <v>5</v>
      </c>
      <c r="J167" s="9" t="n">
        <v>4</v>
      </c>
      <c r="K167" s="9" t="n">
        <v>4</v>
      </c>
      <c r="L167" s="9" t="n">
        <v>5</v>
      </c>
      <c r="M167" s="9" t="n">
        <v>4</v>
      </c>
      <c r="N167" s="10" t="n">
        <f aca="false">AVERAGE(B167:M167)</f>
        <v>3.91666666666667</v>
      </c>
    </row>
    <row r="168" customFormat="false" ht="15" hidden="false" customHeight="false" outlineLevel="0" collapsed="false">
      <c r="A168" s="7" t="s">
        <v>559</v>
      </c>
      <c r="B168" s="9" t="n">
        <v>4</v>
      </c>
      <c r="C168" s="9" t="n">
        <v>4</v>
      </c>
      <c r="D168" s="9" t="n">
        <v>4</v>
      </c>
      <c r="E168" s="9" t="n">
        <v>4</v>
      </c>
      <c r="F168" s="9" t="n">
        <v>2</v>
      </c>
      <c r="G168" s="9" t="n">
        <v>2</v>
      </c>
      <c r="H168" s="9" t="n">
        <v>3</v>
      </c>
      <c r="I168" s="9" t="n">
        <v>3</v>
      </c>
      <c r="J168" s="9" t="n">
        <v>4</v>
      </c>
      <c r="K168" s="9" t="n">
        <v>4</v>
      </c>
      <c r="L168" s="9" t="n">
        <v>4</v>
      </c>
      <c r="M168" s="9" t="n">
        <v>4</v>
      </c>
      <c r="N168" s="10" t="n">
        <f aca="false">AVERAGE(B168:M168)</f>
        <v>3.5</v>
      </c>
    </row>
    <row r="169" customFormat="false" ht="15" hidden="false" customHeight="false" outlineLevel="0" collapsed="false">
      <c r="A169" s="7" t="s">
        <v>560</v>
      </c>
      <c r="B169" s="9" t="n">
        <v>4</v>
      </c>
      <c r="C169" s="9" t="n">
        <v>4</v>
      </c>
      <c r="D169" s="9" t="n">
        <v>5</v>
      </c>
      <c r="E169" s="9" t="n">
        <v>3</v>
      </c>
      <c r="F169" s="9" t="n">
        <v>2</v>
      </c>
      <c r="G169" s="9" t="n">
        <v>4</v>
      </c>
      <c r="H169" s="9" t="n">
        <v>4</v>
      </c>
      <c r="I169" s="9" t="n">
        <v>3</v>
      </c>
      <c r="J169" s="9" t="n">
        <v>3</v>
      </c>
      <c r="K169" s="9" t="n">
        <v>4</v>
      </c>
      <c r="L169" s="9" t="n">
        <v>4</v>
      </c>
      <c r="M169" s="9" t="n">
        <v>4</v>
      </c>
      <c r="N169" s="10" t="n">
        <f aca="false">AVERAGE(B169:M169)</f>
        <v>3.66666666666667</v>
      </c>
    </row>
    <row r="170" customFormat="false" ht="15" hidden="false" customHeight="false" outlineLevel="0" collapsed="false">
      <c r="A170" s="7" t="s">
        <v>561</v>
      </c>
      <c r="B170" s="9" t="n">
        <v>4</v>
      </c>
      <c r="C170" s="9" t="n">
        <v>3</v>
      </c>
      <c r="D170" s="9" t="n">
        <v>3</v>
      </c>
      <c r="E170" s="9" t="n">
        <v>3</v>
      </c>
      <c r="F170" s="9" t="n">
        <v>3</v>
      </c>
      <c r="G170" s="9" t="n">
        <v>3</v>
      </c>
      <c r="H170" s="9" t="n">
        <v>3</v>
      </c>
      <c r="I170" s="9" t="n">
        <v>1</v>
      </c>
      <c r="J170" s="9" t="n">
        <v>4</v>
      </c>
      <c r="K170" s="9" t="n">
        <v>4</v>
      </c>
      <c r="L170" s="9" t="n">
        <v>4</v>
      </c>
      <c r="M170" s="9" t="n">
        <v>4</v>
      </c>
      <c r="N170" s="10" t="n">
        <f aca="false">AVERAGE(B170:M170)</f>
        <v>3.25</v>
      </c>
    </row>
    <row r="171" customFormat="false" ht="15" hidden="false" customHeight="false" outlineLevel="0" collapsed="false">
      <c r="A171" s="7" t="s">
        <v>562</v>
      </c>
      <c r="B171" s="9" t="n">
        <v>5</v>
      </c>
      <c r="C171" s="9" t="n">
        <v>5</v>
      </c>
      <c r="D171" s="9" t="n">
        <v>4</v>
      </c>
      <c r="E171" s="9" t="n">
        <v>4</v>
      </c>
      <c r="F171" s="9" t="n">
        <v>5</v>
      </c>
      <c r="G171" s="9" t="n">
        <v>5</v>
      </c>
      <c r="H171" s="9" t="n">
        <v>4</v>
      </c>
      <c r="I171" s="9" t="n">
        <v>5</v>
      </c>
      <c r="J171" s="9" t="n">
        <v>4</v>
      </c>
      <c r="K171" s="9" t="n">
        <v>5</v>
      </c>
      <c r="L171" s="9" t="n">
        <v>4</v>
      </c>
      <c r="M171" s="9" t="n">
        <v>4</v>
      </c>
      <c r="N171" s="10" t="n">
        <f aca="false">AVERAGE(B171:M171)</f>
        <v>4.5</v>
      </c>
    </row>
    <row r="172" customFormat="false" ht="15" hidden="false" customHeight="false" outlineLevel="0" collapsed="false">
      <c r="A172" s="7" t="s">
        <v>563</v>
      </c>
      <c r="B172" s="9" t="n">
        <v>3</v>
      </c>
      <c r="C172" s="9" t="n">
        <v>3</v>
      </c>
      <c r="D172" s="9" t="n">
        <v>3</v>
      </c>
      <c r="E172" s="9" t="n">
        <v>3</v>
      </c>
      <c r="F172" s="9" t="n">
        <v>4</v>
      </c>
      <c r="G172" s="9" t="n">
        <v>5</v>
      </c>
      <c r="H172" s="9" t="n">
        <v>4</v>
      </c>
      <c r="I172" s="9" t="n">
        <v>3</v>
      </c>
      <c r="J172" s="9" t="n">
        <v>4</v>
      </c>
      <c r="K172" s="9" t="n">
        <v>3</v>
      </c>
      <c r="L172" s="9" t="n">
        <v>4</v>
      </c>
      <c r="M172" s="9" t="n">
        <v>4</v>
      </c>
      <c r="N172" s="10" t="n">
        <f aca="false">AVERAGE(B172:M172)</f>
        <v>3.58333333333333</v>
      </c>
    </row>
    <row r="173" customFormat="false" ht="15" hidden="false" customHeight="false" outlineLevel="0" collapsed="false">
      <c r="A173" s="7" t="s">
        <v>564</v>
      </c>
      <c r="B173" s="9" t="n">
        <v>1</v>
      </c>
      <c r="C173" s="9" t="n">
        <v>2</v>
      </c>
      <c r="D173" s="9" t="n">
        <v>2</v>
      </c>
      <c r="E173" s="9" t="n">
        <v>2</v>
      </c>
      <c r="F173" s="9" t="n">
        <v>3</v>
      </c>
      <c r="G173" s="9" t="n">
        <v>3</v>
      </c>
      <c r="H173" s="9" t="n">
        <v>3</v>
      </c>
      <c r="I173" s="9" t="n">
        <v>3</v>
      </c>
      <c r="J173" s="9" t="n">
        <v>4</v>
      </c>
      <c r="K173" s="9" t="n">
        <v>3</v>
      </c>
      <c r="L173" s="9" t="n">
        <v>4</v>
      </c>
      <c r="M173" s="9" t="n">
        <v>4</v>
      </c>
      <c r="N173" s="10" t="n">
        <f aca="false">AVERAGE(B173:M173)</f>
        <v>2.83333333333333</v>
      </c>
    </row>
    <row r="174" customFormat="false" ht="15" hidden="false" customHeight="false" outlineLevel="0" collapsed="false">
      <c r="A174" s="7" t="s">
        <v>565</v>
      </c>
      <c r="B174" s="9" t="n">
        <v>3</v>
      </c>
      <c r="C174" s="9" t="n">
        <v>4</v>
      </c>
      <c r="D174" s="9" t="n">
        <v>3</v>
      </c>
      <c r="E174" s="9" t="n">
        <v>3</v>
      </c>
      <c r="F174" s="9" t="n">
        <v>1</v>
      </c>
      <c r="G174" s="9" t="n">
        <v>2</v>
      </c>
      <c r="H174" s="9" t="n">
        <v>3</v>
      </c>
      <c r="I174" s="9" t="n">
        <v>3</v>
      </c>
      <c r="J174" s="9" t="n">
        <v>4</v>
      </c>
      <c r="K174" s="9" t="n">
        <v>4</v>
      </c>
      <c r="L174" s="9" t="n">
        <v>5</v>
      </c>
      <c r="M174" s="9" t="n">
        <v>5</v>
      </c>
      <c r="N174" s="10" t="n">
        <f aca="false">AVERAGE(B174:M174)</f>
        <v>3.33333333333333</v>
      </c>
    </row>
    <row r="175" customFormat="false" ht="15" hidden="false" customHeight="false" outlineLevel="0" collapsed="false">
      <c r="A175" s="7" t="s">
        <v>566</v>
      </c>
      <c r="B175" s="9" t="n">
        <v>4</v>
      </c>
      <c r="C175" s="9" t="n">
        <v>4</v>
      </c>
      <c r="D175" s="9" t="n">
        <v>4</v>
      </c>
      <c r="E175" s="9" t="n">
        <v>4</v>
      </c>
      <c r="F175" s="9" t="n">
        <v>4</v>
      </c>
      <c r="G175" s="9" t="n">
        <v>4</v>
      </c>
      <c r="H175" s="9" t="n">
        <v>4</v>
      </c>
      <c r="I175" s="9" t="n">
        <v>3</v>
      </c>
      <c r="J175" s="9" t="n">
        <v>3</v>
      </c>
      <c r="K175" s="9" t="n">
        <v>3</v>
      </c>
      <c r="L175" s="9" t="n">
        <v>3</v>
      </c>
      <c r="M175" s="9" t="n">
        <v>4</v>
      </c>
      <c r="N175" s="10" t="n">
        <f aca="false">AVERAGE(B175:M175)</f>
        <v>3.66666666666667</v>
      </c>
    </row>
    <row r="176" customFormat="false" ht="15" hidden="false" customHeight="false" outlineLevel="0" collapsed="false">
      <c r="A176" s="7" t="s">
        <v>567</v>
      </c>
      <c r="B176" s="9" t="n">
        <v>2</v>
      </c>
      <c r="C176" s="9" t="n">
        <v>4</v>
      </c>
      <c r="D176" s="9" t="n">
        <v>3</v>
      </c>
      <c r="E176" s="9" t="n">
        <v>4</v>
      </c>
      <c r="F176" s="9" t="n">
        <v>4</v>
      </c>
      <c r="G176" s="9" t="n">
        <v>3</v>
      </c>
      <c r="H176" s="9" t="n">
        <v>3</v>
      </c>
      <c r="I176" s="9" t="n">
        <v>3</v>
      </c>
      <c r="J176" s="9" t="n">
        <v>4</v>
      </c>
      <c r="K176" s="9" t="n">
        <v>3</v>
      </c>
      <c r="L176" s="9" t="n">
        <v>4</v>
      </c>
      <c r="M176" s="9" t="n">
        <v>4</v>
      </c>
      <c r="N176" s="10" t="n">
        <f aca="false">AVERAGE(B176:M176)</f>
        <v>3.41666666666667</v>
      </c>
    </row>
    <row r="177" customFormat="false" ht="15" hidden="false" customHeight="false" outlineLevel="0" collapsed="false">
      <c r="A177" s="7" t="s">
        <v>568</v>
      </c>
      <c r="B177" s="9" t="n">
        <v>3</v>
      </c>
      <c r="C177" s="9" t="n">
        <v>3</v>
      </c>
      <c r="D177" s="9" t="n">
        <v>2</v>
      </c>
      <c r="E177" s="9" t="n">
        <v>4</v>
      </c>
      <c r="F177" s="9" t="n">
        <v>3</v>
      </c>
      <c r="G177" s="9" t="n">
        <v>4</v>
      </c>
      <c r="H177" s="9" t="n">
        <v>4</v>
      </c>
      <c r="I177" s="9" t="n">
        <v>4</v>
      </c>
      <c r="J177" s="9" t="n">
        <v>4</v>
      </c>
      <c r="K177" s="9" t="n">
        <v>3</v>
      </c>
      <c r="L177" s="9" t="n">
        <v>3</v>
      </c>
      <c r="M177" s="9" t="n">
        <v>3</v>
      </c>
      <c r="N177" s="10" t="n">
        <f aca="false">AVERAGE(B177:M177)</f>
        <v>3.33333333333333</v>
      </c>
    </row>
    <row r="178" customFormat="false" ht="15" hidden="false" customHeight="false" outlineLevel="0" collapsed="false">
      <c r="A178" s="7" t="s">
        <v>569</v>
      </c>
      <c r="B178" s="9" t="n">
        <v>2</v>
      </c>
      <c r="C178" s="9" t="n">
        <v>3</v>
      </c>
      <c r="D178" s="9" t="n">
        <v>3</v>
      </c>
      <c r="E178" s="9" t="n">
        <v>4</v>
      </c>
      <c r="F178" s="9" t="n">
        <v>2</v>
      </c>
      <c r="G178" s="9" t="n">
        <v>4</v>
      </c>
      <c r="H178" s="9" t="n">
        <v>3</v>
      </c>
      <c r="I178" s="9" t="n">
        <v>4</v>
      </c>
      <c r="J178" s="9" t="n">
        <v>5</v>
      </c>
      <c r="K178" s="9" t="n">
        <v>5</v>
      </c>
      <c r="L178" s="9" t="n">
        <v>5</v>
      </c>
      <c r="M178" s="9" t="n">
        <v>5</v>
      </c>
      <c r="N178" s="10" t="n">
        <f aca="false">AVERAGE(B178:M178)</f>
        <v>3.75</v>
      </c>
    </row>
    <row r="179" customFormat="false" ht="15" hidden="false" customHeight="false" outlineLevel="0" collapsed="false">
      <c r="A179" s="7" t="s">
        <v>570</v>
      </c>
      <c r="B179" s="9" t="n">
        <v>5</v>
      </c>
      <c r="C179" s="9" t="n">
        <v>5</v>
      </c>
      <c r="D179" s="9" t="n">
        <v>4</v>
      </c>
      <c r="E179" s="9" t="n">
        <v>5</v>
      </c>
      <c r="F179" s="9" t="n">
        <v>5</v>
      </c>
      <c r="G179" s="9" t="n">
        <v>5</v>
      </c>
      <c r="H179" s="9" t="n">
        <v>4</v>
      </c>
      <c r="I179" s="9" t="n">
        <v>4</v>
      </c>
      <c r="J179" s="9" t="n">
        <v>5</v>
      </c>
      <c r="K179" s="9" t="n">
        <v>5</v>
      </c>
      <c r="L179" s="9" t="n">
        <v>5</v>
      </c>
      <c r="M179" s="9" t="n">
        <v>5</v>
      </c>
      <c r="N179" s="10" t="n">
        <f aca="false">AVERAGE(B179:M179)</f>
        <v>4.75</v>
      </c>
    </row>
    <row r="180" customFormat="false" ht="15" hidden="false" customHeight="false" outlineLevel="0" collapsed="false">
      <c r="A180" s="7" t="s">
        <v>571</v>
      </c>
      <c r="B180" s="9" t="n">
        <v>4</v>
      </c>
      <c r="C180" s="9" t="n">
        <v>4</v>
      </c>
      <c r="D180" s="9" t="n">
        <v>4</v>
      </c>
      <c r="E180" s="9" t="n">
        <v>4</v>
      </c>
      <c r="F180" s="9" t="n">
        <v>5</v>
      </c>
      <c r="G180" s="9" t="n">
        <v>4</v>
      </c>
      <c r="H180" s="9" t="n">
        <v>5</v>
      </c>
      <c r="I180" s="9" t="n">
        <v>5</v>
      </c>
      <c r="J180" s="9" t="n">
        <v>4</v>
      </c>
      <c r="K180" s="9" t="n">
        <v>5</v>
      </c>
      <c r="L180" s="9" t="n">
        <v>5</v>
      </c>
      <c r="M180" s="9" t="n">
        <v>5</v>
      </c>
      <c r="N180" s="10" t="n">
        <f aca="false">AVERAGE(B180:M180)</f>
        <v>4.5</v>
      </c>
    </row>
    <row r="181" customFormat="false" ht="15" hidden="false" customHeight="false" outlineLevel="0" collapsed="false">
      <c r="A181" s="7" t="s">
        <v>572</v>
      </c>
      <c r="B181" s="9" t="n">
        <v>5</v>
      </c>
      <c r="C181" s="9" t="n">
        <v>5</v>
      </c>
      <c r="D181" s="9" t="n">
        <v>5</v>
      </c>
      <c r="E181" s="9" t="n">
        <v>5</v>
      </c>
      <c r="F181" s="9" t="n">
        <v>4</v>
      </c>
      <c r="G181" s="9" t="n">
        <v>4</v>
      </c>
      <c r="H181" s="9" t="n">
        <v>5</v>
      </c>
      <c r="I181" s="9" t="n">
        <v>4</v>
      </c>
      <c r="J181" s="9" t="n">
        <v>5</v>
      </c>
      <c r="K181" s="9" t="n">
        <v>4</v>
      </c>
      <c r="L181" s="9" t="n">
        <v>5</v>
      </c>
      <c r="M181" s="9" t="n">
        <v>4</v>
      </c>
      <c r="N181" s="10" t="n">
        <f aca="false">AVERAGE(B181:M181)</f>
        <v>4.58333333333333</v>
      </c>
    </row>
    <row r="182" customFormat="false" ht="15" hidden="false" customHeight="false" outlineLevel="0" collapsed="false">
      <c r="A182" s="7" t="s">
        <v>573</v>
      </c>
      <c r="B182" s="9" t="n">
        <v>5</v>
      </c>
      <c r="C182" s="9" t="n">
        <v>4</v>
      </c>
      <c r="D182" s="9" t="n">
        <v>4</v>
      </c>
      <c r="E182" s="9" t="n">
        <v>4</v>
      </c>
      <c r="F182" s="9" t="n">
        <v>4</v>
      </c>
      <c r="G182" s="9" t="n">
        <v>3</v>
      </c>
      <c r="H182" s="9" t="n">
        <v>4</v>
      </c>
      <c r="I182" s="9" t="n">
        <v>4</v>
      </c>
      <c r="J182" s="9" t="n">
        <v>4</v>
      </c>
      <c r="K182" s="9" t="n">
        <v>4</v>
      </c>
      <c r="L182" s="9" t="n">
        <v>4</v>
      </c>
      <c r="M182" s="9" t="n">
        <v>4</v>
      </c>
      <c r="N182" s="10" t="n">
        <f aca="false">AVERAGE(B182:M182)</f>
        <v>4</v>
      </c>
    </row>
    <row r="183" customFormat="false" ht="15" hidden="false" customHeight="false" outlineLevel="0" collapsed="false">
      <c r="A183" s="7" t="s">
        <v>574</v>
      </c>
      <c r="B183" s="9" t="n">
        <v>2</v>
      </c>
      <c r="C183" s="9" t="n">
        <v>2</v>
      </c>
      <c r="D183" s="9" t="n">
        <v>2</v>
      </c>
      <c r="E183" s="9" t="n">
        <v>1</v>
      </c>
      <c r="F183" s="9" t="n">
        <v>3</v>
      </c>
      <c r="G183" s="9" t="n">
        <v>2</v>
      </c>
      <c r="H183" s="9" t="n">
        <v>2</v>
      </c>
      <c r="I183" s="9" t="n">
        <v>2</v>
      </c>
      <c r="J183" s="9" t="n">
        <v>2</v>
      </c>
      <c r="K183" s="9" t="n">
        <v>1</v>
      </c>
      <c r="L183" s="9" t="n">
        <v>2</v>
      </c>
      <c r="M183" s="9" t="n">
        <v>2</v>
      </c>
      <c r="N183" s="10" t="n">
        <f aca="false">AVERAGE(B183:M183)</f>
        <v>1.91666666666667</v>
      </c>
    </row>
    <row r="184" customFormat="false" ht="15" hidden="false" customHeight="false" outlineLevel="0" collapsed="false">
      <c r="A184" s="7" t="s">
        <v>575</v>
      </c>
      <c r="B184" s="9" t="n">
        <v>4</v>
      </c>
      <c r="C184" s="9" t="n">
        <v>4</v>
      </c>
      <c r="D184" s="9" t="n">
        <v>4</v>
      </c>
      <c r="E184" s="9" t="n">
        <v>4</v>
      </c>
      <c r="F184" s="9" t="n">
        <v>5</v>
      </c>
      <c r="G184" s="9" t="n">
        <v>3</v>
      </c>
      <c r="H184" s="9" t="n">
        <v>4</v>
      </c>
      <c r="I184" s="9" t="n">
        <v>3</v>
      </c>
      <c r="J184" s="9" t="n">
        <v>3</v>
      </c>
      <c r="K184" s="9" t="n">
        <v>3</v>
      </c>
      <c r="L184" s="9" t="n">
        <v>3</v>
      </c>
      <c r="M184" s="9" t="n">
        <v>2</v>
      </c>
      <c r="N184" s="10" t="n">
        <f aca="false">AVERAGE(B184:M184)</f>
        <v>3.5</v>
      </c>
    </row>
    <row r="185" customFormat="false" ht="15" hidden="false" customHeight="false" outlineLevel="0" collapsed="false">
      <c r="A185" s="7" t="s">
        <v>576</v>
      </c>
      <c r="B185" s="9" t="n">
        <v>4</v>
      </c>
      <c r="C185" s="9" t="n">
        <v>4</v>
      </c>
      <c r="D185" s="9" t="n">
        <v>4</v>
      </c>
      <c r="E185" s="9" t="n">
        <v>5</v>
      </c>
      <c r="F185" s="9" t="n">
        <v>5</v>
      </c>
      <c r="G185" s="9" t="n">
        <v>5</v>
      </c>
      <c r="H185" s="9" t="n">
        <v>5</v>
      </c>
      <c r="I185" s="9" t="n">
        <v>5</v>
      </c>
      <c r="J185" s="9" t="n">
        <v>5</v>
      </c>
      <c r="K185" s="9" t="n">
        <v>4</v>
      </c>
      <c r="L185" s="9" t="n">
        <v>5</v>
      </c>
      <c r="M185" s="9" t="n">
        <v>5</v>
      </c>
      <c r="N185" s="10" t="n">
        <f aca="false">AVERAGE(B185:M185)</f>
        <v>4.66666666666667</v>
      </c>
    </row>
    <row r="186" customFormat="false" ht="15" hidden="false" customHeight="false" outlineLevel="0" collapsed="false">
      <c r="A186" s="7" t="s">
        <v>577</v>
      </c>
      <c r="B186" s="9" t="n">
        <v>5</v>
      </c>
      <c r="C186" s="9" t="n">
        <v>3</v>
      </c>
      <c r="D186" s="9" t="n">
        <v>5</v>
      </c>
      <c r="E186" s="9" t="n">
        <v>5</v>
      </c>
      <c r="F186" s="9" t="n">
        <v>4</v>
      </c>
      <c r="G186" s="9" t="n">
        <v>5</v>
      </c>
      <c r="H186" s="9" t="n">
        <v>5</v>
      </c>
      <c r="I186" s="9" t="n">
        <v>4</v>
      </c>
      <c r="J186" s="9" t="n">
        <v>5</v>
      </c>
      <c r="K186" s="9" t="n">
        <v>5</v>
      </c>
      <c r="L186" s="9" t="n">
        <v>5</v>
      </c>
      <c r="M186" s="9" t="n">
        <v>5</v>
      </c>
      <c r="N186" s="10" t="n">
        <f aca="false">AVERAGE(B186:M186)</f>
        <v>4.66666666666667</v>
      </c>
    </row>
    <row r="187" customFormat="false" ht="15" hidden="false" customHeight="false" outlineLevel="0" collapsed="false">
      <c r="A187" s="7" t="s">
        <v>578</v>
      </c>
      <c r="B187" s="9" t="n">
        <v>4</v>
      </c>
      <c r="C187" s="9" t="n">
        <v>4</v>
      </c>
      <c r="D187" s="9" t="n">
        <v>3</v>
      </c>
      <c r="E187" s="9" t="n">
        <v>4</v>
      </c>
      <c r="F187" s="9" t="n">
        <v>4</v>
      </c>
      <c r="G187" s="9" t="n">
        <v>4</v>
      </c>
      <c r="H187" s="9" t="n">
        <v>4</v>
      </c>
      <c r="I187" s="9" t="n">
        <v>5</v>
      </c>
      <c r="J187" s="9" t="n">
        <v>3</v>
      </c>
      <c r="K187" s="9" t="n">
        <v>2</v>
      </c>
      <c r="L187" s="9" t="n">
        <v>2</v>
      </c>
      <c r="M187" s="9" t="n">
        <v>2</v>
      </c>
      <c r="N187" s="10" t="n">
        <f aca="false">AVERAGE(B187:M187)</f>
        <v>3.41666666666667</v>
      </c>
    </row>
    <row r="188" customFormat="false" ht="15" hidden="false" customHeight="false" outlineLevel="0" collapsed="false">
      <c r="A188" s="7" t="s">
        <v>579</v>
      </c>
      <c r="B188" s="9" t="n">
        <v>4</v>
      </c>
      <c r="C188" s="9" t="n">
        <v>4</v>
      </c>
      <c r="D188" s="9" t="n">
        <v>4</v>
      </c>
      <c r="E188" s="9" t="n">
        <v>5</v>
      </c>
      <c r="F188" s="9" t="n">
        <v>2</v>
      </c>
      <c r="G188" s="9" t="n">
        <v>4</v>
      </c>
      <c r="H188" s="9" t="n">
        <v>4</v>
      </c>
      <c r="I188" s="9" t="n">
        <v>4</v>
      </c>
      <c r="J188" s="9" t="n">
        <v>3</v>
      </c>
      <c r="K188" s="9" t="n">
        <v>4</v>
      </c>
      <c r="L188" s="9" t="n">
        <v>3</v>
      </c>
      <c r="M188" s="9" t="n">
        <v>5</v>
      </c>
      <c r="N188" s="10" t="n">
        <f aca="false">AVERAGE(B188:M188)</f>
        <v>3.83333333333333</v>
      </c>
    </row>
    <row r="189" customFormat="false" ht="15" hidden="false" customHeight="false" outlineLevel="0" collapsed="false">
      <c r="A189" s="7" t="s">
        <v>580</v>
      </c>
      <c r="B189" s="9" t="n">
        <v>4</v>
      </c>
      <c r="C189" s="9" t="n">
        <v>3</v>
      </c>
      <c r="D189" s="9" t="n">
        <v>3</v>
      </c>
      <c r="E189" s="9" t="n">
        <v>3</v>
      </c>
      <c r="F189" s="9" t="n">
        <v>2</v>
      </c>
      <c r="G189" s="9" t="n">
        <v>4</v>
      </c>
      <c r="H189" s="9" t="n">
        <v>3</v>
      </c>
      <c r="I189" s="9" t="n">
        <v>4</v>
      </c>
      <c r="J189" s="9" t="n">
        <v>4</v>
      </c>
      <c r="K189" s="9" t="n">
        <v>5</v>
      </c>
      <c r="L189" s="9" t="n">
        <v>4</v>
      </c>
      <c r="M189" s="9" t="n">
        <v>4</v>
      </c>
      <c r="N189" s="10" t="n">
        <f aca="false">AVERAGE(B189:M189)</f>
        <v>3.58333333333333</v>
      </c>
    </row>
    <row r="190" customFormat="false" ht="15" hidden="false" customHeight="false" outlineLevel="0" collapsed="false">
      <c r="A190" s="7" t="s">
        <v>581</v>
      </c>
      <c r="B190" s="9" t="n">
        <v>4</v>
      </c>
      <c r="C190" s="9" t="n">
        <v>4</v>
      </c>
      <c r="D190" s="9" t="n">
        <v>4</v>
      </c>
      <c r="E190" s="9" t="n">
        <v>4</v>
      </c>
      <c r="F190" s="9" t="n">
        <v>3</v>
      </c>
      <c r="G190" s="9" t="n">
        <v>3</v>
      </c>
      <c r="H190" s="9" t="n">
        <v>4</v>
      </c>
      <c r="I190" s="9" t="n">
        <v>4</v>
      </c>
      <c r="J190" s="9" t="n">
        <v>4</v>
      </c>
      <c r="K190" s="9" t="n">
        <v>4</v>
      </c>
      <c r="L190" s="9" t="n">
        <v>5</v>
      </c>
      <c r="M190" s="9" t="n">
        <v>5</v>
      </c>
      <c r="N190" s="10" t="n">
        <f aca="false">AVERAGE(B190:M190)</f>
        <v>4</v>
      </c>
    </row>
    <row r="191" customFormat="false" ht="15" hidden="false" customHeight="false" outlineLevel="0" collapsed="false">
      <c r="A191" s="7" t="s">
        <v>582</v>
      </c>
      <c r="B191" s="9" t="n">
        <v>3</v>
      </c>
      <c r="C191" s="9" t="n">
        <v>2</v>
      </c>
      <c r="D191" s="9" t="n">
        <v>2</v>
      </c>
      <c r="E191" s="9" t="n">
        <v>2</v>
      </c>
      <c r="F191" s="9" t="n">
        <v>5</v>
      </c>
      <c r="G191" s="9" t="n">
        <v>4</v>
      </c>
      <c r="H191" s="9" t="n">
        <v>4</v>
      </c>
      <c r="I191" s="9" t="n">
        <v>5</v>
      </c>
      <c r="J191" s="9" t="n">
        <v>3</v>
      </c>
      <c r="K191" s="9" t="n">
        <v>2</v>
      </c>
      <c r="L191" s="9" t="n">
        <v>2</v>
      </c>
      <c r="M191" s="9" t="n">
        <v>2</v>
      </c>
      <c r="N191" s="10" t="n">
        <f aca="false">AVERAGE(B191:M191)</f>
        <v>3</v>
      </c>
    </row>
    <row r="192" customFormat="false" ht="15" hidden="false" customHeight="false" outlineLevel="0" collapsed="false">
      <c r="A192" s="7" t="s">
        <v>583</v>
      </c>
      <c r="B192" s="9" t="n">
        <v>4</v>
      </c>
      <c r="C192" s="9" t="n">
        <v>3</v>
      </c>
      <c r="D192" s="9" t="n">
        <v>4</v>
      </c>
      <c r="E192" s="9" t="n">
        <v>4</v>
      </c>
      <c r="F192" s="9" t="n">
        <v>4</v>
      </c>
      <c r="G192" s="9" t="n">
        <v>4</v>
      </c>
      <c r="H192" s="9" t="n">
        <v>5</v>
      </c>
      <c r="I192" s="9" t="n">
        <v>5</v>
      </c>
      <c r="J192" s="9" t="n">
        <v>2</v>
      </c>
      <c r="K192" s="9" t="n">
        <v>4</v>
      </c>
      <c r="L192" s="9" t="n">
        <v>4</v>
      </c>
      <c r="M192" s="9" t="n">
        <v>3</v>
      </c>
      <c r="N192" s="10" t="n">
        <f aca="false">AVERAGE(B192:M192)</f>
        <v>3.83333333333333</v>
      </c>
    </row>
    <row r="193" customFormat="false" ht="15" hidden="false" customHeight="false" outlineLevel="0" collapsed="false">
      <c r="A193" s="7" t="s">
        <v>584</v>
      </c>
      <c r="B193" s="9" t="n">
        <v>4</v>
      </c>
      <c r="C193" s="9" t="n">
        <v>4</v>
      </c>
      <c r="D193" s="9" t="n">
        <v>4</v>
      </c>
      <c r="E193" s="9" t="n">
        <v>4</v>
      </c>
      <c r="F193" s="9" t="n">
        <v>4</v>
      </c>
      <c r="G193" s="9" t="n">
        <v>4</v>
      </c>
      <c r="H193" s="9" t="n">
        <v>4</v>
      </c>
      <c r="I193" s="9" t="n">
        <v>4</v>
      </c>
      <c r="J193" s="9" t="n">
        <v>5</v>
      </c>
      <c r="K193" s="9" t="n">
        <v>5</v>
      </c>
      <c r="L193" s="9" t="n">
        <v>3</v>
      </c>
      <c r="M193" s="9" t="n">
        <v>5</v>
      </c>
      <c r="N193" s="10" t="n">
        <f aca="false">AVERAGE(B193:M193)</f>
        <v>4.16666666666667</v>
      </c>
    </row>
    <row r="194" customFormat="false" ht="15" hidden="false" customHeight="false" outlineLevel="0" collapsed="false">
      <c r="A194" s="7" t="s">
        <v>585</v>
      </c>
      <c r="B194" s="9" t="n">
        <v>3</v>
      </c>
      <c r="C194" s="9" t="n">
        <v>3</v>
      </c>
      <c r="D194" s="9" t="n">
        <v>2</v>
      </c>
      <c r="E194" s="9" t="n">
        <v>1</v>
      </c>
      <c r="F194" s="9" t="n">
        <v>3</v>
      </c>
      <c r="G194" s="9" t="n">
        <v>2</v>
      </c>
      <c r="H194" s="9" t="n">
        <v>3</v>
      </c>
      <c r="I194" s="9" t="n">
        <v>3</v>
      </c>
      <c r="J194" s="9" t="n">
        <v>2</v>
      </c>
      <c r="K194" s="9" t="n">
        <v>2</v>
      </c>
      <c r="L194" s="9" t="n">
        <v>3</v>
      </c>
      <c r="M194" s="9" t="n">
        <v>1</v>
      </c>
      <c r="N194" s="10" t="n">
        <f aca="false">AVERAGE(B194:M194)</f>
        <v>2.33333333333333</v>
      </c>
    </row>
    <row r="195" customFormat="false" ht="15" hidden="false" customHeight="false" outlineLevel="0" collapsed="false">
      <c r="A195" s="7" t="s">
        <v>586</v>
      </c>
      <c r="B195" s="9" t="n">
        <v>3</v>
      </c>
      <c r="C195" s="9" t="n">
        <v>3</v>
      </c>
      <c r="D195" s="9" t="n">
        <v>3</v>
      </c>
      <c r="E195" s="9" t="n">
        <v>3</v>
      </c>
      <c r="F195" s="9" t="n">
        <v>5</v>
      </c>
      <c r="G195" s="9" t="n">
        <v>3</v>
      </c>
      <c r="H195" s="9" t="n">
        <v>4</v>
      </c>
      <c r="I195" s="9" t="n">
        <v>4</v>
      </c>
      <c r="J195" s="9" t="n">
        <v>3</v>
      </c>
      <c r="K195" s="9" t="n">
        <v>3</v>
      </c>
      <c r="L195" s="9" t="n">
        <v>5</v>
      </c>
      <c r="M195" s="9" t="n">
        <v>4</v>
      </c>
      <c r="N195" s="10" t="n">
        <f aca="false">AVERAGE(B195:M195)</f>
        <v>3.58333333333333</v>
      </c>
    </row>
    <row r="196" customFormat="false" ht="15" hidden="false" customHeight="false" outlineLevel="0" collapsed="false">
      <c r="A196" s="7" t="s">
        <v>587</v>
      </c>
      <c r="B196" s="9" t="n">
        <v>4</v>
      </c>
      <c r="C196" s="9" t="n">
        <v>4</v>
      </c>
      <c r="D196" s="9" t="n">
        <v>4</v>
      </c>
      <c r="E196" s="9" t="n">
        <v>5</v>
      </c>
      <c r="F196" s="9" t="n">
        <v>3</v>
      </c>
      <c r="G196" s="9" t="n">
        <v>3</v>
      </c>
      <c r="H196" s="9" t="n">
        <v>3</v>
      </c>
      <c r="I196" s="9" t="n">
        <v>4</v>
      </c>
      <c r="J196" s="9" t="n">
        <v>4</v>
      </c>
      <c r="K196" s="9" t="n">
        <v>3</v>
      </c>
      <c r="L196" s="9" t="n">
        <v>2</v>
      </c>
      <c r="M196" s="9" t="n">
        <v>4</v>
      </c>
      <c r="N196" s="10" t="n">
        <f aca="false">AVERAGE(B196:M196)</f>
        <v>3.58333333333333</v>
      </c>
    </row>
    <row r="197" customFormat="false" ht="15" hidden="false" customHeight="false" outlineLevel="0" collapsed="false">
      <c r="A197" s="7" t="s">
        <v>588</v>
      </c>
      <c r="B197" s="9" t="n">
        <v>2</v>
      </c>
      <c r="C197" s="9" t="n">
        <v>2</v>
      </c>
      <c r="D197" s="9" t="n">
        <v>3</v>
      </c>
      <c r="E197" s="9" t="n">
        <v>2</v>
      </c>
      <c r="F197" s="9" t="n">
        <v>1</v>
      </c>
      <c r="G197" s="9" t="n">
        <v>2</v>
      </c>
      <c r="H197" s="9" t="n">
        <v>2</v>
      </c>
      <c r="I197" s="9" t="n">
        <v>2</v>
      </c>
      <c r="J197" s="9" t="n">
        <v>3</v>
      </c>
      <c r="K197" s="9" t="n">
        <v>1</v>
      </c>
      <c r="L197" s="9" t="n">
        <v>2</v>
      </c>
      <c r="M197" s="9" t="n">
        <v>3</v>
      </c>
      <c r="N197" s="10" t="n">
        <f aca="false">AVERAGE(B197:M197)</f>
        <v>2.08333333333333</v>
      </c>
    </row>
    <row r="198" customFormat="false" ht="15" hidden="false" customHeight="false" outlineLevel="0" collapsed="false">
      <c r="A198" s="7" t="s">
        <v>589</v>
      </c>
      <c r="B198" s="9" t="n">
        <v>4</v>
      </c>
      <c r="C198" s="9" t="n">
        <v>4</v>
      </c>
      <c r="D198" s="9" t="n">
        <v>4</v>
      </c>
      <c r="E198" s="9" t="n">
        <v>4</v>
      </c>
      <c r="F198" s="9" t="n">
        <v>4</v>
      </c>
      <c r="G198" s="9" t="n">
        <v>3</v>
      </c>
      <c r="H198" s="9" t="n">
        <v>2</v>
      </c>
      <c r="I198" s="9" t="n">
        <v>2</v>
      </c>
      <c r="J198" s="9" t="n">
        <v>2</v>
      </c>
      <c r="K198" s="9" t="n">
        <v>3</v>
      </c>
      <c r="L198" s="9" t="n">
        <v>3</v>
      </c>
      <c r="M198" s="9" t="n">
        <v>4</v>
      </c>
      <c r="N198" s="10" t="n">
        <f aca="false">AVERAGE(B198:M198)</f>
        <v>3.25</v>
      </c>
    </row>
    <row r="199" customFormat="false" ht="15" hidden="false" customHeight="false" outlineLevel="0" collapsed="false">
      <c r="A199" s="7" t="s">
        <v>590</v>
      </c>
      <c r="B199" s="9" t="n">
        <v>3</v>
      </c>
      <c r="C199" s="9" t="n">
        <v>2</v>
      </c>
      <c r="D199" s="9" t="n">
        <v>3</v>
      </c>
      <c r="E199" s="9" t="n">
        <v>2</v>
      </c>
      <c r="F199" s="9" t="n">
        <v>2</v>
      </c>
      <c r="G199" s="9" t="n">
        <v>4</v>
      </c>
      <c r="H199" s="9" t="n">
        <v>4</v>
      </c>
      <c r="I199" s="9" t="n">
        <v>1</v>
      </c>
      <c r="J199" s="9" t="n">
        <v>3</v>
      </c>
      <c r="K199" s="9" t="n">
        <v>4</v>
      </c>
      <c r="L199" s="9" t="n">
        <v>4</v>
      </c>
      <c r="M199" s="9" t="n">
        <v>3</v>
      </c>
      <c r="N199" s="10" t="n">
        <f aca="false">AVERAGE(B199:M199)</f>
        <v>2.91666666666667</v>
      </c>
    </row>
    <row r="200" customFormat="false" ht="15" hidden="false" customHeight="false" outlineLevel="0" collapsed="false">
      <c r="A200" s="7" t="s">
        <v>591</v>
      </c>
      <c r="B200" s="9" t="n">
        <v>3</v>
      </c>
      <c r="C200" s="9" t="n">
        <v>4</v>
      </c>
      <c r="D200" s="9" t="n">
        <v>4</v>
      </c>
      <c r="E200" s="9" t="n">
        <v>5</v>
      </c>
      <c r="F200" s="9" t="n">
        <v>5</v>
      </c>
      <c r="G200" s="9" t="n">
        <v>4</v>
      </c>
      <c r="H200" s="9" t="n">
        <v>5</v>
      </c>
      <c r="I200" s="9" t="n">
        <v>5</v>
      </c>
      <c r="J200" s="9" t="n">
        <v>5</v>
      </c>
      <c r="K200" s="9" t="n">
        <v>4</v>
      </c>
      <c r="L200" s="9" t="n">
        <v>5</v>
      </c>
      <c r="M200" s="9" t="n">
        <v>5</v>
      </c>
      <c r="N200" s="10" t="n">
        <f aca="false">AVERAGE(B200:M200)</f>
        <v>4.5</v>
      </c>
    </row>
    <row r="201" customFormat="false" ht="15" hidden="false" customHeight="false" outlineLevel="0" collapsed="false">
      <c r="A201" s="7" t="s">
        <v>592</v>
      </c>
      <c r="B201" s="9" t="n">
        <v>3</v>
      </c>
      <c r="C201" s="9" t="n">
        <v>4</v>
      </c>
      <c r="D201" s="9" t="n">
        <v>3</v>
      </c>
      <c r="E201" s="9" t="n">
        <v>4</v>
      </c>
      <c r="F201" s="9" t="n">
        <v>5</v>
      </c>
      <c r="G201" s="9" t="n">
        <v>4</v>
      </c>
      <c r="H201" s="9" t="n">
        <v>4</v>
      </c>
      <c r="I201" s="9" t="n">
        <v>3</v>
      </c>
      <c r="J201" s="9" t="n">
        <v>3</v>
      </c>
      <c r="K201" s="9" t="n">
        <v>4</v>
      </c>
      <c r="L201" s="9" t="n">
        <v>3</v>
      </c>
      <c r="M201" s="9" t="n">
        <v>2</v>
      </c>
      <c r="N201" s="10" t="n">
        <f aca="false">AVERAGE(B201:M201)</f>
        <v>3.5</v>
      </c>
    </row>
    <row r="202" customFormat="false" ht="15" hidden="false" customHeight="false" outlineLevel="0" collapsed="false">
      <c r="A202" s="7" t="s">
        <v>593</v>
      </c>
      <c r="B202" s="9" t="n">
        <v>5</v>
      </c>
      <c r="C202" s="9" t="n">
        <v>4</v>
      </c>
      <c r="D202" s="9" t="n">
        <v>4</v>
      </c>
      <c r="E202" s="9" t="n">
        <v>4</v>
      </c>
      <c r="F202" s="9" t="n">
        <v>4</v>
      </c>
      <c r="G202" s="9" t="n">
        <v>4</v>
      </c>
      <c r="H202" s="9" t="n">
        <v>5</v>
      </c>
      <c r="I202" s="9" t="n">
        <v>5</v>
      </c>
      <c r="J202" s="9" t="n">
        <v>4</v>
      </c>
      <c r="K202" s="9" t="n">
        <v>5</v>
      </c>
      <c r="L202" s="9" t="n">
        <v>5</v>
      </c>
      <c r="M202" s="9" t="n">
        <v>5</v>
      </c>
      <c r="N202" s="10" t="n">
        <f aca="false">AVERAGE(B202:M202)</f>
        <v>4.5</v>
      </c>
    </row>
    <row r="203" customFormat="false" ht="15" hidden="false" customHeight="false" outlineLevel="0" collapsed="false">
      <c r="A203" s="7" t="s">
        <v>594</v>
      </c>
      <c r="B203" s="9" t="n">
        <v>3</v>
      </c>
      <c r="C203" s="9" t="n">
        <v>2</v>
      </c>
      <c r="D203" s="9" t="n">
        <v>3</v>
      </c>
      <c r="E203" s="9" t="n">
        <v>3</v>
      </c>
      <c r="F203" s="9" t="n">
        <v>4</v>
      </c>
      <c r="G203" s="9" t="n">
        <v>3</v>
      </c>
      <c r="H203" s="9" t="n">
        <v>4</v>
      </c>
      <c r="I203" s="9" t="n">
        <v>3</v>
      </c>
      <c r="J203" s="9" t="n">
        <v>4</v>
      </c>
      <c r="K203" s="9" t="n">
        <v>3</v>
      </c>
      <c r="L203" s="9" t="n">
        <v>3</v>
      </c>
      <c r="M203" s="9" t="n">
        <v>4</v>
      </c>
      <c r="N203" s="10" t="n">
        <f aca="false">AVERAGE(B203:M203)</f>
        <v>3.25</v>
      </c>
    </row>
    <row r="204" customFormat="false" ht="15" hidden="false" customHeight="false" outlineLevel="0" collapsed="false">
      <c r="A204" s="7" t="s">
        <v>595</v>
      </c>
      <c r="B204" s="9" t="n">
        <v>2</v>
      </c>
      <c r="C204" s="9" t="n">
        <v>3</v>
      </c>
      <c r="D204" s="9" t="n">
        <v>2</v>
      </c>
      <c r="E204" s="9" t="n">
        <v>2</v>
      </c>
      <c r="F204" s="9" t="n">
        <v>3</v>
      </c>
      <c r="G204" s="9" t="n">
        <v>4</v>
      </c>
      <c r="H204" s="9" t="n">
        <v>3</v>
      </c>
      <c r="I204" s="9" t="n">
        <v>4</v>
      </c>
      <c r="J204" s="9" t="n">
        <v>1</v>
      </c>
      <c r="K204" s="9" t="n">
        <v>1</v>
      </c>
      <c r="L204" s="9" t="n">
        <v>2</v>
      </c>
      <c r="M204" s="9" t="n">
        <v>2</v>
      </c>
      <c r="N204" s="10" t="n">
        <f aca="false">AVERAGE(B204:M204)</f>
        <v>2.41666666666667</v>
      </c>
    </row>
    <row r="205" customFormat="false" ht="15" hidden="false" customHeight="false" outlineLevel="0" collapsed="false">
      <c r="A205" s="7" t="s">
        <v>596</v>
      </c>
      <c r="B205" s="9" t="n">
        <v>2</v>
      </c>
      <c r="C205" s="9" t="n">
        <v>2</v>
      </c>
      <c r="D205" s="9" t="n">
        <v>2</v>
      </c>
      <c r="E205" s="9" t="n">
        <v>3</v>
      </c>
      <c r="F205" s="9" t="n">
        <v>4</v>
      </c>
      <c r="G205" s="9" t="n">
        <v>3</v>
      </c>
      <c r="H205" s="9" t="n">
        <v>3</v>
      </c>
      <c r="I205" s="9" t="n">
        <v>3</v>
      </c>
      <c r="J205" s="9" t="n">
        <v>2</v>
      </c>
      <c r="K205" s="9" t="n">
        <v>2</v>
      </c>
      <c r="L205" s="9" t="n">
        <v>3</v>
      </c>
      <c r="M205" s="9" t="n">
        <v>1</v>
      </c>
      <c r="N205" s="10" t="n">
        <f aca="false">AVERAGE(B205:M205)</f>
        <v>2.5</v>
      </c>
    </row>
    <row r="206" customFormat="false" ht="15" hidden="false" customHeight="false" outlineLevel="0" collapsed="false">
      <c r="A206" s="7" t="s">
        <v>597</v>
      </c>
      <c r="B206" s="9" t="n">
        <v>5</v>
      </c>
      <c r="C206" s="9" t="n">
        <v>5</v>
      </c>
      <c r="D206" s="9" t="n">
        <v>4</v>
      </c>
      <c r="E206" s="9" t="n">
        <v>4</v>
      </c>
      <c r="F206" s="9" t="n">
        <v>4</v>
      </c>
      <c r="G206" s="9" t="n">
        <v>4</v>
      </c>
      <c r="H206" s="9" t="n">
        <v>4</v>
      </c>
      <c r="I206" s="9" t="n">
        <v>5</v>
      </c>
      <c r="J206" s="9" t="n">
        <v>3</v>
      </c>
      <c r="K206" s="9" t="n">
        <v>2</v>
      </c>
      <c r="L206" s="9" t="n">
        <v>3</v>
      </c>
      <c r="M206" s="9" t="n">
        <v>2</v>
      </c>
      <c r="N206" s="10" t="n">
        <f aca="false">AVERAGE(B206:M206)</f>
        <v>3.75</v>
      </c>
    </row>
    <row r="207" customFormat="false" ht="15" hidden="false" customHeight="false" outlineLevel="0" collapsed="false">
      <c r="A207" s="7" t="s">
        <v>598</v>
      </c>
      <c r="B207" s="9" t="n">
        <v>3</v>
      </c>
      <c r="C207" s="9" t="n">
        <v>3</v>
      </c>
      <c r="D207" s="9" t="n">
        <v>3</v>
      </c>
      <c r="E207" s="9" t="n">
        <v>3</v>
      </c>
      <c r="F207" s="9" t="n">
        <v>2</v>
      </c>
      <c r="G207" s="9" t="n">
        <v>4</v>
      </c>
      <c r="H207" s="9" t="n">
        <v>3</v>
      </c>
      <c r="I207" s="9" t="n">
        <v>4</v>
      </c>
      <c r="J207" s="9" t="n">
        <v>4</v>
      </c>
      <c r="K207" s="9" t="n">
        <v>3</v>
      </c>
      <c r="L207" s="9" t="n">
        <v>4</v>
      </c>
      <c r="M207" s="9" t="n">
        <v>4</v>
      </c>
      <c r="N207" s="10" t="n">
        <f aca="false">AVERAGE(B207:M207)</f>
        <v>3.33333333333333</v>
      </c>
    </row>
    <row r="208" customFormat="false" ht="15" hidden="false" customHeight="false" outlineLevel="0" collapsed="false">
      <c r="A208" s="7" t="s">
        <v>599</v>
      </c>
      <c r="B208" s="9" t="n">
        <v>4</v>
      </c>
      <c r="C208" s="9" t="n">
        <v>5</v>
      </c>
      <c r="D208" s="9" t="n">
        <v>4</v>
      </c>
      <c r="E208" s="9" t="n">
        <v>4</v>
      </c>
      <c r="F208" s="9" t="n">
        <v>5</v>
      </c>
      <c r="G208" s="9" t="n">
        <v>5</v>
      </c>
      <c r="H208" s="9" t="n">
        <v>4</v>
      </c>
      <c r="I208" s="9" t="n">
        <v>4</v>
      </c>
      <c r="J208" s="9" t="n">
        <v>4</v>
      </c>
      <c r="K208" s="9" t="n">
        <v>4</v>
      </c>
      <c r="L208" s="9" t="n">
        <v>4</v>
      </c>
      <c r="M208" s="9" t="n">
        <v>4</v>
      </c>
      <c r="N208" s="10" t="n">
        <f aca="false">AVERAGE(B208:M208)</f>
        <v>4.25</v>
      </c>
    </row>
    <row r="209" customFormat="false" ht="15" hidden="false" customHeight="false" outlineLevel="0" collapsed="false">
      <c r="A209" s="7" t="s">
        <v>600</v>
      </c>
      <c r="B209" s="9" t="n">
        <v>4</v>
      </c>
      <c r="C209" s="9" t="n">
        <v>4</v>
      </c>
      <c r="D209" s="9" t="n">
        <v>5</v>
      </c>
      <c r="E209" s="9" t="n">
        <v>4</v>
      </c>
      <c r="F209" s="9" t="n">
        <v>4</v>
      </c>
      <c r="G209" s="9" t="n">
        <v>4</v>
      </c>
      <c r="H209" s="9" t="n">
        <v>4</v>
      </c>
      <c r="I209" s="9" t="n">
        <v>4</v>
      </c>
      <c r="J209" s="9" t="n">
        <v>4</v>
      </c>
      <c r="K209" s="9" t="n">
        <v>3</v>
      </c>
      <c r="L209" s="9" t="n">
        <v>4</v>
      </c>
      <c r="M209" s="9" t="n">
        <v>4</v>
      </c>
      <c r="N209" s="10" t="n">
        <f aca="false">AVERAGE(B209:M209)</f>
        <v>4</v>
      </c>
    </row>
    <row r="210" customFormat="false" ht="15" hidden="false" customHeight="false" outlineLevel="0" collapsed="false">
      <c r="A210" s="7" t="s">
        <v>601</v>
      </c>
      <c r="B210" s="9" t="n">
        <v>3</v>
      </c>
      <c r="C210" s="9" t="n">
        <v>3</v>
      </c>
      <c r="D210" s="9" t="n">
        <v>3</v>
      </c>
      <c r="E210" s="9" t="n">
        <v>4</v>
      </c>
      <c r="F210" s="9" t="n">
        <v>4</v>
      </c>
      <c r="G210" s="9" t="n">
        <v>4</v>
      </c>
      <c r="H210" s="9" t="n">
        <v>3</v>
      </c>
      <c r="I210" s="9" t="n">
        <v>4</v>
      </c>
      <c r="J210" s="9" t="n">
        <v>2</v>
      </c>
      <c r="K210" s="9" t="n">
        <v>4</v>
      </c>
      <c r="L210" s="9" t="n">
        <v>4</v>
      </c>
      <c r="M210" s="9" t="n">
        <v>3</v>
      </c>
      <c r="N210" s="10" t="n">
        <f aca="false">AVERAGE(B210:M210)</f>
        <v>3.41666666666667</v>
      </c>
    </row>
    <row r="211" customFormat="false" ht="15" hidden="false" customHeight="false" outlineLevel="0" collapsed="false">
      <c r="A211" s="7" t="s">
        <v>602</v>
      </c>
      <c r="B211" s="9" t="n">
        <v>4</v>
      </c>
      <c r="C211" s="9" t="n">
        <v>4</v>
      </c>
      <c r="D211" s="9" t="n">
        <v>4</v>
      </c>
      <c r="E211" s="9" t="n">
        <v>4</v>
      </c>
      <c r="F211" s="9" t="n">
        <v>2</v>
      </c>
      <c r="G211" s="9" t="n">
        <v>2</v>
      </c>
      <c r="H211" s="9" t="n">
        <v>3</v>
      </c>
      <c r="I211" s="9" t="n">
        <v>4</v>
      </c>
      <c r="J211" s="9" t="n">
        <v>5</v>
      </c>
      <c r="K211" s="9" t="n">
        <v>4</v>
      </c>
      <c r="L211" s="9" t="n">
        <v>4</v>
      </c>
      <c r="M211" s="9" t="n">
        <v>3</v>
      </c>
      <c r="N211" s="10" t="n">
        <f aca="false">AVERAGE(B211:M211)</f>
        <v>3.58333333333333</v>
      </c>
    </row>
    <row r="212" customFormat="false" ht="15" hidden="false" customHeight="false" outlineLevel="0" collapsed="false">
      <c r="A212" s="7" t="s">
        <v>603</v>
      </c>
      <c r="B212" s="9" t="n">
        <v>5</v>
      </c>
      <c r="C212" s="9" t="n">
        <v>4</v>
      </c>
      <c r="D212" s="9" t="n">
        <v>5</v>
      </c>
      <c r="E212" s="9" t="n">
        <v>4</v>
      </c>
      <c r="F212" s="9" t="n">
        <v>5</v>
      </c>
      <c r="G212" s="9" t="n">
        <v>5</v>
      </c>
      <c r="H212" s="9" t="n">
        <v>4</v>
      </c>
      <c r="I212" s="9" t="n">
        <v>3</v>
      </c>
      <c r="J212" s="9" t="n">
        <v>3</v>
      </c>
      <c r="K212" s="9" t="n">
        <v>4</v>
      </c>
      <c r="L212" s="9" t="n">
        <v>2</v>
      </c>
      <c r="M212" s="9" t="n">
        <v>3</v>
      </c>
      <c r="N212" s="10" t="n">
        <f aca="false">AVERAGE(B212:M212)</f>
        <v>3.91666666666667</v>
      </c>
    </row>
    <row r="213" customFormat="false" ht="15" hidden="false" customHeight="false" outlineLevel="0" collapsed="false">
      <c r="A213" s="7" t="s">
        <v>604</v>
      </c>
      <c r="B213" s="9" t="n">
        <v>3</v>
      </c>
      <c r="C213" s="9" t="n">
        <v>4</v>
      </c>
      <c r="D213" s="9" t="n">
        <v>4</v>
      </c>
      <c r="E213" s="9" t="n">
        <v>4</v>
      </c>
      <c r="F213" s="9" t="n">
        <v>5</v>
      </c>
      <c r="G213" s="9" t="n">
        <v>4</v>
      </c>
      <c r="H213" s="9" t="n">
        <v>4</v>
      </c>
      <c r="I213" s="9" t="n">
        <v>5</v>
      </c>
      <c r="J213" s="9" t="n">
        <v>4</v>
      </c>
      <c r="K213" s="9" t="n">
        <v>3</v>
      </c>
      <c r="L213" s="9" t="n">
        <v>4</v>
      </c>
      <c r="M213" s="9" t="n">
        <v>4</v>
      </c>
      <c r="N213" s="10" t="n">
        <f aca="false">AVERAGE(B213:M213)</f>
        <v>4</v>
      </c>
    </row>
    <row r="214" customFormat="false" ht="15" hidden="false" customHeight="false" outlineLevel="0" collapsed="false">
      <c r="A214" s="7" t="s">
        <v>605</v>
      </c>
      <c r="B214" s="9" t="n">
        <v>4</v>
      </c>
      <c r="C214" s="9" t="n">
        <v>5</v>
      </c>
      <c r="D214" s="9" t="n">
        <v>4</v>
      </c>
      <c r="E214" s="9" t="n">
        <v>4</v>
      </c>
      <c r="F214" s="9" t="n">
        <v>5</v>
      </c>
      <c r="G214" s="9" t="n">
        <v>4</v>
      </c>
      <c r="H214" s="9" t="n">
        <v>4</v>
      </c>
      <c r="I214" s="9" t="n">
        <v>4</v>
      </c>
      <c r="J214" s="9" t="n">
        <v>4</v>
      </c>
      <c r="K214" s="9" t="n">
        <v>3</v>
      </c>
      <c r="L214" s="9" t="n">
        <v>5</v>
      </c>
      <c r="M214" s="9" t="n">
        <v>3</v>
      </c>
      <c r="N214" s="10" t="n">
        <f aca="false">AVERAGE(B214:M214)</f>
        <v>4.08333333333333</v>
      </c>
    </row>
    <row r="215" customFormat="false" ht="15" hidden="false" customHeight="false" outlineLevel="0" collapsed="false">
      <c r="A215" s="7" t="s">
        <v>606</v>
      </c>
      <c r="B215" s="9" t="n">
        <v>4</v>
      </c>
      <c r="C215" s="9" t="n">
        <v>5</v>
      </c>
      <c r="D215" s="9" t="n">
        <v>5</v>
      </c>
      <c r="E215" s="9" t="n">
        <v>4</v>
      </c>
      <c r="F215" s="9" t="n">
        <v>3</v>
      </c>
      <c r="G215" s="9" t="n">
        <v>4</v>
      </c>
      <c r="H215" s="9" t="n">
        <v>3</v>
      </c>
      <c r="I215" s="9" t="n">
        <v>3</v>
      </c>
      <c r="J215" s="9" t="n">
        <v>2</v>
      </c>
      <c r="K215" s="9" t="n">
        <v>4</v>
      </c>
      <c r="L215" s="9" t="n">
        <v>3</v>
      </c>
      <c r="M215" s="9" t="n">
        <v>4</v>
      </c>
      <c r="N215" s="10" t="n">
        <f aca="false">AVERAGE(B215:M215)</f>
        <v>3.66666666666667</v>
      </c>
    </row>
    <row r="216" customFormat="false" ht="15" hidden="false" customHeight="false" outlineLevel="0" collapsed="false">
      <c r="A216" s="7" t="s">
        <v>607</v>
      </c>
      <c r="B216" s="9" t="n">
        <v>5</v>
      </c>
      <c r="C216" s="9" t="n">
        <v>5</v>
      </c>
      <c r="D216" s="9" t="n">
        <v>5</v>
      </c>
      <c r="E216" s="9" t="n">
        <v>4</v>
      </c>
      <c r="F216" s="9" t="n">
        <v>3</v>
      </c>
      <c r="G216" s="9" t="n">
        <v>3</v>
      </c>
      <c r="H216" s="9" t="n">
        <v>4</v>
      </c>
      <c r="I216" s="9" t="n">
        <v>4</v>
      </c>
      <c r="J216" s="9" t="n">
        <v>3</v>
      </c>
      <c r="K216" s="9" t="n">
        <v>4</v>
      </c>
      <c r="L216" s="9" t="n">
        <v>3</v>
      </c>
      <c r="M216" s="9" t="n">
        <v>4</v>
      </c>
      <c r="N216" s="10" t="n">
        <f aca="false">AVERAGE(B216:M216)</f>
        <v>3.91666666666667</v>
      </c>
    </row>
    <row r="217" customFormat="false" ht="15" hidden="false" customHeight="false" outlineLevel="0" collapsed="false">
      <c r="A217" s="7" t="s">
        <v>608</v>
      </c>
      <c r="B217" s="9" t="n">
        <v>2</v>
      </c>
      <c r="C217" s="9" t="n">
        <v>3</v>
      </c>
      <c r="D217" s="9" t="n">
        <v>2</v>
      </c>
      <c r="E217" s="9" t="n">
        <v>3</v>
      </c>
      <c r="F217" s="9" t="n">
        <v>3</v>
      </c>
      <c r="G217" s="9" t="n">
        <v>3</v>
      </c>
      <c r="H217" s="9" t="n">
        <v>3</v>
      </c>
      <c r="I217" s="9" t="n">
        <v>3</v>
      </c>
      <c r="J217" s="9" t="n">
        <v>3</v>
      </c>
      <c r="K217" s="9" t="n">
        <v>3</v>
      </c>
      <c r="L217" s="9" t="n">
        <v>3</v>
      </c>
      <c r="M217" s="9" t="n">
        <v>3</v>
      </c>
      <c r="N217" s="10" t="n">
        <f aca="false">AVERAGE(B217:M217)</f>
        <v>2.83333333333333</v>
      </c>
    </row>
    <row r="218" customFormat="false" ht="15" hidden="false" customHeight="false" outlineLevel="0" collapsed="false">
      <c r="A218" s="7" t="s">
        <v>609</v>
      </c>
      <c r="B218" s="9" t="n">
        <v>4</v>
      </c>
      <c r="C218" s="9" t="n">
        <v>4</v>
      </c>
      <c r="D218" s="9" t="n">
        <v>4</v>
      </c>
      <c r="E218" s="9" t="n">
        <v>4</v>
      </c>
      <c r="F218" s="9" t="n">
        <v>4</v>
      </c>
      <c r="G218" s="9" t="n">
        <v>4</v>
      </c>
      <c r="H218" s="9" t="n">
        <v>4</v>
      </c>
      <c r="I218" s="9" t="n">
        <v>3</v>
      </c>
      <c r="J218" s="9" t="n">
        <v>2</v>
      </c>
      <c r="K218" s="9" t="n">
        <v>2</v>
      </c>
      <c r="L218" s="9" t="n">
        <v>3</v>
      </c>
      <c r="M218" s="9" t="n">
        <v>2</v>
      </c>
      <c r="N218" s="10" t="n">
        <f aca="false">AVERAGE(B218:M218)</f>
        <v>3.33333333333333</v>
      </c>
    </row>
    <row r="219" customFormat="false" ht="15" hidden="false" customHeight="false" outlineLevel="0" collapsed="false">
      <c r="A219" s="7" t="s">
        <v>610</v>
      </c>
      <c r="B219" s="9" t="n">
        <v>2</v>
      </c>
      <c r="C219" s="9" t="n">
        <v>4</v>
      </c>
      <c r="D219" s="9" t="n">
        <v>2</v>
      </c>
      <c r="E219" s="9" t="n">
        <v>3</v>
      </c>
      <c r="F219" s="9" t="n">
        <v>4</v>
      </c>
      <c r="G219" s="9" t="n">
        <v>4</v>
      </c>
      <c r="H219" s="9" t="n">
        <v>4</v>
      </c>
      <c r="I219" s="9" t="n">
        <v>4</v>
      </c>
      <c r="J219" s="9" t="n">
        <v>3</v>
      </c>
      <c r="K219" s="9" t="n">
        <v>4</v>
      </c>
      <c r="L219" s="9" t="n">
        <v>4</v>
      </c>
      <c r="M219" s="9" t="n">
        <v>3</v>
      </c>
      <c r="N219" s="10" t="n">
        <f aca="false">AVERAGE(B219:M219)</f>
        <v>3.41666666666667</v>
      </c>
    </row>
    <row r="220" customFormat="false" ht="15" hidden="false" customHeight="false" outlineLevel="0" collapsed="false">
      <c r="A220" s="7" t="s">
        <v>611</v>
      </c>
      <c r="B220" s="9" t="n">
        <v>3</v>
      </c>
      <c r="C220" s="9" t="n">
        <v>4</v>
      </c>
      <c r="D220" s="9" t="n">
        <v>5</v>
      </c>
      <c r="E220" s="9" t="n">
        <v>5</v>
      </c>
      <c r="F220" s="9" t="n">
        <v>4</v>
      </c>
      <c r="G220" s="9" t="n">
        <v>4</v>
      </c>
      <c r="H220" s="9" t="n">
        <v>4</v>
      </c>
      <c r="I220" s="9" t="n">
        <v>3</v>
      </c>
      <c r="J220" s="9" t="n">
        <v>4</v>
      </c>
      <c r="K220" s="9" t="n">
        <v>4</v>
      </c>
      <c r="L220" s="9" t="n">
        <v>4</v>
      </c>
      <c r="M220" s="9" t="n">
        <v>4</v>
      </c>
      <c r="N220" s="10" t="n">
        <f aca="false">AVERAGE(B220:M220)</f>
        <v>4</v>
      </c>
    </row>
    <row r="221" customFormat="false" ht="15" hidden="false" customHeight="false" outlineLevel="0" collapsed="false">
      <c r="A221" s="7" t="s">
        <v>612</v>
      </c>
      <c r="B221" s="9" t="n">
        <v>5</v>
      </c>
      <c r="C221" s="9" t="n">
        <v>4</v>
      </c>
      <c r="D221" s="9" t="n">
        <v>5</v>
      </c>
      <c r="E221" s="9" t="n">
        <v>5</v>
      </c>
      <c r="F221" s="9" t="n">
        <v>5</v>
      </c>
      <c r="G221" s="9" t="n">
        <v>4</v>
      </c>
      <c r="H221" s="9" t="n">
        <v>5</v>
      </c>
      <c r="I221" s="9" t="n">
        <v>5</v>
      </c>
      <c r="J221" s="9" t="n">
        <v>3</v>
      </c>
      <c r="K221" s="9" t="n">
        <v>3</v>
      </c>
      <c r="L221" s="9" t="n">
        <v>3</v>
      </c>
      <c r="M221" s="9" t="n">
        <v>4</v>
      </c>
      <c r="N221" s="10" t="n">
        <f aca="false">AVERAGE(B221:M221)</f>
        <v>4.25</v>
      </c>
    </row>
    <row r="222" customFormat="false" ht="15" hidden="false" customHeight="false" outlineLevel="0" collapsed="false">
      <c r="A222" s="7" t="s">
        <v>613</v>
      </c>
      <c r="B222" s="9" t="n">
        <v>4</v>
      </c>
      <c r="C222" s="9" t="n">
        <v>5</v>
      </c>
      <c r="D222" s="9" t="n">
        <v>5</v>
      </c>
      <c r="E222" s="9" t="n">
        <v>4</v>
      </c>
      <c r="F222" s="9" t="n">
        <v>5</v>
      </c>
      <c r="G222" s="9" t="n">
        <v>5</v>
      </c>
      <c r="H222" s="9" t="n">
        <v>5</v>
      </c>
      <c r="I222" s="9" t="n">
        <v>5</v>
      </c>
      <c r="J222" s="9" t="n">
        <v>3</v>
      </c>
      <c r="K222" s="9" t="n">
        <v>5</v>
      </c>
      <c r="L222" s="9" t="n">
        <v>2</v>
      </c>
      <c r="M222" s="9" t="n">
        <v>2</v>
      </c>
      <c r="N222" s="10" t="n">
        <f aca="false">AVERAGE(B222:M222)</f>
        <v>4.16666666666667</v>
      </c>
    </row>
    <row r="223" customFormat="false" ht="15" hidden="false" customHeight="false" outlineLevel="0" collapsed="false">
      <c r="A223" s="7" t="s">
        <v>614</v>
      </c>
      <c r="B223" s="9" t="n">
        <v>4</v>
      </c>
      <c r="C223" s="9" t="n">
        <v>4</v>
      </c>
      <c r="D223" s="9" t="n">
        <v>4</v>
      </c>
      <c r="E223" s="9" t="n">
        <v>4</v>
      </c>
      <c r="F223" s="9" t="n">
        <v>5</v>
      </c>
      <c r="G223" s="9" t="n">
        <v>5</v>
      </c>
      <c r="H223" s="9" t="n">
        <v>5</v>
      </c>
      <c r="I223" s="9" t="n">
        <v>4</v>
      </c>
      <c r="J223" s="9" t="n">
        <v>5</v>
      </c>
      <c r="K223" s="9" t="n">
        <v>5</v>
      </c>
      <c r="L223" s="9" t="n">
        <v>4</v>
      </c>
      <c r="M223" s="9" t="n">
        <v>5</v>
      </c>
      <c r="N223" s="10" t="n">
        <f aca="false">AVERAGE(B223:M223)</f>
        <v>4.5</v>
      </c>
    </row>
    <row r="224" customFormat="false" ht="15" hidden="false" customHeight="false" outlineLevel="0" collapsed="false">
      <c r="A224" s="7" t="s">
        <v>615</v>
      </c>
      <c r="B224" s="9" t="n">
        <v>2</v>
      </c>
      <c r="C224" s="9" t="n">
        <v>3</v>
      </c>
      <c r="D224" s="9" t="n">
        <v>2</v>
      </c>
      <c r="E224" s="9" t="n">
        <v>1</v>
      </c>
      <c r="F224" s="9" t="n">
        <v>4</v>
      </c>
      <c r="G224" s="9" t="n">
        <v>3</v>
      </c>
      <c r="H224" s="9" t="n">
        <v>4</v>
      </c>
      <c r="I224" s="9" t="n">
        <v>3</v>
      </c>
      <c r="J224" s="9" t="n">
        <v>3</v>
      </c>
      <c r="K224" s="9" t="n">
        <v>3</v>
      </c>
      <c r="L224" s="9" t="n">
        <v>4</v>
      </c>
      <c r="M224" s="9" t="n">
        <v>4</v>
      </c>
      <c r="N224" s="10" t="n">
        <f aca="false">AVERAGE(B224:M224)</f>
        <v>3</v>
      </c>
    </row>
    <row r="225" customFormat="false" ht="15" hidden="false" customHeight="false" outlineLevel="0" collapsed="false">
      <c r="A225" s="7" t="s">
        <v>616</v>
      </c>
      <c r="B225" s="9" t="n">
        <v>5</v>
      </c>
      <c r="C225" s="9" t="n">
        <v>5</v>
      </c>
      <c r="D225" s="9" t="n">
        <v>5</v>
      </c>
      <c r="E225" s="9" t="n">
        <v>5</v>
      </c>
      <c r="F225" s="9" t="n">
        <v>5</v>
      </c>
      <c r="G225" s="9" t="n">
        <v>4</v>
      </c>
      <c r="H225" s="9" t="n">
        <v>5</v>
      </c>
      <c r="I225" s="9" t="n">
        <v>4</v>
      </c>
      <c r="J225" s="9" t="n">
        <v>4</v>
      </c>
      <c r="K225" s="9" t="n">
        <v>5</v>
      </c>
      <c r="L225" s="9" t="n">
        <v>3</v>
      </c>
      <c r="M225" s="9" t="n">
        <v>4</v>
      </c>
      <c r="N225" s="10" t="n">
        <f aca="false">AVERAGE(B225:M225)</f>
        <v>4.5</v>
      </c>
    </row>
    <row r="226" customFormat="false" ht="15" hidden="false" customHeight="false" outlineLevel="0" collapsed="false">
      <c r="A226" s="7" t="s">
        <v>617</v>
      </c>
      <c r="B226" s="9" t="n">
        <v>3</v>
      </c>
      <c r="C226" s="9" t="n">
        <v>3</v>
      </c>
      <c r="D226" s="9" t="n">
        <v>4</v>
      </c>
      <c r="E226" s="9" t="n">
        <v>4</v>
      </c>
      <c r="F226" s="9" t="n">
        <v>3</v>
      </c>
      <c r="G226" s="9" t="n">
        <v>4</v>
      </c>
      <c r="H226" s="9" t="n">
        <v>3</v>
      </c>
      <c r="I226" s="9" t="n">
        <v>3</v>
      </c>
      <c r="J226" s="9" t="n">
        <v>4</v>
      </c>
      <c r="K226" s="9" t="n">
        <v>3</v>
      </c>
      <c r="L226" s="9" t="n">
        <v>4</v>
      </c>
      <c r="M226" s="9" t="n">
        <v>4</v>
      </c>
      <c r="N226" s="10" t="n">
        <f aca="false">AVERAGE(B226:M226)</f>
        <v>3.5</v>
      </c>
    </row>
    <row r="227" customFormat="false" ht="15" hidden="false" customHeight="false" outlineLevel="0" collapsed="false">
      <c r="A227" s="7" t="s">
        <v>618</v>
      </c>
      <c r="B227" s="9" t="n">
        <v>3</v>
      </c>
      <c r="C227" s="9" t="n">
        <v>3</v>
      </c>
      <c r="D227" s="9" t="n">
        <v>2</v>
      </c>
      <c r="E227" s="9" t="n">
        <v>3</v>
      </c>
      <c r="F227" s="9" t="n">
        <v>3</v>
      </c>
      <c r="G227" s="9" t="n">
        <v>2</v>
      </c>
      <c r="H227" s="9" t="n">
        <v>2</v>
      </c>
      <c r="I227" s="9" t="n">
        <v>1</v>
      </c>
      <c r="J227" s="9" t="n">
        <v>3</v>
      </c>
      <c r="K227" s="9" t="n">
        <v>3</v>
      </c>
      <c r="L227" s="9" t="n">
        <v>4</v>
      </c>
      <c r="M227" s="9" t="n">
        <v>2</v>
      </c>
      <c r="N227" s="10" t="n">
        <f aca="false">AVERAGE(B227:M227)</f>
        <v>2.58333333333333</v>
      </c>
    </row>
    <row r="228" customFormat="false" ht="15" hidden="false" customHeight="false" outlineLevel="0" collapsed="false">
      <c r="A228" s="7" t="s">
        <v>619</v>
      </c>
      <c r="B228" s="9" t="n">
        <v>3</v>
      </c>
      <c r="C228" s="9" t="n">
        <v>4</v>
      </c>
      <c r="D228" s="9" t="n">
        <v>5</v>
      </c>
      <c r="E228" s="9" t="n">
        <v>4</v>
      </c>
      <c r="F228" s="9" t="n">
        <v>4</v>
      </c>
      <c r="G228" s="9" t="n">
        <v>4</v>
      </c>
      <c r="H228" s="9" t="n">
        <v>4</v>
      </c>
      <c r="I228" s="9" t="n">
        <v>3</v>
      </c>
      <c r="J228" s="9" t="n">
        <v>5</v>
      </c>
      <c r="K228" s="9" t="n">
        <v>5</v>
      </c>
      <c r="L228" s="9" t="n">
        <v>5</v>
      </c>
      <c r="M228" s="9" t="n">
        <v>5</v>
      </c>
      <c r="N228" s="10" t="n">
        <f aca="false">AVERAGE(B228:M228)</f>
        <v>4.25</v>
      </c>
    </row>
    <row r="229" customFormat="false" ht="15" hidden="false" customHeight="false" outlineLevel="0" collapsed="false">
      <c r="A229" s="7" t="s">
        <v>620</v>
      </c>
      <c r="B229" s="9" t="n">
        <v>3</v>
      </c>
      <c r="C229" s="9" t="n">
        <v>3</v>
      </c>
      <c r="D229" s="9" t="n">
        <v>3</v>
      </c>
      <c r="E229" s="9" t="n">
        <v>5</v>
      </c>
      <c r="F229" s="9" t="n">
        <v>2</v>
      </c>
      <c r="G229" s="9" t="n">
        <v>3</v>
      </c>
      <c r="H229" s="9" t="n">
        <v>3</v>
      </c>
      <c r="I229" s="9" t="n">
        <v>4</v>
      </c>
      <c r="J229" s="9" t="n">
        <v>4</v>
      </c>
      <c r="K229" s="9" t="n">
        <v>4</v>
      </c>
      <c r="L229" s="9" t="n">
        <v>4</v>
      </c>
      <c r="M229" s="9" t="n">
        <v>4</v>
      </c>
      <c r="N229" s="10" t="n">
        <f aca="false">AVERAGE(B229:M229)</f>
        <v>3.5</v>
      </c>
    </row>
    <row r="230" customFormat="false" ht="15" hidden="false" customHeight="false" outlineLevel="0" collapsed="false">
      <c r="A230" s="7" t="s">
        <v>621</v>
      </c>
      <c r="B230" s="9" t="n">
        <v>4</v>
      </c>
      <c r="C230" s="9" t="n">
        <v>1</v>
      </c>
      <c r="D230" s="9" t="n">
        <v>3</v>
      </c>
      <c r="E230" s="9" t="n">
        <v>2</v>
      </c>
      <c r="F230" s="9" t="n">
        <v>4</v>
      </c>
      <c r="G230" s="9" t="n">
        <v>2</v>
      </c>
      <c r="H230" s="9" t="n">
        <v>3</v>
      </c>
      <c r="I230" s="9" t="n">
        <v>3</v>
      </c>
      <c r="J230" s="9" t="n">
        <v>3</v>
      </c>
      <c r="K230" s="9" t="n">
        <v>2</v>
      </c>
      <c r="L230" s="9" t="n">
        <v>3</v>
      </c>
      <c r="M230" s="9" t="n">
        <v>3</v>
      </c>
      <c r="N230" s="10" t="n">
        <f aca="false">AVERAGE(B230:M230)</f>
        <v>2.75</v>
      </c>
    </row>
    <row r="231" customFormat="false" ht="15" hidden="false" customHeight="false" outlineLevel="0" collapsed="false">
      <c r="A231" s="7" t="s">
        <v>622</v>
      </c>
      <c r="B231" s="9" t="n">
        <v>4</v>
      </c>
      <c r="C231" s="9" t="n">
        <v>4</v>
      </c>
      <c r="D231" s="9" t="n">
        <v>4</v>
      </c>
      <c r="E231" s="9" t="n">
        <v>4</v>
      </c>
      <c r="F231" s="9" t="n">
        <v>4</v>
      </c>
      <c r="G231" s="9" t="n">
        <v>4</v>
      </c>
      <c r="H231" s="9" t="n">
        <v>4</v>
      </c>
      <c r="I231" s="9" t="n">
        <v>5</v>
      </c>
      <c r="J231" s="9" t="n">
        <v>3</v>
      </c>
      <c r="K231" s="9" t="n">
        <v>4</v>
      </c>
      <c r="L231" s="9" t="n">
        <v>4</v>
      </c>
      <c r="M231" s="9" t="n">
        <v>4</v>
      </c>
      <c r="N231" s="10" t="n">
        <f aca="false">AVERAGE(B231:M231)</f>
        <v>4</v>
      </c>
    </row>
    <row r="232" customFormat="false" ht="15" hidden="false" customHeight="false" outlineLevel="0" collapsed="false">
      <c r="A232" s="7" t="s">
        <v>623</v>
      </c>
      <c r="B232" s="9" t="n">
        <v>5</v>
      </c>
      <c r="C232" s="9" t="n">
        <v>5</v>
      </c>
      <c r="D232" s="9" t="n">
        <v>5</v>
      </c>
      <c r="E232" s="9" t="n">
        <v>4</v>
      </c>
      <c r="F232" s="9" t="n">
        <v>3</v>
      </c>
      <c r="G232" s="9" t="n">
        <v>2</v>
      </c>
      <c r="H232" s="9" t="n">
        <v>3</v>
      </c>
      <c r="I232" s="9" t="n">
        <v>3</v>
      </c>
      <c r="J232" s="9" t="n">
        <v>2</v>
      </c>
      <c r="K232" s="9" t="n">
        <v>2</v>
      </c>
      <c r="L232" s="9" t="n">
        <v>3</v>
      </c>
      <c r="M232" s="9" t="n">
        <v>2</v>
      </c>
      <c r="N232" s="10" t="n">
        <f aca="false">AVERAGE(B232:M232)</f>
        <v>3.25</v>
      </c>
    </row>
    <row r="233" customFormat="false" ht="15" hidden="false" customHeight="false" outlineLevel="0" collapsed="false">
      <c r="A233" s="7" t="s">
        <v>624</v>
      </c>
      <c r="B233" s="9" t="n">
        <v>4</v>
      </c>
      <c r="C233" s="9" t="n">
        <v>2</v>
      </c>
      <c r="D233" s="9" t="n">
        <v>3</v>
      </c>
      <c r="E233" s="9" t="n">
        <v>3</v>
      </c>
      <c r="F233" s="9" t="n">
        <v>3</v>
      </c>
      <c r="G233" s="9" t="n">
        <v>2</v>
      </c>
      <c r="H233" s="9" t="n">
        <v>3</v>
      </c>
      <c r="I233" s="9" t="n">
        <v>4</v>
      </c>
      <c r="J233" s="9" t="n">
        <v>4</v>
      </c>
      <c r="K233" s="9" t="n">
        <v>4</v>
      </c>
      <c r="L233" s="9" t="n">
        <v>3</v>
      </c>
      <c r="M233" s="9" t="n">
        <v>4</v>
      </c>
      <c r="N233" s="10" t="n">
        <f aca="false">AVERAGE(B233:M233)</f>
        <v>3.25</v>
      </c>
    </row>
    <row r="234" customFormat="false" ht="15" hidden="false" customHeight="false" outlineLevel="0" collapsed="false">
      <c r="A234" s="7" t="s">
        <v>625</v>
      </c>
      <c r="B234" s="9" t="n">
        <v>4</v>
      </c>
      <c r="C234" s="9" t="n">
        <v>4</v>
      </c>
      <c r="D234" s="9" t="n">
        <v>3</v>
      </c>
      <c r="E234" s="9" t="n">
        <v>3</v>
      </c>
      <c r="F234" s="9" t="n">
        <v>4</v>
      </c>
      <c r="G234" s="9" t="n">
        <v>3</v>
      </c>
      <c r="H234" s="9" t="n">
        <v>4</v>
      </c>
      <c r="I234" s="9" t="n">
        <v>4</v>
      </c>
      <c r="J234" s="9" t="n">
        <v>4</v>
      </c>
      <c r="K234" s="9" t="n">
        <v>4</v>
      </c>
      <c r="L234" s="9" t="n">
        <v>4</v>
      </c>
      <c r="M234" s="9" t="n">
        <v>4</v>
      </c>
      <c r="N234" s="10" t="n">
        <f aca="false">AVERAGE(B234:M234)</f>
        <v>3.75</v>
      </c>
    </row>
    <row r="235" customFormat="false" ht="15" hidden="false" customHeight="false" outlineLevel="0" collapsed="false">
      <c r="A235" s="7" t="s">
        <v>626</v>
      </c>
      <c r="B235" s="9" t="n">
        <v>5</v>
      </c>
      <c r="C235" s="9" t="n">
        <v>4</v>
      </c>
      <c r="D235" s="9" t="n">
        <v>4</v>
      </c>
      <c r="E235" s="9" t="n">
        <v>3</v>
      </c>
      <c r="F235" s="9" t="n">
        <v>4</v>
      </c>
      <c r="G235" s="9" t="n">
        <v>4</v>
      </c>
      <c r="H235" s="9" t="n">
        <v>4</v>
      </c>
      <c r="I235" s="9" t="n">
        <v>4</v>
      </c>
      <c r="J235" s="9" t="n">
        <v>4</v>
      </c>
      <c r="K235" s="9" t="n">
        <v>5</v>
      </c>
      <c r="L235" s="9" t="n">
        <v>4</v>
      </c>
      <c r="M235" s="9" t="n">
        <v>4</v>
      </c>
      <c r="N235" s="10" t="n">
        <f aca="false">AVERAGE(B235:M235)</f>
        <v>4.08333333333333</v>
      </c>
    </row>
    <row r="236" customFormat="false" ht="15" hidden="false" customHeight="false" outlineLevel="0" collapsed="false">
      <c r="A236" s="7" t="s">
        <v>627</v>
      </c>
      <c r="B236" s="9" t="n">
        <v>5</v>
      </c>
      <c r="C236" s="9" t="n">
        <v>4</v>
      </c>
      <c r="D236" s="9" t="n">
        <v>5</v>
      </c>
      <c r="E236" s="9" t="n">
        <v>4</v>
      </c>
      <c r="F236" s="9" t="n">
        <v>2</v>
      </c>
      <c r="G236" s="9" t="n">
        <v>2</v>
      </c>
      <c r="H236" s="9" t="n">
        <v>3</v>
      </c>
      <c r="I236" s="9" t="n">
        <v>3</v>
      </c>
      <c r="J236" s="9" t="n">
        <v>5</v>
      </c>
      <c r="K236" s="9" t="n">
        <v>5</v>
      </c>
      <c r="L236" s="9" t="n">
        <v>3</v>
      </c>
      <c r="M236" s="9" t="n">
        <v>5</v>
      </c>
      <c r="N236" s="10" t="n">
        <f aca="false">AVERAGE(B236:M236)</f>
        <v>3.83333333333333</v>
      </c>
    </row>
    <row r="237" customFormat="false" ht="15" hidden="false" customHeight="false" outlineLevel="0" collapsed="false">
      <c r="A237" s="7" t="s">
        <v>628</v>
      </c>
      <c r="B237" s="9" t="n">
        <v>3</v>
      </c>
      <c r="C237" s="9" t="n">
        <v>4</v>
      </c>
      <c r="D237" s="9" t="n">
        <v>4</v>
      </c>
      <c r="E237" s="9" t="n">
        <v>3</v>
      </c>
      <c r="F237" s="9" t="n">
        <v>4</v>
      </c>
      <c r="G237" s="9" t="n">
        <v>4</v>
      </c>
      <c r="H237" s="9" t="n">
        <v>4</v>
      </c>
      <c r="I237" s="9" t="n">
        <v>4</v>
      </c>
      <c r="J237" s="9" t="n">
        <v>1</v>
      </c>
      <c r="K237" s="9" t="n">
        <v>2</v>
      </c>
      <c r="L237" s="9" t="n">
        <v>2</v>
      </c>
      <c r="M237" s="9" t="n">
        <v>3</v>
      </c>
      <c r="N237" s="10" t="n">
        <f aca="false">AVERAGE(B237:M237)</f>
        <v>3.16666666666667</v>
      </c>
    </row>
    <row r="238" customFormat="false" ht="15" hidden="false" customHeight="false" outlineLevel="0" collapsed="false">
      <c r="A238" s="7" t="s">
        <v>629</v>
      </c>
      <c r="B238" s="9" t="n">
        <v>4</v>
      </c>
      <c r="C238" s="9" t="n">
        <v>4</v>
      </c>
      <c r="D238" s="9" t="n">
        <v>4</v>
      </c>
      <c r="E238" s="9" t="n">
        <v>4</v>
      </c>
      <c r="F238" s="9" t="n">
        <v>4</v>
      </c>
      <c r="G238" s="9" t="n">
        <v>5</v>
      </c>
      <c r="H238" s="9" t="n">
        <v>4</v>
      </c>
      <c r="I238" s="9" t="n">
        <v>4</v>
      </c>
      <c r="J238" s="9" t="n">
        <v>5</v>
      </c>
      <c r="K238" s="9" t="n">
        <v>5</v>
      </c>
      <c r="L238" s="9" t="n">
        <v>4</v>
      </c>
      <c r="M238" s="9" t="n">
        <v>5</v>
      </c>
      <c r="N238" s="10" t="n">
        <f aca="false">AVERAGE(B238:M238)</f>
        <v>4.33333333333333</v>
      </c>
    </row>
    <row r="239" customFormat="false" ht="15" hidden="false" customHeight="false" outlineLevel="0" collapsed="false">
      <c r="A239" s="7" t="s">
        <v>630</v>
      </c>
      <c r="B239" s="9" t="n">
        <v>5</v>
      </c>
      <c r="C239" s="9" t="n">
        <v>4</v>
      </c>
      <c r="D239" s="9" t="n">
        <v>5</v>
      </c>
      <c r="E239" s="9" t="n">
        <v>4</v>
      </c>
      <c r="F239" s="9" t="n">
        <v>4</v>
      </c>
      <c r="G239" s="9" t="n">
        <v>5</v>
      </c>
      <c r="H239" s="9" t="n">
        <v>5</v>
      </c>
      <c r="I239" s="9" t="n">
        <v>4</v>
      </c>
      <c r="J239" s="9" t="n">
        <v>5</v>
      </c>
      <c r="K239" s="9" t="n">
        <v>4</v>
      </c>
      <c r="L239" s="9" t="n">
        <v>5</v>
      </c>
      <c r="M239" s="9" t="n">
        <v>5</v>
      </c>
      <c r="N239" s="10" t="n">
        <f aca="false">AVERAGE(B239:M239)</f>
        <v>4.58333333333333</v>
      </c>
    </row>
    <row r="240" customFormat="false" ht="15" hidden="false" customHeight="false" outlineLevel="0" collapsed="false">
      <c r="A240" s="7" t="s">
        <v>631</v>
      </c>
      <c r="B240" s="9" t="n">
        <v>3</v>
      </c>
      <c r="C240" s="9" t="n">
        <v>2</v>
      </c>
      <c r="D240" s="9" t="n">
        <v>3</v>
      </c>
      <c r="E240" s="9" t="n">
        <v>3</v>
      </c>
      <c r="F240" s="9" t="n">
        <v>5</v>
      </c>
      <c r="G240" s="9" t="n">
        <v>4</v>
      </c>
      <c r="H240" s="9" t="n">
        <v>3</v>
      </c>
      <c r="I240" s="9" t="n">
        <v>4</v>
      </c>
      <c r="J240" s="9" t="n">
        <v>3</v>
      </c>
      <c r="K240" s="9" t="n">
        <v>3</v>
      </c>
      <c r="L240" s="9" t="n">
        <v>3</v>
      </c>
      <c r="M240" s="9" t="n">
        <v>3</v>
      </c>
      <c r="N240" s="10" t="n">
        <f aca="false">AVERAGE(B240:M240)</f>
        <v>3.25</v>
      </c>
    </row>
    <row r="241" customFormat="false" ht="15" hidden="false" customHeight="false" outlineLevel="0" collapsed="false">
      <c r="A241" s="7" t="s">
        <v>632</v>
      </c>
      <c r="B241" s="9" t="n">
        <v>3</v>
      </c>
      <c r="C241" s="9" t="n">
        <v>3</v>
      </c>
      <c r="D241" s="9" t="n">
        <v>3</v>
      </c>
      <c r="E241" s="9" t="n">
        <v>3</v>
      </c>
      <c r="F241" s="9" t="n">
        <v>3</v>
      </c>
      <c r="G241" s="9" t="n">
        <v>3</v>
      </c>
      <c r="H241" s="9" t="n">
        <v>3</v>
      </c>
      <c r="I241" s="9" t="n">
        <v>4</v>
      </c>
      <c r="J241" s="9" t="n">
        <v>4</v>
      </c>
      <c r="K241" s="9" t="n">
        <v>4</v>
      </c>
      <c r="L241" s="9" t="n">
        <v>4</v>
      </c>
      <c r="M241" s="9" t="n">
        <v>4</v>
      </c>
      <c r="N241" s="10" t="n">
        <f aca="false">AVERAGE(B241:M241)</f>
        <v>3.41666666666667</v>
      </c>
    </row>
    <row r="242" customFormat="false" ht="15" hidden="false" customHeight="false" outlineLevel="0" collapsed="false">
      <c r="A242" s="7" t="s">
        <v>633</v>
      </c>
      <c r="B242" s="9" t="n">
        <v>2</v>
      </c>
      <c r="C242" s="9" t="n">
        <v>2</v>
      </c>
      <c r="D242" s="9" t="n">
        <v>3</v>
      </c>
      <c r="E242" s="9" t="n">
        <v>3</v>
      </c>
      <c r="F242" s="9" t="n">
        <v>5</v>
      </c>
      <c r="G242" s="9" t="n">
        <v>4</v>
      </c>
      <c r="H242" s="9" t="n">
        <v>4</v>
      </c>
      <c r="I242" s="9" t="n">
        <v>4</v>
      </c>
      <c r="J242" s="9" t="n">
        <v>4</v>
      </c>
      <c r="K242" s="9" t="n">
        <v>3</v>
      </c>
      <c r="L242" s="9" t="n">
        <v>4</v>
      </c>
      <c r="M242" s="9" t="n">
        <v>4</v>
      </c>
      <c r="N242" s="10" t="n">
        <f aca="false">AVERAGE(B242:M242)</f>
        <v>3.5</v>
      </c>
    </row>
    <row r="243" customFormat="false" ht="15" hidden="false" customHeight="false" outlineLevel="0" collapsed="false">
      <c r="A243" s="7" t="s">
        <v>634</v>
      </c>
      <c r="B243" s="9" t="n">
        <v>5</v>
      </c>
      <c r="C243" s="9" t="n">
        <v>5</v>
      </c>
      <c r="D243" s="9" t="n">
        <v>5</v>
      </c>
      <c r="E243" s="9" t="n">
        <v>5</v>
      </c>
      <c r="F243" s="9" t="n">
        <v>5</v>
      </c>
      <c r="G243" s="9" t="n">
        <v>4</v>
      </c>
      <c r="H243" s="9" t="n">
        <v>4</v>
      </c>
      <c r="I243" s="9" t="n">
        <v>5</v>
      </c>
      <c r="J243" s="9" t="n">
        <v>5</v>
      </c>
      <c r="K243" s="9" t="n">
        <v>4</v>
      </c>
      <c r="L243" s="9" t="n">
        <v>5</v>
      </c>
      <c r="M243" s="9" t="n">
        <v>4</v>
      </c>
      <c r="N243" s="10" t="n">
        <f aca="false">AVERAGE(B243:M243)</f>
        <v>4.66666666666667</v>
      </c>
    </row>
    <row r="244" customFormat="false" ht="15" hidden="false" customHeight="false" outlineLevel="0" collapsed="false">
      <c r="A244" s="7" t="s">
        <v>635</v>
      </c>
      <c r="B244" s="9" t="n">
        <v>4</v>
      </c>
      <c r="C244" s="9" t="n">
        <v>4</v>
      </c>
      <c r="D244" s="9" t="n">
        <v>4</v>
      </c>
      <c r="E244" s="9" t="n">
        <v>4</v>
      </c>
      <c r="F244" s="9" t="n">
        <v>3</v>
      </c>
      <c r="G244" s="9" t="n">
        <v>5</v>
      </c>
      <c r="H244" s="9" t="n">
        <v>5</v>
      </c>
      <c r="I244" s="9" t="n">
        <v>4</v>
      </c>
      <c r="J244" s="9" t="n">
        <v>4</v>
      </c>
      <c r="K244" s="9" t="n">
        <v>4</v>
      </c>
      <c r="L244" s="9" t="n">
        <v>4</v>
      </c>
      <c r="M244" s="9" t="n">
        <v>4</v>
      </c>
      <c r="N244" s="10" t="n">
        <f aca="false">AVERAGE(B244:M244)</f>
        <v>4.08333333333333</v>
      </c>
    </row>
    <row r="245" customFormat="false" ht="15" hidden="false" customHeight="false" outlineLevel="0" collapsed="false">
      <c r="A245" s="7" t="s">
        <v>636</v>
      </c>
      <c r="B245" s="9" t="n">
        <v>5</v>
      </c>
      <c r="C245" s="9" t="n">
        <v>5</v>
      </c>
      <c r="D245" s="9" t="n">
        <v>5</v>
      </c>
      <c r="E245" s="9" t="n">
        <v>4</v>
      </c>
      <c r="F245" s="9" t="n">
        <v>4</v>
      </c>
      <c r="G245" s="9" t="n">
        <v>5</v>
      </c>
      <c r="H245" s="9" t="n">
        <v>5</v>
      </c>
      <c r="I245" s="9" t="n">
        <v>5</v>
      </c>
      <c r="J245" s="9" t="n">
        <v>4</v>
      </c>
      <c r="K245" s="9" t="n">
        <v>4</v>
      </c>
      <c r="L245" s="9" t="n">
        <v>4</v>
      </c>
      <c r="M245" s="9" t="n">
        <v>4</v>
      </c>
      <c r="N245" s="10" t="n">
        <f aca="false">AVERAGE(B245:M245)</f>
        <v>4.5</v>
      </c>
    </row>
    <row r="246" customFormat="false" ht="15" hidden="false" customHeight="false" outlineLevel="0" collapsed="false">
      <c r="A246" s="7" t="s">
        <v>637</v>
      </c>
      <c r="B246" s="9" t="n">
        <v>3</v>
      </c>
      <c r="C246" s="9" t="n">
        <v>3</v>
      </c>
      <c r="D246" s="9" t="n">
        <v>3</v>
      </c>
      <c r="E246" s="9" t="n">
        <v>2</v>
      </c>
      <c r="F246" s="9" t="n">
        <v>3</v>
      </c>
      <c r="G246" s="9" t="n">
        <v>3</v>
      </c>
      <c r="H246" s="9" t="n">
        <v>2</v>
      </c>
      <c r="I246" s="9" t="n">
        <v>3</v>
      </c>
      <c r="J246" s="9" t="n">
        <v>4</v>
      </c>
      <c r="K246" s="9" t="n">
        <v>3</v>
      </c>
      <c r="L246" s="9" t="n">
        <v>3</v>
      </c>
      <c r="M246" s="9" t="n">
        <v>3</v>
      </c>
      <c r="N246" s="10" t="n">
        <f aca="false">AVERAGE(B246:M246)</f>
        <v>2.91666666666667</v>
      </c>
    </row>
    <row r="247" customFormat="false" ht="15" hidden="false" customHeight="false" outlineLevel="0" collapsed="false">
      <c r="A247" s="7" t="s">
        <v>638</v>
      </c>
      <c r="B247" s="9" t="n">
        <v>5</v>
      </c>
      <c r="C247" s="9" t="n">
        <v>5</v>
      </c>
      <c r="D247" s="9" t="n">
        <v>5</v>
      </c>
      <c r="E247" s="9" t="n">
        <v>5</v>
      </c>
      <c r="F247" s="9" t="n">
        <v>5</v>
      </c>
      <c r="G247" s="9" t="n">
        <v>4</v>
      </c>
      <c r="H247" s="9" t="n">
        <v>5</v>
      </c>
      <c r="I247" s="9" t="n">
        <v>5</v>
      </c>
      <c r="J247" s="9" t="n">
        <v>5</v>
      </c>
      <c r="K247" s="9" t="n">
        <v>5</v>
      </c>
      <c r="L247" s="9" t="n">
        <v>5</v>
      </c>
      <c r="M247" s="9" t="n">
        <v>5</v>
      </c>
      <c r="N247" s="10" t="n">
        <f aca="false">AVERAGE(B247:M247)</f>
        <v>4.91666666666667</v>
      </c>
    </row>
    <row r="248" customFormat="false" ht="15" hidden="false" customHeight="false" outlineLevel="0" collapsed="false">
      <c r="A248" s="7" t="s">
        <v>639</v>
      </c>
      <c r="B248" s="9" t="n">
        <v>4</v>
      </c>
      <c r="C248" s="9" t="n">
        <v>4</v>
      </c>
      <c r="D248" s="9" t="n">
        <v>4</v>
      </c>
      <c r="E248" s="9" t="n">
        <v>5</v>
      </c>
      <c r="F248" s="9" t="n">
        <v>5</v>
      </c>
      <c r="G248" s="9" t="n">
        <v>5</v>
      </c>
      <c r="H248" s="9" t="n">
        <v>5</v>
      </c>
      <c r="I248" s="9" t="n">
        <v>4</v>
      </c>
      <c r="J248" s="9" t="n">
        <v>4</v>
      </c>
      <c r="K248" s="9" t="n">
        <v>4</v>
      </c>
      <c r="L248" s="9" t="n">
        <v>4</v>
      </c>
      <c r="M248" s="9" t="n">
        <v>5</v>
      </c>
      <c r="N248" s="10" t="n">
        <f aca="false">AVERAGE(B248:M248)</f>
        <v>4.41666666666667</v>
      </c>
    </row>
    <row r="249" customFormat="false" ht="15" hidden="false" customHeight="false" outlineLevel="0" collapsed="false">
      <c r="A249" s="7" t="s">
        <v>640</v>
      </c>
      <c r="B249" s="9" t="n">
        <v>2</v>
      </c>
      <c r="C249" s="9" t="n">
        <v>1</v>
      </c>
      <c r="D249" s="9" t="n">
        <v>2</v>
      </c>
      <c r="E249" s="9" t="n">
        <v>2</v>
      </c>
      <c r="F249" s="9" t="n">
        <v>2</v>
      </c>
      <c r="G249" s="9" t="n">
        <v>3</v>
      </c>
      <c r="H249" s="9" t="n">
        <v>3</v>
      </c>
      <c r="I249" s="9" t="n">
        <v>3</v>
      </c>
      <c r="J249" s="9" t="n">
        <v>2</v>
      </c>
      <c r="K249" s="9" t="n">
        <v>3</v>
      </c>
      <c r="L249" s="9" t="n">
        <v>3</v>
      </c>
      <c r="M249" s="9" t="n">
        <v>3</v>
      </c>
      <c r="N249" s="10" t="n">
        <f aca="false">AVERAGE(B249:M249)</f>
        <v>2.41666666666667</v>
      </c>
    </row>
    <row r="250" customFormat="false" ht="15" hidden="false" customHeight="false" outlineLevel="0" collapsed="false">
      <c r="A250" s="7" t="s">
        <v>641</v>
      </c>
      <c r="B250" s="9" t="n">
        <v>4</v>
      </c>
      <c r="C250" s="9" t="n">
        <v>5</v>
      </c>
      <c r="D250" s="9" t="n">
        <v>4</v>
      </c>
      <c r="E250" s="9" t="n">
        <v>4</v>
      </c>
      <c r="F250" s="9" t="n">
        <v>1</v>
      </c>
      <c r="G250" s="9" t="n">
        <v>2</v>
      </c>
      <c r="H250" s="9" t="n">
        <v>2</v>
      </c>
      <c r="I250" s="9" t="n">
        <v>3</v>
      </c>
      <c r="J250" s="9" t="n">
        <v>3</v>
      </c>
      <c r="K250" s="9" t="n">
        <v>3</v>
      </c>
      <c r="L250" s="9" t="n">
        <v>2</v>
      </c>
      <c r="M250" s="9" t="n">
        <v>3</v>
      </c>
      <c r="N250" s="10" t="n">
        <f aca="false">AVERAGE(B250:M250)</f>
        <v>3</v>
      </c>
    </row>
    <row r="251" customFormat="false" ht="15" hidden="false" customHeight="false" outlineLevel="0" collapsed="false">
      <c r="A251" s="7" t="s">
        <v>642</v>
      </c>
      <c r="B251" s="9" t="n">
        <v>3</v>
      </c>
      <c r="C251" s="9" t="n">
        <v>1</v>
      </c>
      <c r="D251" s="9" t="n">
        <v>2</v>
      </c>
      <c r="E251" s="9" t="n">
        <v>3</v>
      </c>
      <c r="F251" s="9" t="n">
        <v>4</v>
      </c>
      <c r="G251" s="9" t="n">
        <v>2</v>
      </c>
      <c r="H251" s="9" t="n">
        <v>4</v>
      </c>
      <c r="I251" s="9" t="n">
        <v>4</v>
      </c>
      <c r="J251" s="9" t="n">
        <v>4</v>
      </c>
      <c r="K251" s="9" t="n">
        <v>3</v>
      </c>
      <c r="L251" s="9" t="n">
        <v>5</v>
      </c>
      <c r="M251" s="9" t="n">
        <v>4</v>
      </c>
      <c r="N251" s="10" t="n">
        <f aca="false">AVERAGE(B251:M251)</f>
        <v>3.25</v>
      </c>
    </row>
    <row r="252" customFormat="false" ht="15" hidden="false" customHeight="false" outlineLevel="0" collapsed="false">
      <c r="A252" s="7" t="s">
        <v>643</v>
      </c>
      <c r="B252" s="9" t="n">
        <v>4</v>
      </c>
      <c r="C252" s="9" t="n">
        <v>4</v>
      </c>
      <c r="D252" s="9" t="n">
        <v>5</v>
      </c>
      <c r="E252" s="9" t="n">
        <v>4</v>
      </c>
      <c r="F252" s="9" t="n">
        <v>4</v>
      </c>
      <c r="G252" s="9" t="n">
        <v>4</v>
      </c>
      <c r="H252" s="9" t="n">
        <v>4</v>
      </c>
      <c r="I252" s="9" t="n">
        <v>4</v>
      </c>
      <c r="J252" s="9" t="n">
        <v>2</v>
      </c>
      <c r="K252" s="9" t="n">
        <v>3</v>
      </c>
      <c r="L252" s="9" t="n">
        <v>3</v>
      </c>
      <c r="M252" s="9" t="n">
        <v>2</v>
      </c>
      <c r="N252" s="10" t="n">
        <f aca="false">AVERAGE(B252:M252)</f>
        <v>3.58333333333333</v>
      </c>
    </row>
    <row r="253" customFormat="false" ht="15" hidden="false" customHeight="false" outlineLevel="0" collapsed="false">
      <c r="A253" s="7" t="s">
        <v>644</v>
      </c>
      <c r="B253" s="9" t="n">
        <v>3</v>
      </c>
      <c r="C253" s="9" t="n">
        <v>2</v>
      </c>
      <c r="D253" s="9" t="n">
        <v>4</v>
      </c>
      <c r="E253" s="9" t="n">
        <v>4</v>
      </c>
      <c r="F253" s="9" t="n">
        <v>3</v>
      </c>
      <c r="G253" s="9" t="n">
        <v>3</v>
      </c>
      <c r="H253" s="9" t="n">
        <v>3</v>
      </c>
      <c r="I253" s="9" t="n">
        <v>2</v>
      </c>
      <c r="J253" s="9" t="n">
        <v>5</v>
      </c>
      <c r="K253" s="9" t="n">
        <v>3</v>
      </c>
      <c r="L253" s="9" t="n">
        <v>4</v>
      </c>
      <c r="M253" s="9" t="n">
        <v>5</v>
      </c>
      <c r="N253" s="10" t="n">
        <f aca="false">AVERAGE(B253:M253)</f>
        <v>3.41666666666667</v>
      </c>
    </row>
    <row r="254" customFormat="false" ht="15" hidden="false" customHeight="false" outlineLevel="0" collapsed="false">
      <c r="A254" s="7" t="s">
        <v>645</v>
      </c>
      <c r="B254" s="9" t="n">
        <v>4</v>
      </c>
      <c r="C254" s="9" t="n">
        <v>3</v>
      </c>
      <c r="D254" s="9" t="n">
        <v>3</v>
      </c>
      <c r="E254" s="9" t="n">
        <v>4</v>
      </c>
      <c r="F254" s="9" t="n">
        <v>4</v>
      </c>
      <c r="G254" s="9" t="n">
        <v>2</v>
      </c>
      <c r="H254" s="9" t="n">
        <v>3</v>
      </c>
      <c r="I254" s="9" t="n">
        <v>2</v>
      </c>
      <c r="J254" s="9" t="n">
        <v>2</v>
      </c>
      <c r="K254" s="9" t="n">
        <v>2</v>
      </c>
      <c r="L254" s="9" t="n">
        <v>3</v>
      </c>
      <c r="M254" s="9" t="n">
        <v>3</v>
      </c>
      <c r="N254" s="10" t="n">
        <f aca="false">AVERAGE(B254:M254)</f>
        <v>2.91666666666667</v>
      </c>
    </row>
    <row r="255" customFormat="false" ht="15" hidden="false" customHeight="false" outlineLevel="0" collapsed="false">
      <c r="A255" s="7" t="s">
        <v>646</v>
      </c>
      <c r="B255" s="9" t="n">
        <v>3</v>
      </c>
      <c r="C255" s="9" t="n">
        <v>2</v>
      </c>
      <c r="D255" s="9" t="n">
        <v>2</v>
      </c>
      <c r="E255" s="9" t="n">
        <v>2</v>
      </c>
      <c r="F255" s="9" t="n">
        <v>3</v>
      </c>
      <c r="G255" s="9" t="n">
        <v>2</v>
      </c>
      <c r="H255" s="9" t="n">
        <v>3</v>
      </c>
      <c r="I255" s="9" t="n">
        <v>3</v>
      </c>
      <c r="J255" s="9" t="n">
        <v>3</v>
      </c>
      <c r="K255" s="9" t="n">
        <v>3</v>
      </c>
      <c r="L255" s="9" t="n">
        <v>4</v>
      </c>
      <c r="M255" s="9" t="n">
        <v>2</v>
      </c>
      <c r="N255" s="10" t="n">
        <f aca="false">AVERAGE(B255:M255)</f>
        <v>2.66666666666667</v>
      </c>
    </row>
    <row r="256" customFormat="false" ht="15" hidden="false" customHeight="false" outlineLevel="0" collapsed="false">
      <c r="A256" s="7" t="s">
        <v>647</v>
      </c>
      <c r="B256" s="9" t="n">
        <v>4</v>
      </c>
      <c r="C256" s="9" t="n">
        <v>5</v>
      </c>
      <c r="D256" s="9" t="n">
        <v>5</v>
      </c>
      <c r="E256" s="9" t="n">
        <v>5</v>
      </c>
      <c r="F256" s="9" t="n">
        <v>4</v>
      </c>
      <c r="G256" s="9" t="n">
        <v>5</v>
      </c>
      <c r="H256" s="9" t="n">
        <v>5</v>
      </c>
      <c r="I256" s="9" t="n">
        <v>5</v>
      </c>
      <c r="J256" s="9" t="n">
        <v>5</v>
      </c>
      <c r="K256" s="9" t="n">
        <v>5</v>
      </c>
      <c r="L256" s="9" t="n">
        <v>5</v>
      </c>
      <c r="M256" s="9" t="n">
        <v>5</v>
      </c>
      <c r="N256" s="10" t="n">
        <f aca="false">AVERAGE(B256:M256)</f>
        <v>4.83333333333333</v>
      </c>
    </row>
    <row r="257" customFormat="false" ht="15" hidden="false" customHeight="false" outlineLevel="0" collapsed="false">
      <c r="A257" s="7" t="s">
        <v>648</v>
      </c>
      <c r="B257" s="9" t="n">
        <v>4</v>
      </c>
      <c r="C257" s="9" t="n">
        <v>3</v>
      </c>
      <c r="D257" s="9" t="n">
        <v>4</v>
      </c>
      <c r="E257" s="9" t="n">
        <v>2</v>
      </c>
      <c r="F257" s="9" t="n">
        <v>2</v>
      </c>
      <c r="G257" s="9" t="n">
        <v>3</v>
      </c>
      <c r="H257" s="9" t="n">
        <v>3</v>
      </c>
      <c r="I257" s="9" t="n">
        <v>4</v>
      </c>
      <c r="J257" s="9" t="n">
        <v>4</v>
      </c>
      <c r="K257" s="9" t="n">
        <v>4</v>
      </c>
      <c r="L257" s="9" t="n">
        <v>3</v>
      </c>
      <c r="M257" s="9" t="n">
        <v>3</v>
      </c>
      <c r="N257" s="10" t="n">
        <f aca="false">AVERAGE(B257:M257)</f>
        <v>3.25</v>
      </c>
    </row>
    <row r="258" customFormat="false" ht="15" hidden="false" customHeight="false" outlineLevel="0" collapsed="false">
      <c r="A258" s="7" t="s">
        <v>649</v>
      </c>
      <c r="B258" s="9" t="n">
        <v>5</v>
      </c>
      <c r="C258" s="9" t="n">
        <v>4</v>
      </c>
      <c r="D258" s="9" t="n">
        <v>4</v>
      </c>
      <c r="E258" s="9" t="n">
        <v>4</v>
      </c>
      <c r="F258" s="9" t="n">
        <v>2</v>
      </c>
      <c r="G258" s="9" t="n">
        <v>3</v>
      </c>
      <c r="H258" s="9" t="n">
        <v>2</v>
      </c>
      <c r="I258" s="9" t="n">
        <v>2</v>
      </c>
      <c r="J258" s="9" t="n">
        <v>5</v>
      </c>
      <c r="K258" s="9" t="n">
        <v>4</v>
      </c>
      <c r="L258" s="9" t="n">
        <v>4</v>
      </c>
      <c r="M258" s="9" t="n">
        <v>4</v>
      </c>
      <c r="N258" s="10" t="n">
        <f aca="false">AVERAGE(B258:M258)</f>
        <v>3.58333333333333</v>
      </c>
    </row>
    <row r="259" customFormat="false" ht="15" hidden="false" customHeight="false" outlineLevel="0" collapsed="false">
      <c r="A259" s="7" t="s">
        <v>650</v>
      </c>
      <c r="B259" s="9" t="n">
        <v>4</v>
      </c>
      <c r="C259" s="9" t="n">
        <v>4</v>
      </c>
      <c r="D259" s="9" t="n">
        <v>4</v>
      </c>
      <c r="E259" s="9" t="n">
        <v>4</v>
      </c>
      <c r="F259" s="9" t="n">
        <v>4</v>
      </c>
      <c r="G259" s="9" t="n">
        <v>5</v>
      </c>
      <c r="H259" s="9" t="n">
        <v>5</v>
      </c>
      <c r="I259" s="9" t="n">
        <v>5</v>
      </c>
      <c r="J259" s="9" t="n">
        <v>4</v>
      </c>
      <c r="K259" s="9" t="n">
        <v>4</v>
      </c>
      <c r="L259" s="9" t="n">
        <v>5</v>
      </c>
      <c r="M259" s="9" t="n">
        <v>4</v>
      </c>
      <c r="N259" s="10" t="n">
        <f aca="false">AVERAGE(B259:M259)</f>
        <v>4.33333333333333</v>
      </c>
    </row>
    <row r="260" customFormat="false" ht="15" hidden="false" customHeight="false" outlineLevel="0" collapsed="false">
      <c r="A260" s="7" t="s">
        <v>651</v>
      </c>
      <c r="B260" s="9" t="n">
        <v>3</v>
      </c>
      <c r="C260" s="9" t="n">
        <v>4</v>
      </c>
      <c r="D260" s="9" t="n">
        <v>3</v>
      </c>
      <c r="E260" s="9" t="n">
        <v>4</v>
      </c>
      <c r="F260" s="9" t="n">
        <v>5</v>
      </c>
      <c r="G260" s="9" t="n">
        <v>5</v>
      </c>
      <c r="H260" s="9" t="n">
        <v>4</v>
      </c>
      <c r="I260" s="9" t="n">
        <v>4</v>
      </c>
      <c r="J260" s="9" t="n">
        <v>3</v>
      </c>
      <c r="K260" s="9" t="n">
        <v>3</v>
      </c>
      <c r="L260" s="9" t="n">
        <v>3</v>
      </c>
      <c r="M260" s="9" t="n">
        <v>3</v>
      </c>
      <c r="N260" s="10" t="n">
        <f aca="false">AVERAGE(B260:M260)</f>
        <v>3.66666666666667</v>
      </c>
    </row>
    <row r="261" customFormat="false" ht="15" hidden="false" customHeight="false" outlineLevel="0" collapsed="false">
      <c r="A261" s="7" t="s">
        <v>652</v>
      </c>
      <c r="B261" s="9" t="n">
        <v>3</v>
      </c>
      <c r="C261" s="9" t="n">
        <v>3</v>
      </c>
      <c r="D261" s="9" t="n">
        <v>3</v>
      </c>
      <c r="E261" s="9" t="n">
        <v>3</v>
      </c>
      <c r="F261" s="9" t="n">
        <v>3</v>
      </c>
      <c r="G261" s="9" t="n">
        <v>3</v>
      </c>
      <c r="H261" s="9" t="n">
        <v>3</v>
      </c>
      <c r="I261" s="9" t="n">
        <v>2</v>
      </c>
      <c r="J261" s="9" t="n">
        <v>3</v>
      </c>
      <c r="K261" s="9" t="n">
        <v>3</v>
      </c>
      <c r="L261" s="9" t="n">
        <v>3</v>
      </c>
      <c r="M261" s="9" t="n">
        <v>4</v>
      </c>
      <c r="N261" s="10" t="n">
        <f aca="false">AVERAGE(B261:M261)</f>
        <v>3</v>
      </c>
    </row>
    <row r="262" customFormat="false" ht="15" hidden="false" customHeight="false" outlineLevel="0" collapsed="false">
      <c r="A262" s="7" t="s">
        <v>653</v>
      </c>
      <c r="B262" s="9" t="n">
        <v>4</v>
      </c>
      <c r="C262" s="9" t="n">
        <v>2</v>
      </c>
      <c r="D262" s="9" t="n">
        <v>3</v>
      </c>
      <c r="E262" s="9" t="n">
        <v>3</v>
      </c>
      <c r="F262" s="9" t="n">
        <v>2</v>
      </c>
      <c r="G262" s="9" t="n">
        <v>2</v>
      </c>
      <c r="H262" s="9" t="n">
        <v>2</v>
      </c>
      <c r="I262" s="9" t="n">
        <v>3</v>
      </c>
      <c r="J262" s="9" t="n">
        <v>3</v>
      </c>
      <c r="K262" s="9" t="n">
        <v>3</v>
      </c>
      <c r="L262" s="9" t="n">
        <v>3</v>
      </c>
      <c r="M262" s="9" t="n">
        <v>3</v>
      </c>
      <c r="N262" s="10" t="n">
        <f aca="false">AVERAGE(B262:M262)</f>
        <v>2.75</v>
      </c>
    </row>
    <row r="263" customFormat="false" ht="15" hidden="false" customHeight="false" outlineLevel="0" collapsed="false">
      <c r="A263" s="7" t="s">
        <v>654</v>
      </c>
      <c r="B263" s="9" t="n">
        <v>4</v>
      </c>
      <c r="C263" s="9" t="n">
        <v>4</v>
      </c>
      <c r="D263" s="9" t="n">
        <v>3</v>
      </c>
      <c r="E263" s="9" t="n">
        <v>4</v>
      </c>
      <c r="F263" s="9" t="n">
        <v>4</v>
      </c>
      <c r="G263" s="9" t="n">
        <v>4</v>
      </c>
      <c r="H263" s="9" t="n">
        <v>5</v>
      </c>
      <c r="I263" s="9" t="n">
        <v>4</v>
      </c>
      <c r="J263" s="9" t="n">
        <v>5</v>
      </c>
      <c r="K263" s="9" t="n">
        <v>4</v>
      </c>
      <c r="L263" s="9" t="n">
        <v>5</v>
      </c>
      <c r="M263" s="9" t="n">
        <v>4</v>
      </c>
      <c r="N263" s="10" t="n">
        <f aca="false">AVERAGE(B263:M263)</f>
        <v>4.16666666666667</v>
      </c>
    </row>
    <row r="264" customFormat="false" ht="15" hidden="false" customHeight="false" outlineLevel="0" collapsed="false">
      <c r="A264" s="7" t="s">
        <v>655</v>
      </c>
      <c r="B264" s="9" t="n">
        <v>3</v>
      </c>
      <c r="C264" s="9" t="n">
        <v>3</v>
      </c>
      <c r="D264" s="9" t="n">
        <v>4</v>
      </c>
      <c r="E264" s="9" t="n">
        <v>4</v>
      </c>
      <c r="F264" s="9" t="n">
        <v>5</v>
      </c>
      <c r="G264" s="9" t="n">
        <v>3</v>
      </c>
      <c r="H264" s="9" t="n">
        <v>4</v>
      </c>
      <c r="I264" s="9" t="n">
        <v>4</v>
      </c>
      <c r="J264" s="9" t="n">
        <v>5</v>
      </c>
      <c r="K264" s="9" t="n">
        <v>5</v>
      </c>
      <c r="L264" s="9" t="n">
        <v>5</v>
      </c>
      <c r="M264" s="9" t="n">
        <v>5</v>
      </c>
      <c r="N264" s="10" t="n">
        <f aca="false">AVERAGE(B264:M264)</f>
        <v>4.16666666666667</v>
      </c>
    </row>
    <row r="265" customFormat="false" ht="15" hidden="false" customHeight="false" outlineLevel="0" collapsed="false">
      <c r="A265" s="7" t="s">
        <v>656</v>
      </c>
      <c r="B265" s="9" t="n">
        <v>3</v>
      </c>
      <c r="C265" s="9" t="n">
        <v>3</v>
      </c>
      <c r="D265" s="9" t="n">
        <v>3</v>
      </c>
      <c r="E265" s="9" t="n">
        <v>3</v>
      </c>
      <c r="F265" s="9" t="n">
        <v>3</v>
      </c>
      <c r="G265" s="9" t="n">
        <v>4</v>
      </c>
      <c r="H265" s="9" t="n">
        <v>5</v>
      </c>
      <c r="I265" s="9" t="n">
        <v>4</v>
      </c>
      <c r="J265" s="9" t="n">
        <v>3</v>
      </c>
      <c r="K265" s="9" t="n">
        <v>3</v>
      </c>
      <c r="L265" s="9" t="n">
        <v>4</v>
      </c>
      <c r="M265" s="9" t="n">
        <v>3</v>
      </c>
      <c r="N265" s="10" t="n">
        <f aca="false">AVERAGE(B265:M265)</f>
        <v>3.41666666666667</v>
      </c>
    </row>
    <row r="266" customFormat="false" ht="15" hidden="false" customHeight="false" outlineLevel="0" collapsed="false">
      <c r="A266" s="7" t="s">
        <v>657</v>
      </c>
      <c r="B266" s="9" t="n">
        <v>3</v>
      </c>
      <c r="C266" s="9" t="n">
        <v>3</v>
      </c>
      <c r="D266" s="9" t="n">
        <v>4</v>
      </c>
      <c r="E266" s="9" t="n">
        <v>4</v>
      </c>
      <c r="F266" s="9" t="n">
        <v>4</v>
      </c>
      <c r="G266" s="9" t="n">
        <v>4</v>
      </c>
      <c r="H266" s="9" t="n">
        <v>4</v>
      </c>
      <c r="I266" s="9" t="n">
        <v>5</v>
      </c>
      <c r="J266" s="9" t="n">
        <v>4</v>
      </c>
      <c r="K266" s="9" t="n">
        <v>4</v>
      </c>
      <c r="L266" s="9" t="n">
        <v>4</v>
      </c>
      <c r="M266" s="9" t="n">
        <v>3</v>
      </c>
      <c r="N266" s="10" t="n">
        <f aca="false">AVERAGE(B266:M266)</f>
        <v>3.83333333333333</v>
      </c>
    </row>
    <row r="267" customFormat="false" ht="15" hidden="false" customHeight="false" outlineLevel="0" collapsed="false">
      <c r="A267" s="7" t="s">
        <v>658</v>
      </c>
      <c r="B267" s="9" t="n">
        <v>3</v>
      </c>
      <c r="C267" s="9" t="n">
        <v>2</v>
      </c>
      <c r="D267" s="9" t="n">
        <v>3</v>
      </c>
      <c r="E267" s="9" t="n">
        <v>2</v>
      </c>
      <c r="F267" s="9" t="n">
        <v>4</v>
      </c>
      <c r="G267" s="9" t="n">
        <v>2</v>
      </c>
      <c r="H267" s="9" t="n">
        <v>3</v>
      </c>
      <c r="I267" s="9" t="n">
        <v>3</v>
      </c>
      <c r="J267" s="9" t="n">
        <v>2</v>
      </c>
      <c r="K267" s="9" t="n">
        <v>3</v>
      </c>
      <c r="L267" s="9" t="n">
        <v>3</v>
      </c>
      <c r="M267" s="9" t="n">
        <v>3</v>
      </c>
      <c r="N267" s="10" t="n">
        <f aca="false">AVERAGE(B267:M267)</f>
        <v>2.75</v>
      </c>
    </row>
    <row r="268" customFormat="false" ht="15" hidden="false" customHeight="false" outlineLevel="0" collapsed="false">
      <c r="A268" s="7" t="s">
        <v>659</v>
      </c>
      <c r="B268" s="9" t="n">
        <v>2</v>
      </c>
      <c r="C268" s="9" t="n">
        <v>3</v>
      </c>
      <c r="D268" s="9" t="n">
        <v>4</v>
      </c>
      <c r="E268" s="9" t="n">
        <v>3</v>
      </c>
      <c r="F268" s="9" t="n">
        <v>4</v>
      </c>
      <c r="G268" s="9" t="n">
        <v>4</v>
      </c>
      <c r="H268" s="9" t="n">
        <v>2</v>
      </c>
      <c r="I268" s="9" t="n">
        <v>3</v>
      </c>
      <c r="J268" s="9" t="n">
        <v>4</v>
      </c>
      <c r="K268" s="9" t="n">
        <v>2</v>
      </c>
      <c r="L268" s="9" t="n">
        <v>4</v>
      </c>
      <c r="M268" s="9" t="n">
        <v>4</v>
      </c>
      <c r="N268" s="10" t="n">
        <f aca="false">AVERAGE(B268:M268)</f>
        <v>3.25</v>
      </c>
    </row>
    <row r="269" customFormat="false" ht="15" hidden="false" customHeight="false" outlineLevel="0" collapsed="false">
      <c r="A269" s="7" t="s">
        <v>660</v>
      </c>
      <c r="B269" s="9" t="n">
        <v>2</v>
      </c>
      <c r="C269" s="9" t="n">
        <v>3</v>
      </c>
      <c r="D269" s="9" t="n">
        <v>3</v>
      </c>
      <c r="E269" s="9" t="n">
        <v>3</v>
      </c>
      <c r="F269" s="9" t="n">
        <v>4</v>
      </c>
      <c r="G269" s="9" t="n">
        <v>5</v>
      </c>
      <c r="H269" s="9" t="n">
        <v>3</v>
      </c>
      <c r="I269" s="9" t="n">
        <v>2</v>
      </c>
      <c r="J269" s="9" t="n">
        <v>1</v>
      </c>
      <c r="K269" s="9" t="n">
        <v>2</v>
      </c>
      <c r="L269" s="9" t="n">
        <v>3</v>
      </c>
      <c r="M269" s="9" t="n">
        <v>1</v>
      </c>
      <c r="N269" s="10" t="n">
        <f aca="false">AVERAGE(B269:M269)</f>
        <v>2.66666666666667</v>
      </c>
    </row>
    <row r="270" customFormat="false" ht="15" hidden="false" customHeight="false" outlineLevel="0" collapsed="false">
      <c r="A270" s="7" t="s">
        <v>661</v>
      </c>
      <c r="B270" s="9" t="n">
        <v>2</v>
      </c>
      <c r="C270" s="9" t="n">
        <v>4</v>
      </c>
      <c r="D270" s="9" t="n">
        <v>3</v>
      </c>
      <c r="E270" s="9" t="n">
        <v>3</v>
      </c>
      <c r="F270" s="9" t="n">
        <v>2</v>
      </c>
      <c r="G270" s="9" t="n">
        <v>3</v>
      </c>
      <c r="H270" s="9" t="n">
        <v>2</v>
      </c>
      <c r="I270" s="9" t="n">
        <v>2</v>
      </c>
      <c r="J270" s="9" t="n">
        <v>5</v>
      </c>
      <c r="K270" s="9" t="n">
        <v>5</v>
      </c>
      <c r="L270" s="9" t="n">
        <v>5</v>
      </c>
      <c r="M270" s="9" t="n">
        <v>4</v>
      </c>
      <c r="N270" s="10" t="n">
        <f aca="false">AVERAGE(B270:M270)</f>
        <v>3.33333333333333</v>
      </c>
    </row>
    <row r="271" customFormat="false" ht="15" hidden="false" customHeight="false" outlineLevel="0" collapsed="false">
      <c r="A271" s="7" t="s">
        <v>662</v>
      </c>
      <c r="B271" s="9" t="n">
        <v>4</v>
      </c>
      <c r="C271" s="9" t="n">
        <v>5</v>
      </c>
      <c r="D271" s="9" t="n">
        <v>4</v>
      </c>
      <c r="E271" s="9" t="n">
        <v>5</v>
      </c>
      <c r="F271" s="9" t="n">
        <v>5</v>
      </c>
      <c r="G271" s="9" t="n">
        <v>5</v>
      </c>
      <c r="H271" s="9" t="n">
        <v>4</v>
      </c>
      <c r="I271" s="9" t="n">
        <v>5</v>
      </c>
      <c r="J271" s="9" t="n">
        <v>4</v>
      </c>
      <c r="K271" s="9" t="n">
        <v>5</v>
      </c>
      <c r="L271" s="9" t="n">
        <v>5</v>
      </c>
      <c r="M271" s="9" t="n">
        <v>4</v>
      </c>
      <c r="N271" s="10" t="n">
        <f aca="false">AVERAGE(B271:M271)</f>
        <v>4.58333333333333</v>
      </c>
    </row>
    <row r="272" customFormat="false" ht="15" hidden="false" customHeight="false" outlineLevel="0" collapsed="false">
      <c r="A272" s="7" t="s">
        <v>663</v>
      </c>
      <c r="B272" s="9" t="n">
        <v>3</v>
      </c>
      <c r="C272" s="9" t="n">
        <v>2</v>
      </c>
      <c r="D272" s="9" t="n">
        <v>4</v>
      </c>
      <c r="E272" s="9" t="n">
        <v>4</v>
      </c>
      <c r="F272" s="9" t="n">
        <v>2</v>
      </c>
      <c r="G272" s="9" t="n">
        <v>2</v>
      </c>
      <c r="H272" s="9" t="n">
        <v>2</v>
      </c>
      <c r="I272" s="9" t="n">
        <v>1</v>
      </c>
      <c r="J272" s="9" t="n">
        <v>4</v>
      </c>
      <c r="K272" s="9" t="n">
        <v>4</v>
      </c>
      <c r="L272" s="9" t="n">
        <v>4</v>
      </c>
      <c r="M272" s="9" t="n">
        <v>3</v>
      </c>
      <c r="N272" s="10" t="n">
        <f aca="false">AVERAGE(B272:M272)</f>
        <v>2.91666666666667</v>
      </c>
    </row>
    <row r="273" customFormat="false" ht="15" hidden="false" customHeight="false" outlineLevel="0" collapsed="false">
      <c r="A273" s="7" t="s">
        <v>664</v>
      </c>
      <c r="B273" s="9" t="n">
        <v>3</v>
      </c>
      <c r="C273" s="9" t="n">
        <v>2</v>
      </c>
      <c r="D273" s="9" t="n">
        <v>3</v>
      </c>
      <c r="E273" s="9" t="n">
        <v>4</v>
      </c>
      <c r="F273" s="9" t="n">
        <v>4</v>
      </c>
      <c r="G273" s="9" t="n">
        <v>3</v>
      </c>
      <c r="H273" s="9" t="n">
        <v>3</v>
      </c>
      <c r="I273" s="9" t="n">
        <v>2</v>
      </c>
      <c r="J273" s="9" t="n">
        <v>4</v>
      </c>
      <c r="K273" s="9" t="n">
        <v>4</v>
      </c>
      <c r="L273" s="9" t="n">
        <v>4</v>
      </c>
      <c r="M273" s="9" t="n">
        <v>4</v>
      </c>
      <c r="N273" s="10" t="n">
        <f aca="false">AVERAGE(B273:M273)</f>
        <v>3.33333333333333</v>
      </c>
    </row>
    <row r="274" customFormat="false" ht="15" hidden="false" customHeight="false" outlineLevel="0" collapsed="false">
      <c r="A274" s="7" t="s">
        <v>665</v>
      </c>
      <c r="B274" s="9" t="n">
        <v>4</v>
      </c>
      <c r="C274" s="9" t="n">
        <v>3</v>
      </c>
      <c r="D274" s="9" t="n">
        <v>3</v>
      </c>
      <c r="E274" s="9" t="n">
        <v>3</v>
      </c>
      <c r="F274" s="9" t="n">
        <v>4</v>
      </c>
      <c r="G274" s="9" t="n">
        <v>4</v>
      </c>
      <c r="H274" s="9" t="n">
        <v>3</v>
      </c>
      <c r="I274" s="9" t="n">
        <v>4</v>
      </c>
      <c r="J274" s="9" t="n">
        <v>5</v>
      </c>
      <c r="K274" s="9" t="n">
        <v>4</v>
      </c>
      <c r="L274" s="9" t="n">
        <v>3</v>
      </c>
      <c r="M274" s="9" t="n">
        <v>4</v>
      </c>
      <c r="N274" s="10" t="n">
        <f aca="false">AVERAGE(B274:M274)</f>
        <v>3.66666666666667</v>
      </c>
    </row>
    <row r="275" customFormat="false" ht="15" hidden="false" customHeight="false" outlineLevel="0" collapsed="false">
      <c r="A275" s="7" t="s">
        <v>666</v>
      </c>
      <c r="B275" s="9" t="n">
        <v>4</v>
      </c>
      <c r="C275" s="9" t="n">
        <v>5</v>
      </c>
      <c r="D275" s="9" t="n">
        <v>4</v>
      </c>
      <c r="E275" s="9" t="n">
        <v>4</v>
      </c>
      <c r="F275" s="9" t="n">
        <v>4</v>
      </c>
      <c r="G275" s="9" t="n">
        <v>4</v>
      </c>
      <c r="H275" s="9" t="n">
        <v>4</v>
      </c>
      <c r="I275" s="9" t="n">
        <v>3</v>
      </c>
      <c r="J275" s="9" t="n">
        <v>5</v>
      </c>
      <c r="K275" s="9" t="n">
        <v>5</v>
      </c>
      <c r="L275" s="9" t="n">
        <v>4</v>
      </c>
      <c r="M275" s="9" t="n">
        <v>5</v>
      </c>
      <c r="N275" s="10" t="n">
        <f aca="false">AVERAGE(B275:M275)</f>
        <v>4.25</v>
      </c>
    </row>
    <row r="276" customFormat="false" ht="15" hidden="false" customHeight="false" outlineLevel="0" collapsed="false">
      <c r="A276" s="7" t="s">
        <v>667</v>
      </c>
      <c r="B276" s="9" t="n">
        <v>4</v>
      </c>
      <c r="C276" s="9" t="n">
        <v>4</v>
      </c>
      <c r="D276" s="9" t="n">
        <v>4</v>
      </c>
      <c r="E276" s="9" t="n">
        <v>4</v>
      </c>
      <c r="F276" s="9" t="n">
        <v>4</v>
      </c>
      <c r="G276" s="9" t="n">
        <v>4</v>
      </c>
      <c r="H276" s="9" t="n">
        <v>5</v>
      </c>
      <c r="I276" s="9" t="n">
        <v>4</v>
      </c>
      <c r="J276" s="9" t="n">
        <v>4</v>
      </c>
      <c r="K276" s="9" t="n">
        <v>5</v>
      </c>
      <c r="L276" s="9" t="n">
        <v>4</v>
      </c>
      <c r="M276" s="9" t="n">
        <v>5</v>
      </c>
      <c r="N276" s="10" t="n">
        <f aca="false">AVERAGE(B276:M276)</f>
        <v>4.25</v>
      </c>
    </row>
    <row r="277" customFormat="false" ht="15" hidden="false" customHeight="false" outlineLevel="0" collapsed="false">
      <c r="A277" s="7" t="s">
        <v>668</v>
      </c>
      <c r="B277" s="9" t="n">
        <v>3</v>
      </c>
      <c r="C277" s="9" t="n">
        <v>3</v>
      </c>
      <c r="D277" s="9" t="n">
        <v>4</v>
      </c>
      <c r="E277" s="9" t="n">
        <v>3</v>
      </c>
      <c r="F277" s="9" t="n">
        <v>2</v>
      </c>
      <c r="G277" s="9" t="n">
        <v>3</v>
      </c>
      <c r="H277" s="9" t="n">
        <v>4</v>
      </c>
      <c r="I277" s="9" t="n">
        <v>3</v>
      </c>
      <c r="J277" s="9" t="n">
        <v>4</v>
      </c>
      <c r="K277" s="9" t="n">
        <v>4</v>
      </c>
      <c r="L277" s="9" t="n">
        <v>4</v>
      </c>
      <c r="M277" s="9" t="n">
        <v>4</v>
      </c>
      <c r="N277" s="10" t="n">
        <f aca="false">AVERAGE(B277:M277)</f>
        <v>3.41666666666667</v>
      </c>
    </row>
    <row r="278" customFormat="false" ht="15" hidden="false" customHeight="false" outlineLevel="0" collapsed="false">
      <c r="A278" s="7" t="s">
        <v>669</v>
      </c>
      <c r="B278" s="9" t="n">
        <v>4</v>
      </c>
      <c r="C278" s="9" t="n">
        <v>4</v>
      </c>
      <c r="D278" s="9" t="n">
        <v>4</v>
      </c>
      <c r="E278" s="9" t="n">
        <v>4</v>
      </c>
      <c r="F278" s="9" t="n">
        <v>4</v>
      </c>
      <c r="G278" s="9" t="n">
        <v>4</v>
      </c>
      <c r="H278" s="9" t="n">
        <v>2</v>
      </c>
      <c r="I278" s="9" t="n">
        <v>4</v>
      </c>
      <c r="J278" s="9" t="n">
        <v>5</v>
      </c>
      <c r="K278" s="9" t="n">
        <v>4</v>
      </c>
      <c r="L278" s="9" t="n">
        <v>4</v>
      </c>
      <c r="M278" s="9" t="n">
        <v>4</v>
      </c>
      <c r="N278" s="10" t="n">
        <f aca="false">AVERAGE(B278:M278)</f>
        <v>3.91666666666667</v>
      </c>
    </row>
    <row r="279" customFormat="false" ht="15" hidden="false" customHeight="false" outlineLevel="0" collapsed="false">
      <c r="A279" s="7" t="s">
        <v>670</v>
      </c>
      <c r="B279" s="9" t="n">
        <v>4</v>
      </c>
      <c r="C279" s="9" t="n">
        <v>5</v>
      </c>
      <c r="D279" s="9" t="n">
        <v>5</v>
      </c>
      <c r="E279" s="9" t="n">
        <v>5</v>
      </c>
      <c r="F279" s="9" t="n">
        <v>4</v>
      </c>
      <c r="G279" s="9" t="n">
        <v>3</v>
      </c>
      <c r="H279" s="9" t="n">
        <v>4</v>
      </c>
      <c r="I279" s="9" t="n">
        <v>4</v>
      </c>
      <c r="J279" s="9" t="n">
        <v>3</v>
      </c>
      <c r="K279" s="9" t="n">
        <v>3</v>
      </c>
      <c r="L279" s="9" t="n">
        <v>3</v>
      </c>
      <c r="M279" s="9" t="n">
        <v>3</v>
      </c>
      <c r="N279" s="10" t="n">
        <f aca="false">AVERAGE(B279:M279)</f>
        <v>3.83333333333333</v>
      </c>
    </row>
    <row r="280" customFormat="false" ht="15" hidden="false" customHeight="false" outlineLevel="0" collapsed="false">
      <c r="A280" s="7" t="s">
        <v>671</v>
      </c>
      <c r="B280" s="9" t="n">
        <v>3</v>
      </c>
      <c r="C280" s="9" t="n">
        <v>2</v>
      </c>
      <c r="D280" s="9" t="n">
        <v>4</v>
      </c>
      <c r="E280" s="9" t="n">
        <v>4</v>
      </c>
      <c r="F280" s="9" t="n">
        <v>4</v>
      </c>
      <c r="G280" s="9" t="n">
        <v>3</v>
      </c>
      <c r="H280" s="9" t="n">
        <v>3</v>
      </c>
      <c r="I280" s="9" t="n">
        <v>3</v>
      </c>
      <c r="J280" s="9" t="n">
        <v>3</v>
      </c>
      <c r="K280" s="9" t="n">
        <v>4</v>
      </c>
      <c r="L280" s="9" t="n">
        <v>2</v>
      </c>
      <c r="M280" s="9" t="n">
        <v>4</v>
      </c>
      <c r="N280" s="10" t="n">
        <f aca="false">AVERAGE(B280:M280)</f>
        <v>3.25</v>
      </c>
    </row>
    <row r="281" customFormat="false" ht="15" hidden="false" customHeight="false" outlineLevel="0" collapsed="false">
      <c r="A281" s="7" t="s">
        <v>672</v>
      </c>
      <c r="B281" s="9" t="n">
        <v>5</v>
      </c>
      <c r="C281" s="9" t="n">
        <v>4</v>
      </c>
      <c r="D281" s="9" t="n">
        <v>5</v>
      </c>
      <c r="E281" s="9" t="n">
        <v>5</v>
      </c>
      <c r="F281" s="9" t="n">
        <v>5</v>
      </c>
      <c r="G281" s="9" t="n">
        <v>4</v>
      </c>
      <c r="H281" s="9" t="n">
        <v>5</v>
      </c>
      <c r="I281" s="9" t="n">
        <v>5</v>
      </c>
      <c r="J281" s="9" t="n">
        <v>5</v>
      </c>
      <c r="K281" s="9" t="n">
        <v>5</v>
      </c>
      <c r="L281" s="9" t="n">
        <v>4</v>
      </c>
      <c r="M281" s="9" t="n">
        <v>4</v>
      </c>
      <c r="N281" s="10" t="n">
        <f aca="false">AVERAGE(B281:M281)</f>
        <v>4.66666666666667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34"/>
  </cols>
  <sheetData>
    <row r="1" customFormat="false" ht="17.15" hidden="false" customHeight="false" outlineLevel="0" collapsed="false">
      <c r="A1" s="3" t="s">
        <v>673</v>
      </c>
    </row>
    <row r="3" customFormat="false" ht="17.15" hidden="false" customHeight="false" outlineLevel="0" collapsed="false">
      <c r="A3" s="13" t="s">
        <v>674</v>
      </c>
      <c r="B3" s="8" t="n">
        <v>12</v>
      </c>
    </row>
    <row r="4" customFormat="false" ht="17.15" hidden="false" customHeight="false" outlineLevel="0" collapsed="false">
      <c r="A4" s="13" t="s">
        <v>675</v>
      </c>
      <c r="B4" s="8" t="n">
        <f aca="false">B3*(B3+1)/2</f>
        <v>78</v>
      </c>
    </row>
    <row r="5" customFormat="false" ht="17.15" hidden="false" customHeight="false" outlineLevel="0" collapsed="false">
      <c r="A5" s="13" t="s">
        <v>676</v>
      </c>
      <c r="B5" s="8" t="n">
        <f aca="false">12+12+3</f>
        <v>27</v>
      </c>
    </row>
    <row r="6" customFormat="false" ht="17.15" hidden="false" customHeight="false" outlineLevel="0" collapsed="false">
      <c r="A6" s="13" t="s">
        <v>677</v>
      </c>
      <c r="B6" s="8" t="n">
        <f aca="false">B4-B5</f>
        <v>51</v>
      </c>
    </row>
    <row r="7" customFormat="false" ht="17.15" hidden="false" customHeight="false" outlineLevel="0" collapsed="false">
      <c r="A7" s="13" t="s">
        <v>678</v>
      </c>
      <c r="B7" s="8" t="n">
        <v>280</v>
      </c>
    </row>
    <row r="8" customFormat="false" ht="17.15" hidden="false" customHeight="false" outlineLevel="0" collapsed="false">
      <c r="A8" s="13" t="s">
        <v>679</v>
      </c>
      <c r="B8" s="9" t="n">
        <v>81.92</v>
      </c>
    </row>
    <row r="9" customFormat="false" ht="17.15" hidden="false" customHeight="false" outlineLevel="0" collapsed="false">
      <c r="A9" s="13" t="s">
        <v>680</v>
      </c>
      <c r="B9" s="9" t="n">
        <v>1753.7</v>
      </c>
    </row>
    <row r="10" customFormat="false" ht="17.15" hidden="false" customHeight="false" outlineLevel="0" collapsed="false">
      <c r="A10" s="13" t="s">
        <v>681</v>
      </c>
      <c r="B10" s="8" t="n">
        <f aca="false">B3*(B3-1)/2</f>
        <v>66</v>
      </c>
    </row>
    <row r="11" customFormat="false" ht="15" hidden="false" customHeight="false" outlineLevel="0" collapsed="false">
      <c r="A11" s="11" t="s">
        <v>682</v>
      </c>
      <c r="B11" s="19" t="n">
        <f aca="false">1-MAX(B8-B6,0)/MAX(B9-B10,B8-B6,0)</f>
        <v>0.981679208390117</v>
      </c>
    </row>
    <row r="12" customFormat="false" ht="15" hidden="false" customHeight="false" outlineLevel="0" collapsed="false">
      <c r="A12" s="11" t="s">
        <v>683</v>
      </c>
      <c r="B12" s="19" t="n">
        <f aca="false">((B9/B10)-(B8/B6))/((B9/B10)-1)</f>
        <v>0.976290740269563</v>
      </c>
    </row>
    <row r="13" customFormat="false" ht="15" hidden="false" customHeight="false" outlineLevel="0" collapsed="false">
      <c r="A13" s="11" t="s">
        <v>684</v>
      </c>
      <c r="B13" s="19" t="n">
        <f aca="false">SQRT(MAX(B8-B6,0)/(B6*(B7-1)))</f>
        <v>0.0466157367941335</v>
      </c>
    </row>
    <row r="14" customFormat="false" ht="17.15" hidden="false" customHeight="false" outlineLevel="0" collapsed="false">
      <c r="A14" s="11" t="s">
        <v>685</v>
      </c>
      <c r="B14" s="18" t="n">
        <v>0.045</v>
      </c>
    </row>
    <row r="15" customFormat="false" ht="15" hidden="false" customHeight="false" outlineLevel="0" collapsed="false">
      <c r="A15" s="11" t="s">
        <v>686</v>
      </c>
      <c r="B15" s="16" t="n">
        <f aca="false">B8/B6</f>
        <v>1.60627450980392</v>
      </c>
    </row>
    <row r="18" customFormat="false" ht="32.8" hidden="false" customHeight="false" outlineLevel="0" collapsed="false">
      <c r="A18" s="5" t="s">
        <v>19</v>
      </c>
      <c r="B18" s="5" t="s">
        <v>335</v>
      </c>
      <c r="C18" s="5" t="s">
        <v>687</v>
      </c>
      <c r="D18" s="5" t="s">
        <v>688</v>
      </c>
    </row>
    <row r="19" customFormat="false" ht="15" hidden="false" customHeight="false" outlineLevel="0" collapsed="false">
      <c r="A19" s="7" t="s">
        <v>30</v>
      </c>
      <c r="B19" s="8" t="s">
        <v>31</v>
      </c>
      <c r="C19" s="8" t="s">
        <v>689</v>
      </c>
      <c r="D19" s="18" t="n">
        <v>0.786</v>
      </c>
    </row>
    <row r="20" customFormat="false" ht="15" hidden="false" customHeight="false" outlineLevel="0" collapsed="false">
      <c r="A20" s="7" t="s">
        <v>32</v>
      </c>
      <c r="B20" s="8" t="s">
        <v>353</v>
      </c>
      <c r="C20" s="8" t="s">
        <v>689</v>
      </c>
      <c r="D20" s="18" t="n">
        <v>0.765</v>
      </c>
    </row>
    <row r="21" customFormat="false" ht="15" hidden="false" customHeight="false" outlineLevel="0" collapsed="false">
      <c r="A21" s="7" t="s">
        <v>34</v>
      </c>
      <c r="B21" s="8" t="s">
        <v>35</v>
      </c>
      <c r="C21" s="8" t="s">
        <v>689</v>
      </c>
      <c r="D21" s="18" t="n">
        <v>0.844</v>
      </c>
    </row>
    <row r="22" customFormat="false" ht="15" hidden="false" customHeight="false" outlineLevel="0" collapsed="false">
      <c r="A22" s="7" t="s">
        <v>36</v>
      </c>
      <c r="B22" s="8" t="s">
        <v>37</v>
      </c>
      <c r="C22" s="8" t="s">
        <v>689</v>
      </c>
      <c r="D22" s="18" t="n">
        <v>0.803</v>
      </c>
    </row>
    <row r="23" customFormat="false" ht="15" hidden="false" customHeight="false" outlineLevel="0" collapsed="false">
      <c r="A23" s="7" t="s">
        <v>42</v>
      </c>
      <c r="B23" s="8" t="s">
        <v>43</v>
      </c>
      <c r="C23" s="8" t="s">
        <v>690</v>
      </c>
      <c r="D23" s="18" t="n">
        <v>0.747</v>
      </c>
    </row>
    <row r="24" customFormat="false" ht="15" hidden="false" customHeight="false" outlineLevel="0" collapsed="false">
      <c r="A24" s="7" t="s">
        <v>44</v>
      </c>
      <c r="B24" s="8" t="s">
        <v>45</v>
      </c>
      <c r="C24" s="8" t="s">
        <v>690</v>
      </c>
      <c r="D24" s="18" t="n">
        <v>0.755</v>
      </c>
    </row>
    <row r="25" customFormat="false" ht="15" hidden="false" customHeight="false" outlineLevel="0" collapsed="false">
      <c r="A25" s="7" t="s">
        <v>46</v>
      </c>
      <c r="B25" s="8" t="s">
        <v>47</v>
      </c>
      <c r="C25" s="8" t="s">
        <v>690</v>
      </c>
      <c r="D25" s="18" t="n">
        <v>0.834</v>
      </c>
    </row>
    <row r="26" customFormat="false" ht="15" hidden="false" customHeight="false" outlineLevel="0" collapsed="false">
      <c r="A26" s="7" t="s">
        <v>50</v>
      </c>
      <c r="B26" s="8" t="s">
        <v>51</v>
      </c>
      <c r="C26" s="8" t="s">
        <v>690</v>
      </c>
      <c r="D26" s="18" t="n">
        <v>0.735</v>
      </c>
    </row>
    <row r="27" customFormat="false" ht="15" hidden="false" customHeight="false" outlineLevel="0" collapsed="false">
      <c r="A27" s="7" t="s">
        <v>54</v>
      </c>
      <c r="B27" s="8" t="s">
        <v>55</v>
      </c>
      <c r="C27" s="8" t="s">
        <v>691</v>
      </c>
      <c r="D27" s="18" t="n">
        <v>0.83</v>
      </c>
    </row>
    <row r="28" customFormat="false" ht="15" hidden="false" customHeight="false" outlineLevel="0" collapsed="false">
      <c r="A28" s="7" t="s">
        <v>56</v>
      </c>
      <c r="B28" s="8" t="s">
        <v>57</v>
      </c>
      <c r="C28" s="8" t="s">
        <v>691</v>
      </c>
      <c r="D28" s="18" t="n">
        <v>0.77</v>
      </c>
    </row>
    <row r="29" customFormat="false" ht="15" hidden="false" customHeight="false" outlineLevel="0" collapsed="false">
      <c r="A29" s="7" t="s">
        <v>58</v>
      </c>
      <c r="B29" s="8" t="s">
        <v>354</v>
      </c>
      <c r="C29" s="8" t="s">
        <v>691</v>
      </c>
      <c r="D29" s="18" t="n">
        <v>0.717</v>
      </c>
    </row>
    <row r="30" customFormat="false" ht="15" hidden="false" customHeight="false" outlineLevel="0" collapsed="false">
      <c r="A30" s="7" t="s">
        <v>60</v>
      </c>
      <c r="B30" s="8" t="s">
        <v>61</v>
      </c>
      <c r="C30" s="8" t="s">
        <v>691</v>
      </c>
      <c r="D30" s="18" t="n">
        <v>0.82</v>
      </c>
    </row>
    <row r="32" customFormat="false" ht="15" hidden="false" customHeight="false" outlineLevel="0" collapsed="false">
      <c r="A32" s="3" t="s">
        <v>692</v>
      </c>
    </row>
    <row r="33" customFormat="false" ht="15" hidden="false" customHeight="false" outlineLevel="0" collapsed="false">
      <c r="A33" s="8" t="s">
        <v>693</v>
      </c>
      <c r="B33" s="18" t="n">
        <v>0.562</v>
      </c>
    </row>
    <row r="34" customFormat="false" ht="15" hidden="false" customHeight="false" outlineLevel="0" collapsed="false">
      <c r="A34" s="8" t="s">
        <v>694</v>
      </c>
      <c r="B34" s="18" t="n">
        <v>0.448</v>
      </c>
    </row>
    <row r="35" customFormat="false" ht="15" hidden="false" customHeight="false" outlineLevel="0" collapsed="false">
      <c r="A35" s="8" t="s">
        <v>695</v>
      </c>
      <c r="B35" s="18" t="n">
        <v>0.355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7" min="7" style="0" width="26"/>
    <col collapsed="false" customWidth="true" hidden="false" outlineLevel="0" max="14" min="8" style="0" width="14"/>
  </cols>
  <sheetData>
    <row r="1" customFormat="false" ht="17.15" hidden="false" customHeight="false" outlineLevel="0" collapsed="false">
      <c r="A1" s="3" t="s">
        <v>696</v>
      </c>
    </row>
    <row r="3" customFormat="false" ht="17.15" hidden="false" customHeight="false" outlineLevel="0" collapsed="false">
      <c r="A3" s="5" t="s">
        <v>19</v>
      </c>
      <c r="B3" s="5" t="s">
        <v>687</v>
      </c>
      <c r="C3" s="5" t="s">
        <v>697</v>
      </c>
      <c r="D3" s="6" t="s">
        <v>698</v>
      </c>
      <c r="E3" s="5" t="s">
        <v>699</v>
      </c>
    </row>
    <row r="4" customFormat="false" ht="15" hidden="false" customHeight="false" outlineLevel="0" collapsed="false">
      <c r="A4" s="7" t="s">
        <v>30</v>
      </c>
      <c r="B4" s="7" t="s">
        <v>700</v>
      </c>
      <c r="C4" s="16" t="n">
        <f aca="false">7_CFA結果!D19</f>
        <v>0.786</v>
      </c>
      <c r="D4" s="16" t="n">
        <f aca="false">C4^2</f>
        <v>0.617796</v>
      </c>
      <c r="E4" s="16" t="n">
        <f aca="false">1-D4</f>
        <v>0.382204</v>
      </c>
    </row>
    <row r="5" customFormat="false" ht="15" hidden="false" customHeight="false" outlineLevel="0" collapsed="false">
      <c r="A5" s="7" t="s">
        <v>32</v>
      </c>
      <c r="B5" s="7" t="s">
        <v>700</v>
      </c>
      <c r="C5" s="16" t="n">
        <f aca="false">7_CFA結果!D20</f>
        <v>0.765</v>
      </c>
      <c r="D5" s="16" t="n">
        <f aca="false">C5^2</f>
        <v>0.585225</v>
      </c>
      <c r="E5" s="16" t="n">
        <f aca="false">1-D5</f>
        <v>0.414775</v>
      </c>
    </row>
    <row r="6" customFormat="false" ht="15" hidden="false" customHeight="false" outlineLevel="0" collapsed="false">
      <c r="A6" s="7" t="s">
        <v>34</v>
      </c>
      <c r="B6" s="7" t="s">
        <v>700</v>
      </c>
      <c r="C6" s="16" t="n">
        <f aca="false">7_CFA結果!D21</f>
        <v>0.844</v>
      </c>
      <c r="D6" s="16" t="n">
        <f aca="false">C6^2</f>
        <v>0.712336</v>
      </c>
      <c r="E6" s="16" t="n">
        <f aca="false">1-D6</f>
        <v>0.287664</v>
      </c>
    </row>
    <row r="7" customFormat="false" ht="15" hidden="false" customHeight="false" outlineLevel="0" collapsed="false">
      <c r="A7" s="7" t="s">
        <v>36</v>
      </c>
      <c r="B7" s="7" t="s">
        <v>700</v>
      </c>
      <c r="C7" s="16" t="n">
        <f aca="false">7_CFA結果!D22</f>
        <v>0.803</v>
      </c>
      <c r="D7" s="16" t="n">
        <f aca="false">C7^2</f>
        <v>0.644809</v>
      </c>
      <c r="E7" s="16" t="n">
        <f aca="false">1-D7</f>
        <v>0.355191</v>
      </c>
    </row>
    <row r="8" customFormat="false" ht="15" hidden="false" customHeight="false" outlineLevel="0" collapsed="false">
      <c r="A8" s="7" t="s">
        <v>42</v>
      </c>
      <c r="B8" s="7" t="s">
        <v>701</v>
      </c>
      <c r="C8" s="16" t="n">
        <f aca="false">7_CFA結果!D23</f>
        <v>0.747</v>
      </c>
      <c r="D8" s="16" t="n">
        <f aca="false">C8^2</f>
        <v>0.558009</v>
      </c>
      <c r="E8" s="16" t="n">
        <f aca="false">1-D8</f>
        <v>0.441991</v>
      </c>
    </row>
    <row r="9" customFormat="false" ht="15" hidden="false" customHeight="false" outlineLevel="0" collapsed="false">
      <c r="A9" s="7" t="s">
        <v>44</v>
      </c>
      <c r="B9" s="7" t="s">
        <v>701</v>
      </c>
      <c r="C9" s="16" t="n">
        <f aca="false">7_CFA結果!D24</f>
        <v>0.755</v>
      </c>
      <c r="D9" s="16" t="n">
        <f aca="false">C9^2</f>
        <v>0.570025</v>
      </c>
      <c r="E9" s="16" t="n">
        <f aca="false">1-D9</f>
        <v>0.429975</v>
      </c>
    </row>
    <row r="10" customFormat="false" ht="15" hidden="false" customHeight="false" outlineLevel="0" collapsed="false">
      <c r="A10" s="7" t="s">
        <v>46</v>
      </c>
      <c r="B10" s="7" t="s">
        <v>701</v>
      </c>
      <c r="C10" s="16" t="n">
        <f aca="false">7_CFA結果!D25</f>
        <v>0.834</v>
      </c>
      <c r="D10" s="16" t="n">
        <f aca="false">C10^2</f>
        <v>0.695556</v>
      </c>
      <c r="E10" s="16" t="n">
        <f aca="false">1-D10</f>
        <v>0.304444</v>
      </c>
    </row>
    <row r="11" customFormat="false" ht="15" hidden="false" customHeight="false" outlineLevel="0" collapsed="false">
      <c r="A11" s="7" t="s">
        <v>50</v>
      </c>
      <c r="B11" s="7" t="s">
        <v>701</v>
      </c>
      <c r="C11" s="16" t="n">
        <f aca="false">7_CFA結果!D26</f>
        <v>0.735</v>
      </c>
      <c r="D11" s="16" t="n">
        <f aca="false">C11^2</f>
        <v>0.540225</v>
      </c>
      <c r="E11" s="16" t="n">
        <f aca="false">1-D11</f>
        <v>0.459775</v>
      </c>
    </row>
    <row r="12" customFormat="false" ht="15" hidden="false" customHeight="false" outlineLevel="0" collapsed="false">
      <c r="A12" s="7" t="s">
        <v>54</v>
      </c>
      <c r="B12" s="7" t="s">
        <v>702</v>
      </c>
      <c r="C12" s="16" t="n">
        <f aca="false">7_CFA結果!D27</f>
        <v>0.83</v>
      </c>
      <c r="D12" s="16" t="n">
        <f aca="false">C12^2</f>
        <v>0.6889</v>
      </c>
      <c r="E12" s="16" t="n">
        <f aca="false">1-D12</f>
        <v>0.3111</v>
      </c>
    </row>
    <row r="13" customFormat="false" ht="15" hidden="false" customHeight="false" outlineLevel="0" collapsed="false">
      <c r="A13" s="7" t="s">
        <v>56</v>
      </c>
      <c r="B13" s="7" t="s">
        <v>702</v>
      </c>
      <c r="C13" s="16" t="n">
        <f aca="false">7_CFA結果!D28</f>
        <v>0.77</v>
      </c>
      <c r="D13" s="16" t="n">
        <f aca="false">C13^2</f>
        <v>0.5929</v>
      </c>
      <c r="E13" s="16" t="n">
        <f aca="false">1-D13</f>
        <v>0.4071</v>
      </c>
    </row>
    <row r="14" customFormat="false" ht="15" hidden="false" customHeight="false" outlineLevel="0" collapsed="false">
      <c r="A14" s="7" t="s">
        <v>58</v>
      </c>
      <c r="B14" s="7" t="s">
        <v>702</v>
      </c>
      <c r="C14" s="16" t="n">
        <f aca="false">7_CFA結果!D29</f>
        <v>0.717</v>
      </c>
      <c r="D14" s="16" t="n">
        <f aca="false">C14^2</f>
        <v>0.514089</v>
      </c>
      <c r="E14" s="16" t="n">
        <f aca="false">1-D14</f>
        <v>0.485911</v>
      </c>
    </row>
    <row r="15" customFormat="false" ht="15" hidden="false" customHeight="false" outlineLevel="0" collapsed="false">
      <c r="A15" s="7" t="s">
        <v>60</v>
      </c>
      <c r="B15" s="7" t="s">
        <v>702</v>
      </c>
      <c r="C15" s="16" t="n">
        <f aca="false">7_CFA結果!D30</f>
        <v>0.82</v>
      </c>
      <c r="D15" s="16" t="n">
        <f aca="false">C15^2</f>
        <v>0.6724</v>
      </c>
      <c r="E15" s="16" t="n">
        <f aca="false">1-D15</f>
        <v>0.3276</v>
      </c>
    </row>
    <row r="18" customFormat="false" ht="31.3" hidden="false" customHeight="false" outlineLevel="0" collapsed="false">
      <c r="A18" s="5" t="s">
        <v>687</v>
      </c>
      <c r="B18" s="6" t="s">
        <v>703</v>
      </c>
      <c r="C18" s="6" t="s">
        <v>704</v>
      </c>
      <c r="D18" s="6" t="s">
        <v>705</v>
      </c>
      <c r="E18" s="5" t="s">
        <v>706</v>
      </c>
      <c r="F18" s="6" t="s">
        <v>707</v>
      </c>
      <c r="G18" s="6" t="s">
        <v>708</v>
      </c>
      <c r="H18" s="6" t="s">
        <v>709</v>
      </c>
    </row>
    <row r="19" customFormat="false" ht="15" hidden="false" customHeight="false" outlineLevel="0" collapsed="false">
      <c r="A19" s="7" t="s">
        <v>700</v>
      </c>
      <c r="B19" s="16" t="n">
        <f aca="false">SUMIF($B$4:$B$15,"V",$C$4:$C$15)</f>
        <v>3.198</v>
      </c>
      <c r="C19" s="16" t="n">
        <f aca="false">SUMIF($B$4:$B$15,"V",$D$4:$D$15)</f>
        <v>2.560166</v>
      </c>
      <c r="D19" s="16" t="n">
        <f aca="false">SUMIF($B$4:$B$15,"V",$E$4:$E$15)</f>
        <v>1.439834</v>
      </c>
      <c r="E19" s="8" t="n">
        <f aca="false">COUNTIF($B$4:$B$15,"V")</f>
        <v>4</v>
      </c>
      <c r="F19" s="12" t="n">
        <f aca="false">C19/E19</f>
        <v>0.6400415</v>
      </c>
      <c r="G19" s="12" t="n">
        <f aca="false">B19^2/(B19^2+D19)</f>
        <v>0.876589585120062</v>
      </c>
      <c r="H19" s="16" t="n">
        <f aca="false">SQRT(F19)</f>
        <v>0.800025937079543</v>
      </c>
    </row>
    <row r="20" customFormat="false" ht="15" hidden="false" customHeight="false" outlineLevel="0" collapsed="false">
      <c r="A20" s="7" t="s">
        <v>701</v>
      </c>
      <c r="B20" s="16" t="n">
        <f aca="false">SUMIF($B$4:$B$15,"G",$C$4:$C$15)</f>
        <v>3.071</v>
      </c>
      <c r="C20" s="16" t="n">
        <f aca="false">SUMIF($B$4:$B$15,"G",$D$4:$D$15)</f>
        <v>2.363815</v>
      </c>
      <c r="D20" s="16" t="n">
        <f aca="false">SUMIF($B$4:$B$15,"G",$E$4:$E$15)</f>
        <v>1.636185</v>
      </c>
      <c r="E20" s="8" t="n">
        <f aca="false">COUNTIF($B$4:$B$15,"G")</f>
        <v>4</v>
      </c>
      <c r="F20" s="12" t="n">
        <f aca="false">C20/E20</f>
        <v>0.59095375</v>
      </c>
      <c r="G20" s="12" t="n">
        <f aca="false">B20^2/(B20^2+D20)</f>
        <v>0.852159430014351</v>
      </c>
      <c r="H20" s="16" t="n">
        <f aca="false">SQRT(F20)</f>
        <v>0.768735162458437</v>
      </c>
    </row>
    <row r="21" customFormat="false" ht="15" hidden="false" customHeight="false" outlineLevel="0" collapsed="false">
      <c r="A21" s="7" t="s">
        <v>702</v>
      </c>
      <c r="B21" s="16" t="n">
        <f aca="false">SUMIF($B$4:$B$15,"C",$C$4:$C$15)</f>
        <v>3.137</v>
      </c>
      <c r="C21" s="16" t="n">
        <f aca="false">SUMIF($B$4:$B$15,"C",$D$4:$D$15)</f>
        <v>2.468289</v>
      </c>
      <c r="D21" s="16" t="n">
        <f aca="false">SUMIF($B$4:$B$15,"C",$E$4:$E$15)</f>
        <v>1.531711</v>
      </c>
      <c r="E21" s="8" t="n">
        <f aca="false">COUNTIF($B$4:$B$15,"C")</f>
        <v>4</v>
      </c>
      <c r="F21" s="12" t="n">
        <f aca="false">C21/E21</f>
        <v>0.61707225</v>
      </c>
      <c r="G21" s="12" t="n">
        <f aca="false">B21^2/(B21^2+D21)</f>
        <v>0.865314249838206</v>
      </c>
      <c r="H21" s="16" t="n">
        <f aca="false">SQRT(F21)</f>
        <v>0.785539464317357</v>
      </c>
    </row>
    <row r="23" customFormat="false" ht="17.15" hidden="false" customHeight="false" outlineLevel="0" collapsed="false">
      <c r="A23" s="20" t="s">
        <v>710</v>
      </c>
    </row>
    <row r="24" customFormat="false" ht="32.8" hidden="false" customHeight="false" outlineLevel="0" collapsed="false">
      <c r="A24" s="5" t="s">
        <v>711</v>
      </c>
      <c r="B24" s="5" t="s">
        <v>712</v>
      </c>
      <c r="C24" s="5" t="s">
        <v>713</v>
      </c>
      <c r="D24" s="5" t="s">
        <v>714</v>
      </c>
    </row>
    <row r="25" customFormat="false" ht="15" hidden="false" customHeight="false" outlineLevel="0" collapsed="false">
      <c r="A25" s="7" t="s">
        <v>715</v>
      </c>
      <c r="B25" s="16" t="n">
        <f aca="false">7_CFA結果!B33</f>
        <v>0.562</v>
      </c>
      <c r="C25" s="16" t="n">
        <f aca="false">MIN(H19,H20)</f>
        <v>0.768735162458437</v>
      </c>
      <c r="D25" s="13" t="str">
        <f aca="false">IF(C25&gt;B25,"通過","未通過")</f>
        <v>通過</v>
      </c>
    </row>
    <row r="26" customFormat="false" ht="15" hidden="false" customHeight="false" outlineLevel="0" collapsed="false">
      <c r="A26" s="7" t="s">
        <v>716</v>
      </c>
      <c r="B26" s="16" t="n">
        <f aca="false">7_CFA結果!B34</f>
        <v>0.448</v>
      </c>
      <c r="C26" s="16" t="n">
        <f aca="false">MIN(H19,H21)</f>
        <v>0.785539464317357</v>
      </c>
      <c r="D26" s="13" t="str">
        <f aca="false">IF(C26&gt;B26,"通過","未通過")</f>
        <v>通過</v>
      </c>
    </row>
    <row r="27" customFormat="false" ht="15" hidden="false" customHeight="false" outlineLevel="0" collapsed="false">
      <c r="A27" s="7" t="s">
        <v>717</v>
      </c>
      <c r="B27" s="16" t="n">
        <f aca="false">7_CFA結果!B35</f>
        <v>0.355</v>
      </c>
      <c r="C27" s="16" t="n">
        <f aca="false">MIN(H20,H21)</f>
        <v>0.768735162458437</v>
      </c>
      <c r="D27" s="13" t="str">
        <f aca="false">IF(C27&gt;B27,"通過","未通過")</f>
        <v>通過</v>
      </c>
    </row>
    <row r="29" customFormat="false" ht="17.15" hidden="false" customHeight="false" outlineLevel="0" collapsed="false">
      <c r="A29" s="3" t="s">
        <v>718</v>
      </c>
    </row>
    <row r="30" customFormat="false" ht="15" hidden="false" customHeight="false" outlineLevel="0" collapsed="false">
      <c r="B30" s="6" t="s">
        <v>30</v>
      </c>
      <c r="C30" s="6" t="s">
        <v>32</v>
      </c>
      <c r="D30" s="6" t="s">
        <v>34</v>
      </c>
      <c r="E30" s="6" t="s">
        <v>36</v>
      </c>
      <c r="F30" s="6" t="s">
        <v>42</v>
      </c>
      <c r="G30" s="6" t="s">
        <v>44</v>
      </c>
      <c r="H30" s="6" t="s">
        <v>46</v>
      </c>
      <c r="I30" s="6" t="s">
        <v>50</v>
      </c>
      <c r="J30" s="6" t="s">
        <v>54</v>
      </c>
      <c r="K30" s="6" t="s">
        <v>56</v>
      </c>
      <c r="L30" s="6" t="s">
        <v>58</v>
      </c>
      <c r="M30" s="6" t="s">
        <v>60</v>
      </c>
    </row>
    <row r="31" customFormat="false" ht="15" hidden="false" customHeight="false" outlineLevel="0" collapsed="false">
      <c r="A31" s="11" t="s">
        <v>30</v>
      </c>
      <c r="B31" s="10" t="n">
        <f aca="false">CORREL(7_樣本B!B$2:B$281,7_樣本B!B$2:B$281)</f>
        <v>1</v>
      </c>
      <c r="C31" s="10" t="n">
        <f aca="false">CORREL(7_樣本B!B$2:B$281,7_樣本B!C$2:C$281)</f>
        <v>0.597886577093078</v>
      </c>
      <c r="D31" s="10" t="n">
        <f aca="false">CORREL(7_樣本B!B$2:B$281,7_樣本B!D$2:D$281)</f>
        <v>0.683289323099652</v>
      </c>
      <c r="E31" s="10" t="n">
        <f aca="false">CORREL(7_樣本B!B$2:B$281,7_樣本B!E$2:E$281)</f>
        <v>0.611334666170042</v>
      </c>
      <c r="F31" s="10" t="n">
        <f aca="false">CORREL(7_樣本B!B$2:B$281,7_樣本B!F$2:F$281)</f>
        <v>0.330342053931737</v>
      </c>
      <c r="G31" s="10" t="n">
        <f aca="false">CORREL(7_樣本B!B$2:B$281,7_樣本B!G$2:G$281)</f>
        <v>0.257918776979712</v>
      </c>
      <c r="H31" s="10" t="n">
        <f aca="false">CORREL(7_樣本B!B$2:B$281,7_樣本B!H$2:H$281)</f>
        <v>0.42993159377973</v>
      </c>
      <c r="I31" s="10" t="n">
        <f aca="false">CORREL(7_樣本B!B$2:B$281,7_樣本B!I$2:I$281)</f>
        <v>0.333117150617517</v>
      </c>
      <c r="J31" s="10" t="n">
        <f aca="false">CORREL(7_樣本B!B$2:B$281,7_樣本B!J$2:J$281)</f>
        <v>0.290401589825657</v>
      </c>
      <c r="K31" s="10" t="n">
        <f aca="false">CORREL(7_樣本B!B$2:B$281,7_樣本B!K$2:K$281)</f>
        <v>0.268068420492961</v>
      </c>
      <c r="L31" s="10" t="n">
        <f aca="false">CORREL(7_樣本B!B$2:B$281,7_樣本B!L$2:L$281)</f>
        <v>0.163531877941332</v>
      </c>
      <c r="M31" s="10" t="n">
        <f aca="false">CORREL(7_樣本B!B$2:B$281,7_樣本B!M$2:M$281)</f>
        <v>0.258061952388594</v>
      </c>
    </row>
    <row r="32" customFormat="false" ht="15" hidden="false" customHeight="false" outlineLevel="0" collapsed="false">
      <c r="A32" s="11" t="s">
        <v>32</v>
      </c>
      <c r="B32" s="10" t="n">
        <f aca="false">CORREL(7_樣本B!C$2:C$281,7_樣本B!B$2:B$281)</f>
        <v>0.597886577093078</v>
      </c>
      <c r="C32" s="10" t="n">
        <f aca="false">CORREL(7_樣本B!C$2:C$281,7_樣本B!C$2:C$281)</f>
        <v>1</v>
      </c>
      <c r="D32" s="10" t="n">
        <f aca="false">CORREL(7_樣本B!C$2:C$281,7_樣本B!D$2:D$281)</f>
        <v>0.654198746289395</v>
      </c>
      <c r="E32" s="10" t="n">
        <f aca="false">CORREL(7_樣本B!C$2:C$281,7_樣本B!E$2:E$281)</f>
        <v>0.615881145433101</v>
      </c>
      <c r="F32" s="10" t="n">
        <f aca="false">CORREL(7_樣本B!C$2:C$281,7_樣本B!F$2:F$281)</f>
        <v>0.280646751957061</v>
      </c>
      <c r="G32" s="10" t="n">
        <f aca="false">CORREL(7_樣本B!C$2:C$281,7_樣本B!G$2:G$281)</f>
        <v>0.328814257013963</v>
      </c>
      <c r="H32" s="10" t="n">
        <f aca="false">CORREL(7_樣本B!C$2:C$281,7_樣本B!H$2:H$281)</f>
        <v>0.417880315149089</v>
      </c>
      <c r="I32" s="10" t="n">
        <f aca="false">CORREL(7_樣本B!C$2:C$281,7_樣本B!I$2:I$281)</f>
        <v>0.309672036038563</v>
      </c>
      <c r="J32" s="10" t="n">
        <f aca="false">CORREL(7_樣本B!C$2:C$281,7_樣本B!J$2:J$281)</f>
        <v>0.229318930711155</v>
      </c>
      <c r="K32" s="10" t="n">
        <f aca="false">CORREL(7_樣本B!C$2:C$281,7_樣本B!K$2:K$281)</f>
        <v>0.242991871640636</v>
      </c>
      <c r="L32" s="10" t="n">
        <f aca="false">CORREL(7_樣本B!C$2:C$281,7_樣本B!L$2:L$281)</f>
        <v>0.126440153943688</v>
      </c>
      <c r="M32" s="10" t="n">
        <f aca="false">CORREL(7_樣本B!C$2:C$281,7_樣本B!M$2:M$281)</f>
        <v>0.229530267390212</v>
      </c>
    </row>
    <row r="33" customFormat="false" ht="15" hidden="false" customHeight="false" outlineLevel="0" collapsed="false">
      <c r="A33" s="11" t="s">
        <v>34</v>
      </c>
      <c r="B33" s="10" t="n">
        <f aca="false">CORREL(7_樣本B!D$2:D$281,7_樣本B!B$2:B$281)</f>
        <v>0.683289323099652</v>
      </c>
      <c r="C33" s="10" t="n">
        <f aca="false">CORREL(7_樣本B!D$2:D$281,7_樣本B!C$2:C$281)</f>
        <v>0.654198746289395</v>
      </c>
      <c r="D33" s="10" t="n">
        <f aca="false">CORREL(7_樣本B!D$2:D$281,7_樣本B!D$2:D$281)</f>
        <v>1</v>
      </c>
      <c r="E33" s="10" t="n">
        <f aca="false">CORREL(7_樣本B!D$2:D$281,7_樣本B!E$2:E$281)</f>
        <v>0.667421421631876</v>
      </c>
      <c r="F33" s="10" t="n">
        <f aca="false">CORREL(7_樣本B!D$2:D$281,7_樣本B!F$2:F$281)</f>
        <v>0.292303027603763</v>
      </c>
      <c r="G33" s="10" t="n">
        <f aca="false">CORREL(7_樣本B!D$2:D$281,7_樣本B!G$2:G$281)</f>
        <v>0.288075770983209</v>
      </c>
      <c r="H33" s="10" t="n">
        <f aca="false">CORREL(7_樣本B!D$2:D$281,7_樣本B!H$2:H$281)</f>
        <v>0.423610360537336</v>
      </c>
      <c r="I33" s="10" t="n">
        <f aca="false">CORREL(7_樣本B!D$2:D$281,7_樣本B!I$2:I$281)</f>
        <v>0.299283773454495</v>
      </c>
      <c r="J33" s="10" t="n">
        <f aca="false">CORREL(7_樣本B!D$2:D$281,7_樣本B!J$2:J$281)</f>
        <v>0.282209329037778</v>
      </c>
      <c r="K33" s="10" t="n">
        <f aca="false">CORREL(7_樣本B!D$2:D$281,7_樣本B!K$2:K$281)</f>
        <v>0.272808111399746</v>
      </c>
      <c r="L33" s="10" t="n">
        <f aca="false">CORREL(7_樣本B!D$2:D$281,7_樣本B!L$2:L$281)</f>
        <v>0.167167455696913</v>
      </c>
      <c r="M33" s="10" t="n">
        <f aca="false">CORREL(7_樣本B!D$2:D$281,7_樣本B!M$2:M$281)</f>
        <v>0.352408969254529</v>
      </c>
    </row>
    <row r="34" customFormat="false" ht="15" hidden="false" customHeight="false" outlineLevel="0" collapsed="false">
      <c r="A34" s="11" t="s">
        <v>36</v>
      </c>
      <c r="B34" s="10" t="n">
        <f aca="false">CORREL(7_樣本B!E$2:E$281,7_樣本B!B$2:B$281)</f>
        <v>0.611334666170042</v>
      </c>
      <c r="C34" s="10" t="n">
        <f aca="false">CORREL(7_樣本B!E$2:E$281,7_樣本B!C$2:C$281)</f>
        <v>0.615881145433101</v>
      </c>
      <c r="D34" s="10" t="n">
        <f aca="false">CORREL(7_樣本B!E$2:E$281,7_樣本B!D$2:D$281)</f>
        <v>0.667421421631876</v>
      </c>
      <c r="E34" s="10" t="n">
        <f aca="false">CORREL(7_樣本B!E$2:E$281,7_樣本B!E$2:E$281)</f>
        <v>1</v>
      </c>
      <c r="F34" s="10" t="n">
        <f aca="false">CORREL(7_樣本B!E$2:E$281,7_樣本B!F$2:F$281)</f>
        <v>0.332165865012689</v>
      </c>
      <c r="G34" s="10" t="n">
        <f aca="false">CORREL(7_樣本B!E$2:E$281,7_樣本B!G$2:G$281)</f>
        <v>0.348098447837187</v>
      </c>
      <c r="H34" s="10" t="n">
        <f aca="false">CORREL(7_樣本B!E$2:E$281,7_樣本B!H$2:H$281)</f>
        <v>0.449698912564484</v>
      </c>
      <c r="I34" s="10" t="n">
        <f aca="false">CORREL(7_樣本B!E$2:E$281,7_樣本B!I$2:I$281)</f>
        <v>0.320782998101547</v>
      </c>
      <c r="J34" s="10" t="n">
        <f aca="false">CORREL(7_樣本B!E$2:E$281,7_樣本B!J$2:J$281)</f>
        <v>0.385923570530755</v>
      </c>
      <c r="K34" s="10" t="n">
        <f aca="false">CORREL(7_樣本B!E$2:E$281,7_樣本B!K$2:K$281)</f>
        <v>0.365040621026171</v>
      </c>
      <c r="L34" s="10" t="n">
        <f aca="false">CORREL(7_樣本B!E$2:E$281,7_樣本B!L$2:L$281)</f>
        <v>0.300356030617977</v>
      </c>
      <c r="M34" s="10" t="n">
        <f aca="false">CORREL(7_樣本B!E$2:E$281,7_樣本B!M$2:M$281)</f>
        <v>0.434575029348865</v>
      </c>
    </row>
    <row r="35" customFormat="false" ht="15" hidden="false" customHeight="false" outlineLevel="0" collapsed="false">
      <c r="A35" s="11" t="s">
        <v>42</v>
      </c>
      <c r="B35" s="10" t="n">
        <f aca="false">CORREL(7_樣本B!F$2:F$281,7_樣本B!B$2:B$281)</f>
        <v>0.330342053931737</v>
      </c>
      <c r="C35" s="10" t="n">
        <f aca="false">CORREL(7_樣本B!F$2:F$281,7_樣本B!C$2:C$281)</f>
        <v>0.280646751957061</v>
      </c>
      <c r="D35" s="10" t="n">
        <f aca="false">CORREL(7_樣本B!F$2:F$281,7_樣本B!D$2:D$281)</f>
        <v>0.292303027603763</v>
      </c>
      <c r="E35" s="10" t="n">
        <f aca="false">CORREL(7_樣本B!F$2:F$281,7_樣本B!E$2:E$281)</f>
        <v>0.332165865012689</v>
      </c>
      <c r="F35" s="10" t="n">
        <f aca="false">CORREL(7_樣本B!F$2:F$281,7_樣本B!F$2:F$281)</f>
        <v>1</v>
      </c>
      <c r="G35" s="10" t="n">
        <f aca="false">CORREL(7_樣本B!F$2:F$281,7_樣本B!G$2:G$281)</f>
        <v>0.626769398096476</v>
      </c>
      <c r="H35" s="10" t="n">
        <f aca="false">CORREL(7_樣本B!F$2:F$281,7_樣本B!H$2:H$281)</f>
        <v>0.601541408167715</v>
      </c>
      <c r="I35" s="10" t="n">
        <f aca="false">CORREL(7_樣本B!F$2:F$281,7_樣本B!I$2:I$281)</f>
        <v>0.540653493165926</v>
      </c>
      <c r="J35" s="10" t="n">
        <f aca="false">CORREL(7_樣本B!F$2:F$281,7_樣本B!J$2:J$281)</f>
        <v>0.161352135481257</v>
      </c>
      <c r="K35" s="10" t="n">
        <f aca="false">CORREL(7_樣本B!F$2:F$281,7_樣本B!K$2:K$281)</f>
        <v>0.164614554379707</v>
      </c>
      <c r="L35" s="10" t="n">
        <f aca="false">CORREL(7_樣本B!F$2:F$281,7_樣本B!L$2:L$281)</f>
        <v>0.121174030638024</v>
      </c>
      <c r="M35" s="10" t="n">
        <f aca="false">CORREL(7_樣本B!F$2:F$281,7_樣本B!M$2:M$281)</f>
        <v>0.147203525450452</v>
      </c>
    </row>
    <row r="36" customFormat="false" ht="15" hidden="false" customHeight="false" outlineLevel="0" collapsed="false">
      <c r="A36" s="11" t="s">
        <v>44</v>
      </c>
      <c r="B36" s="10" t="n">
        <f aca="false">CORREL(7_樣本B!G$2:G$281,7_樣本B!B$2:B$281)</f>
        <v>0.257918776979712</v>
      </c>
      <c r="C36" s="10" t="n">
        <f aca="false">CORREL(7_樣本B!G$2:G$281,7_樣本B!C$2:C$281)</f>
        <v>0.328814257013963</v>
      </c>
      <c r="D36" s="10" t="n">
        <f aca="false">CORREL(7_樣本B!G$2:G$281,7_樣本B!D$2:D$281)</f>
        <v>0.288075770983209</v>
      </c>
      <c r="E36" s="10" t="n">
        <f aca="false">CORREL(7_樣本B!G$2:G$281,7_樣本B!E$2:E$281)</f>
        <v>0.348098447837187</v>
      </c>
      <c r="F36" s="10" t="n">
        <f aca="false">CORREL(7_樣本B!G$2:G$281,7_樣本B!F$2:F$281)</f>
        <v>0.626769398096476</v>
      </c>
      <c r="G36" s="10" t="n">
        <f aca="false">CORREL(7_樣本B!G$2:G$281,7_樣本B!G$2:G$281)</f>
        <v>1</v>
      </c>
      <c r="H36" s="10" t="n">
        <f aca="false">CORREL(7_樣本B!G$2:G$281,7_樣本B!H$2:H$281)</f>
        <v>0.607738588529906</v>
      </c>
      <c r="I36" s="10" t="n">
        <f aca="false">CORREL(7_樣本B!G$2:G$281,7_樣本B!I$2:I$281)</f>
        <v>0.546861590107038</v>
      </c>
      <c r="J36" s="10" t="n">
        <f aca="false">CORREL(7_樣本B!G$2:G$281,7_樣本B!J$2:J$281)</f>
        <v>0.181798209721613</v>
      </c>
      <c r="K36" s="10" t="n">
        <f aca="false">CORREL(7_樣本B!G$2:G$281,7_樣本B!K$2:K$281)</f>
        <v>0.252964908452283</v>
      </c>
      <c r="L36" s="10" t="n">
        <f aca="false">CORREL(7_樣本B!G$2:G$281,7_樣本B!L$2:L$281)</f>
        <v>0.141569130755668</v>
      </c>
      <c r="M36" s="10" t="n">
        <f aca="false">CORREL(7_樣本B!G$2:G$281,7_樣本B!M$2:M$281)</f>
        <v>0.217469860351988</v>
      </c>
    </row>
    <row r="37" customFormat="false" ht="15" hidden="false" customHeight="false" outlineLevel="0" collapsed="false">
      <c r="A37" s="11" t="s">
        <v>46</v>
      </c>
      <c r="B37" s="10" t="n">
        <f aca="false">CORREL(7_樣本B!H$2:H$281,7_樣本B!B$2:B$281)</f>
        <v>0.42993159377973</v>
      </c>
      <c r="C37" s="10" t="n">
        <f aca="false">CORREL(7_樣本B!H$2:H$281,7_樣本B!C$2:C$281)</f>
        <v>0.417880315149089</v>
      </c>
      <c r="D37" s="10" t="n">
        <f aca="false">CORREL(7_樣本B!H$2:H$281,7_樣本B!D$2:D$281)</f>
        <v>0.423610360537336</v>
      </c>
      <c r="E37" s="10" t="n">
        <f aca="false">CORREL(7_樣本B!H$2:H$281,7_樣本B!E$2:E$281)</f>
        <v>0.449698912564484</v>
      </c>
      <c r="F37" s="10" t="n">
        <f aca="false">CORREL(7_樣本B!H$2:H$281,7_樣本B!F$2:F$281)</f>
        <v>0.601541408167715</v>
      </c>
      <c r="G37" s="10" t="n">
        <f aca="false">CORREL(7_樣本B!H$2:H$281,7_樣本B!G$2:G$281)</f>
        <v>0.607738588529906</v>
      </c>
      <c r="H37" s="10" t="n">
        <f aca="false">CORREL(7_樣本B!H$2:H$281,7_樣本B!H$2:H$281)</f>
        <v>1</v>
      </c>
      <c r="I37" s="10" t="n">
        <f aca="false">CORREL(7_樣本B!H$2:H$281,7_樣本B!I$2:I$281)</f>
        <v>0.62829134993191</v>
      </c>
      <c r="J37" s="10" t="n">
        <f aca="false">CORREL(7_樣本B!H$2:H$281,7_樣本B!J$2:J$281)</f>
        <v>0.234090685152169</v>
      </c>
      <c r="K37" s="10" t="n">
        <f aca="false">CORREL(7_樣本B!H$2:H$281,7_樣本B!K$2:K$281)</f>
        <v>0.311890945961256</v>
      </c>
      <c r="L37" s="10" t="n">
        <f aca="false">CORREL(7_樣本B!H$2:H$281,7_樣本B!L$2:L$281)</f>
        <v>0.217398618644692</v>
      </c>
      <c r="M37" s="10" t="n">
        <f aca="false">CORREL(7_樣本B!H$2:H$281,7_樣本B!M$2:M$281)</f>
        <v>0.317640468437105</v>
      </c>
    </row>
    <row r="38" customFormat="false" ht="15" hidden="false" customHeight="false" outlineLevel="0" collapsed="false">
      <c r="A38" s="11" t="s">
        <v>50</v>
      </c>
      <c r="B38" s="10" t="n">
        <f aca="false">CORREL(7_樣本B!I$2:I$281,7_樣本B!B$2:B$281)</f>
        <v>0.333117150617517</v>
      </c>
      <c r="C38" s="10" t="n">
        <f aca="false">CORREL(7_樣本B!I$2:I$281,7_樣本B!C$2:C$281)</f>
        <v>0.309672036038563</v>
      </c>
      <c r="D38" s="10" t="n">
        <f aca="false">CORREL(7_樣本B!I$2:I$281,7_樣本B!D$2:D$281)</f>
        <v>0.299283773454495</v>
      </c>
      <c r="E38" s="10" t="n">
        <f aca="false">CORREL(7_樣本B!I$2:I$281,7_樣本B!E$2:E$281)</f>
        <v>0.320782998101547</v>
      </c>
      <c r="F38" s="10" t="n">
        <f aca="false">CORREL(7_樣本B!I$2:I$281,7_樣本B!F$2:F$281)</f>
        <v>0.540653493165926</v>
      </c>
      <c r="G38" s="10" t="n">
        <f aca="false">CORREL(7_樣本B!I$2:I$281,7_樣本B!G$2:G$281)</f>
        <v>0.546861590107038</v>
      </c>
      <c r="H38" s="10" t="n">
        <f aca="false">CORREL(7_樣本B!I$2:I$281,7_樣本B!H$2:H$281)</f>
        <v>0.62829134993191</v>
      </c>
      <c r="I38" s="10" t="n">
        <f aca="false">CORREL(7_樣本B!I$2:I$281,7_樣本B!I$2:I$281)</f>
        <v>1</v>
      </c>
      <c r="J38" s="10" t="n">
        <f aca="false">CORREL(7_樣本B!I$2:I$281,7_樣本B!J$2:J$281)</f>
        <v>0.224696196511358</v>
      </c>
      <c r="K38" s="10" t="n">
        <f aca="false">CORREL(7_樣本B!I$2:I$281,7_樣本B!K$2:K$281)</f>
        <v>0.247140788036875</v>
      </c>
      <c r="L38" s="10" t="n">
        <f aca="false">CORREL(7_樣本B!I$2:I$281,7_樣本B!L$2:L$281)</f>
        <v>0.172816530445413</v>
      </c>
      <c r="M38" s="10" t="n">
        <f aca="false">CORREL(7_樣本B!I$2:I$281,7_樣本B!M$2:M$281)</f>
        <v>0.219382562720644</v>
      </c>
    </row>
    <row r="39" customFormat="false" ht="15" hidden="false" customHeight="false" outlineLevel="0" collapsed="false">
      <c r="A39" s="11" t="s">
        <v>54</v>
      </c>
      <c r="B39" s="10" t="n">
        <f aca="false">CORREL(7_樣本B!J$2:J$281,7_樣本B!B$2:B$281)</f>
        <v>0.290401589825657</v>
      </c>
      <c r="C39" s="10" t="n">
        <f aca="false">CORREL(7_樣本B!J$2:J$281,7_樣本B!C$2:C$281)</f>
        <v>0.229318930711155</v>
      </c>
      <c r="D39" s="10" t="n">
        <f aca="false">CORREL(7_樣本B!J$2:J$281,7_樣本B!D$2:D$281)</f>
        <v>0.282209329037778</v>
      </c>
      <c r="E39" s="10" t="n">
        <f aca="false">CORREL(7_樣本B!J$2:J$281,7_樣本B!E$2:E$281)</f>
        <v>0.385923570530755</v>
      </c>
      <c r="F39" s="10" t="n">
        <f aca="false">CORREL(7_樣本B!J$2:J$281,7_樣本B!F$2:F$281)</f>
        <v>0.161352135481257</v>
      </c>
      <c r="G39" s="10" t="n">
        <f aca="false">CORREL(7_樣本B!J$2:J$281,7_樣本B!G$2:G$281)</f>
        <v>0.181798209721613</v>
      </c>
      <c r="H39" s="10" t="n">
        <f aca="false">CORREL(7_樣本B!J$2:J$281,7_樣本B!H$2:H$281)</f>
        <v>0.234090685152169</v>
      </c>
      <c r="I39" s="10" t="n">
        <f aca="false">CORREL(7_樣本B!J$2:J$281,7_樣本B!I$2:I$281)</f>
        <v>0.224696196511358</v>
      </c>
      <c r="J39" s="10" t="n">
        <f aca="false">CORREL(7_樣本B!J$2:J$281,7_樣本B!J$2:J$281)</f>
        <v>1</v>
      </c>
      <c r="K39" s="10" t="n">
        <f aca="false">CORREL(7_樣本B!J$2:J$281,7_樣本B!K$2:K$281)</f>
        <v>0.637117714178097</v>
      </c>
      <c r="L39" s="10" t="n">
        <f aca="false">CORREL(7_樣本B!J$2:J$281,7_樣本B!L$2:L$281)</f>
        <v>0.607482502273015</v>
      </c>
      <c r="M39" s="10" t="n">
        <f aca="false">CORREL(7_樣本B!J$2:J$281,7_樣本B!M$2:M$281)</f>
        <v>0.677311881218788</v>
      </c>
    </row>
    <row r="40" customFormat="false" ht="15" hidden="false" customHeight="false" outlineLevel="0" collapsed="false">
      <c r="A40" s="11" t="s">
        <v>56</v>
      </c>
      <c r="B40" s="10" t="n">
        <f aca="false">CORREL(7_樣本B!K$2:K$281,7_樣本B!B$2:B$281)</f>
        <v>0.268068420492961</v>
      </c>
      <c r="C40" s="10" t="n">
        <f aca="false">CORREL(7_樣本B!K$2:K$281,7_樣本B!C$2:C$281)</f>
        <v>0.242991871640636</v>
      </c>
      <c r="D40" s="10" t="n">
        <f aca="false">CORREL(7_樣本B!K$2:K$281,7_樣本B!D$2:D$281)</f>
        <v>0.272808111399746</v>
      </c>
      <c r="E40" s="10" t="n">
        <f aca="false">CORREL(7_樣本B!K$2:K$281,7_樣本B!E$2:E$281)</f>
        <v>0.365040621026171</v>
      </c>
      <c r="F40" s="10" t="n">
        <f aca="false">CORREL(7_樣本B!K$2:K$281,7_樣本B!F$2:F$281)</f>
        <v>0.164614554379707</v>
      </c>
      <c r="G40" s="10" t="n">
        <f aca="false">CORREL(7_樣本B!K$2:K$281,7_樣本B!G$2:G$281)</f>
        <v>0.252964908452283</v>
      </c>
      <c r="H40" s="10" t="n">
        <f aca="false">CORREL(7_樣本B!K$2:K$281,7_樣本B!H$2:H$281)</f>
        <v>0.311890945961256</v>
      </c>
      <c r="I40" s="10" t="n">
        <f aca="false">CORREL(7_樣本B!K$2:K$281,7_樣本B!I$2:I$281)</f>
        <v>0.247140788036875</v>
      </c>
      <c r="J40" s="10" t="n">
        <f aca="false">CORREL(7_樣本B!K$2:K$281,7_樣本B!J$2:J$281)</f>
        <v>0.637117714178097</v>
      </c>
      <c r="K40" s="10" t="n">
        <f aca="false">CORREL(7_樣本B!K$2:K$281,7_樣本B!K$2:K$281)</f>
        <v>1</v>
      </c>
      <c r="L40" s="10" t="n">
        <f aca="false">CORREL(7_樣本B!K$2:K$281,7_樣本B!L$2:L$281)</f>
        <v>0.555248040912177</v>
      </c>
      <c r="M40" s="10" t="n">
        <f aca="false">CORREL(7_樣本B!K$2:K$281,7_樣本B!M$2:M$281)</f>
        <v>0.625034463193178</v>
      </c>
    </row>
    <row r="41" customFormat="false" ht="15" hidden="false" customHeight="false" outlineLevel="0" collapsed="false">
      <c r="A41" s="11" t="s">
        <v>58</v>
      </c>
      <c r="B41" s="10" t="n">
        <f aca="false">CORREL(7_樣本B!L$2:L$281,7_樣本B!B$2:B$281)</f>
        <v>0.163531877941332</v>
      </c>
      <c r="C41" s="10" t="n">
        <f aca="false">CORREL(7_樣本B!L$2:L$281,7_樣本B!C$2:C$281)</f>
        <v>0.126440153943688</v>
      </c>
      <c r="D41" s="10" t="n">
        <f aca="false">CORREL(7_樣本B!L$2:L$281,7_樣本B!D$2:D$281)</f>
        <v>0.167167455696913</v>
      </c>
      <c r="E41" s="10" t="n">
        <f aca="false">CORREL(7_樣本B!L$2:L$281,7_樣本B!E$2:E$281)</f>
        <v>0.300356030617977</v>
      </c>
      <c r="F41" s="10" t="n">
        <f aca="false">CORREL(7_樣本B!L$2:L$281,7_樣本B!F$2:F$281)</f>
        <v>0.121174030638024</v>
      </c>
      <c r="G41" s="10" t="n">
        <f aca="false">CORREL(7_樣本B!L$2:L$281,7_樣本B!G$2:G$281)</f>
        <v>0.141569130755668</v>
      </c>
      <c r="H41" s="10" t="n">
        <f aca="false">CORREL(7_樣本B!L$2:L$281,7_樣本B!H$2:H$281)</f>
        <v>0.217398618644692</v>
      </c>
      <c r="I41" s="10" t="n">
        <f aca="false">CORREL(7_樣本B!L$2:L$281,7_樣本B!I$2:I$281)</f>
        <v>0.172816530445413</v>
      </c>
      <c r="J41" s="10" t="n">
        <f aca="false">CORREL(7_樣本B!L$2:L$281,7_樣本B!J$2:J$281)</f>
        <v>0.607482502273015</v>
      </c>
      <c r="K41" s="10" t="n">
        <f aca="false">CORREL(7_樣本B!L$2:L$281,7_樣本B!K$2:K$281)</f>
        <v>0.555248040912177</v>
      </c>
      <c r="L41" s="10" t="n">
        <f aca="false">CORREL(7_樣本B!L$2:L$281,7_樣本B!L$2:L$281)</f>
        <v>1</v>
      </c>
      <c r="M41" s="10" t="n">
        <f aca="false">CORREL(7_樣本B!L$2:L$281,7_樣本B!M$2:M$281)</f>
        <v>0.588955144867275</v>
      </c>
    </row>
    <row r="42" customFormat="false" ht="15" hidden="false" customHeight="false" outlineLevel="0" collapsed="false">
      <c r="A42" s="11" t="s">
        <v>60</v>
      </c>
      <c r="B42" s="10" t="n">
        <f aca="false">CORREL(7_樣本B!M$2:M$281,7_樣本B!B$2:B$281)</f>
        <v>0.258061952388594</v>
      </c>
      <c r="C42" s="10" t="n">
        <f aca="false">CORREL(7_樣本B!M$2:M$281,7_樣本B!C$2:C$281)</f>
        <v>0.229530267390212</v>
      </c>
      <c r="D42" s="10" t="n">
        <f aca="false">CORREL(7_樣本B!M$2:M$281,7_樣本B!D$2:D$281)</f>
        <v>0.352408969254529</v>
      </c>
      <c r="E42" s="10" t="n">
        <f aca="false">CORREL(7_樣本B!M$2:M$281,7_樣本B!E$2:E$281)</f>
        <v>0.434575029348865</v>
      </c>
      <c r="F42" s="10" t="n">
        <f aca="false">CORREL(7_樣本B!M$2:M$281,7_樣本B!F$2:F$281)</f>
        <v>0.147203525450452</v>
      </c>
      <c r="G42" s="10" t="n">
        <f aca="false">CORREL(7_樣本B!M$2:M$281,7_樣本B!G$2:G$281)</f>
        <v>0.217469860351988</v>
      </c>
      <c r="H42" s="10" t="n">
        <f aca="false">CORREL(7_樣本B!M$2:M$281,7_樣本B!H$2:H$281)</f>
        <v>0.317640468437105</v>
      </c>
      <c r="I42" s="10" t="n">
        <f aca="false">CORREL(7_樣本B!M$2:M$281,7_樣本B!I$2:I$281)</f>
        <v>0.219382562720644</v>
      </c>
      <c r="J42" s="10" t="n">
        <f aca="false">CORREL(7_樣本B!M$2:M$281,7_樣本B!J$2:J$281)</f>
        <v>0.677311881218788</v>
      </c>
      <c r="K42" s="10" t="n">
        <f aca="false">CORREL(7_樣本B!M$2:M$281,7_樣本B!K$2:K$281)</f>
        <v>0.625034463193178</v>
      </c>
      <c r="L42" s="10" t="n">
        <f aca="false">CORREL(7_樣本B!M$2:M$281,7_樣本B!L$2:L$281)</f>
        <v>0.588955144867275</v>
      </c>
      <c r="M42" s="10" t="n">
        <f aca="false">CORREL(7_樣本B!M$2:M$281,7_樣本B!M$2:M$281)</f>
        <v>1</v>
      </c>
    </row>
    <row r="44" customFormat="false" ht="17.15" hidden="false" customHeight="false" outlineLevel="0" collapsed="false">
      <c r="A44" s="20" t="s">
        <v>719</v>
      </c>
    </row>
    <row r="45" customFormat="false" ht="47" hidden="false" customHeight="false" outlineLevel="0" collapsed="false">
      <c r="A45" s="5" t="s">
        <v>687</v>
      </c>
      <c r="B45" s="5" t="s">
        <v>720</v>
      </c>
    </row>
    <row r="46" customFormat="false" ht="15" hidden="false" customHeight="false" outlineLevel="0" collapsed="false">
      <c r="A46" s="7" t="s">
        <v>700</v>
      </c>
      <c r="B46" s="16" t="n">
        <f aca="false">(SUM(B31:E34)-4)/12</f>
        <v>0.638335313286191</v>
      </c>
    </row>
    <row r="47" customFormat="false" ht="15" hidden="false" customHeight="false" outlineLevel="0" collapsed="false">
      <c r="A47" s="7" t="s">
        <v>701</v>
      </c>
      <c r="B47" s="16" t="n">
        <f aca="false">(SUM(F35:I38)-4)/12</f>
        <v>0.591975971333162</v>
      </c>
    </row>
    <row r="48" customFormat="false" ht="15" hidden="false" customHeight="false" outlineLevel="0" collapsed="false">
      <c r="A48" s="7" t="s">
        <v>702</v>
      </c>
      <c r="B48" s="16" t="n">
        <f aca="false">(SUM(J39:M42)-4)/12</f>
        <v>0.615191624440422</v>
      </c>
    </row>
    <row r="50" customFormat="false" ht="32.8" hidden="false" customHeight="false" outlineLevel="0" collapsed="false">
      <c r="A50" s="5" t="s">
        <v>711</v>
      </c>
      <c r="B50" s="5" t="s">
        <v>721</v>
      </c>
      <c r="C50" s="6" t="s">
        <v>722</v>
      </c>
      <c r="D50" s="6" t="s">
        <v>723</v>
      </c>
    </row>
    <row r="51" customFormat="false" ht="15" hidden="false" customHeight="false" outlineLevel="0" collapsed="false">
      <c r="A51" s="7" t="s">
        <v>715</v>
      </c>
      <c r="B51" s="16" t="n">
        <f aca="false">AVERAGE(F31:I34)</f>
        <v>0.34014638072263</v>
      </c>
      <c r="C51" s="12" t="n">
        <f aca="false">B51/SQRT(B46*B47)</f>
        <v>0.553336577480333</v>
      </c>
      <c r="D51" s="13" t="str">
        <f aca="false">IF(C51&lt;0.85,"通過","未通過")</f>
        <v>通過</v>
      </c>
    </row>
    <row r="52" customFormat="false" ht="15" hidden="false" customHeight="false" outlineLevel="0" collapsed="false">
      <c r="A52" s="7" t="s">
        <v>716</v>
      </c>
      <c r="B52" s="16" t="n">
        <f aca="false">AVERAGE(J31:M34)</f>
        <v>0.273052136327936</v>
      </c>
      <c r="C52" s="12" t="n">
        <f aca="false">B52/SQRT(B46*B48)</f>
        <v>0.43572846920099</v>
      </c>
      <c r="D52" s="13" t="str">
        <f aca="false">IF(C52&lt;0.85,"通過","未通過")</f>
        <v>通過</v>
      </c>
    </row>
    <row r="53" customFormat="false" ht="15" hidden="false" customHeight="false" outlineLevel="0" collapsed="false">
      <c r="A53" s="7" t="s">
        <v>717</v>
      </c>
      <c r="B53" s="16" t="n">
        <f aca="false">AVERAGE(J35:M38)</f>
        <v>0.208325196946282</v>
      </c>
      <c r="C53" s="12" t="n">
        <f aca="false">B53/SQRT(B47*B48)</f>
        <v>0.345210943361277</v>
      </c>
      <c r="D53" s="13" t="str">
        <f aca="false">IF(C53&lt;0.85,"通過","未通過")</f>
        <v>通過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8" min="18" style="0" width="50"/>
    <col collapsed="false" customWidth="true" hidden="false" outlineLevel="0" max="19" min="19" style="0" width="12"/>
  </cols>
  <sheetData>
    <row r="1" customFormat="false" ht="17.15" hidden="false" customHeight="false" outlineLevel="0" collapsed="false">
      <c r="A1" s="3" t="s">
        <v>724</v>
      </c>
    </row>
    <row r="3" customFormat="false" ht="32.8" hidden="false" customHeight="false" outlineLevel="0" collapsed="false">
      <c r="A3" s="6" t="s">
        <v>69</v>
      </c>
      <c r="B3" s="6" t="s">
        <v>725</v>
      </c>
      <c r="C3" s="6" t="s">
        <v>726</v>
      </c>
      <c r="D3" s="6" t="s">
        <v>727</v>
      </c>
      <c r="E3" s="6" t="s">
        <v>728</v>
      </c>
      <c r="F3" s="6" t="s">
        <v>729</v>
      </c>
      <c r="G3" s="6" t="s">
        <v>730</v>
      </c>
      <c r="H3" s="6" t="s">
        <v>731</v>
      </c>
      <c r="I3" s="6" t="s">
        <v>732</v>
      </c>
      <c r="J3" s="6" t="s">
        <v>733</v>
      </c>
      <c r="K3" s="6" t="s">
        <v>734</v>
      </c>
      <c r="L3" s="6" t="s">
        <v>735</v>
      </c>
      <c r="M3" s="6" t="s">
        <v>736</v>
      </c>
      <c r="N3" s="6" t="s">
        <v>737</v>
      </c>
      <c r="O3" s="6" t="s">
        <v>738</v>
      </c>
      <c r="P3" s="5" t="s">
        <v>739</v>
      </c>
    </row>
    <row r="4" customFormat="false" ht="17.15" hidden="false" customHeight="false" outlineLevel="0" collapsed="false">
      <c r="A4" s="7" t="s">
        <v>393</v>
      </c>
      <c r="B4" s="9" t="n">
        <v>4</v>
      </c>
      <c r="C4" s="9" t="n">
        <v>3</v>
      </c>
      <c r="D4" s="9" t="n">
        <v>3</v>
      </c>
      <c r="E4" s="9" t="n">
        <v>4</v>
      </c>
      <c r="F4" s="9" t="n">
        <v>3</v>
      </c>
      <c r="G4" s="9" t="n">
        <v>3</v>
      </c>
      <c r="H4" s="9" t="n">
        <v>4</v>
      </c>
      <c r="I4" s="9" t="n">
        <v>4</v>
      </c>
      <c r="J4" s="9" t="n">
        <v>5</v>
      </c>
      <c r="K4" s="9" t="n">
        <v>4</v>
      </c>
      <c r="L4" s="9" t="n">
        <v>5</v>
      </c>
      <c r="M4" s="9" t="n">
        <v>4</v>
      </c>
      <c r="N4" s="10" t="n">
        <f aca="false">7_樣本B!N2</f>
        <v>3.83333333333333</v>
      </c>
      <c r="O4" s="10" t="n">
        <f aca="false">AVERAGE(B4:M4)</f>
        <v>3.83333333333333</v>
      </c>
      <c r="P4" s="16" t="n">
        <f aca="false">AVERAGE(N4:O4)</f>
        <v>3.83333333333333</v>
      </c>
      <c r="R4" s="13" t="s">
        <v>740</v>
      </c>
      <c r="S4" s="21" t="n">
        <f aca="false">COUNT(N4:N63)</f>
        <v>60</v>
      </c>
    </row>
    <row r="5" customFormat="false" ht="17.15" hidden="false" customHeight="false" outlineLevel="0" collapsed="false">
      <c r="A5" s="7" t="s">
        <v>394</v>
      </c>
      <c r="B5" s="9" t="n">
        <v>4</v>
      </c>
      <c r="C5" s="9" t="n">
        <v>3</v>
      </c>
      <c r="D5" s="9" t="n">
        <v>3</v>
      </c>
      <c r="E5" s="9" t="n">
        <v>3</v>
      </c>
      <c r="F5" s="9" t="n">
        <v>3</v>
      </c>
      <c r="G5" s="9" t="n">
        <v>4</v>
      </c>
      <c r="H5" s="9" t="n">
        <v>4</v>
      </c>
      <c r="I5" s="9" t="n">
        <v>4</v>
      </c>
      <c r="J5" s="9" t="n">
        <v>3</v>
      </c>
      <c r="K5" s="9" t="n">
        <v>4</v>
      </c>
      <c r="L5" s="9" t="n">
        <v>3</v>
      </c>
      <c r="M5" s="9" t="n">
        <v>4</v>
      </c>
      <c r="N5" s="10" t="n">
        <f aca="false">7_樣本B!N3</f>
        <v>3</v>
      </c>
      <c r="O5" s="10" t="n">
        <f aca="false">AVERAGE(B5:M5)</f>
        <v>3.5</v>
      </c>
      <c r="P5" s="16" t="n">
        <f aca="false">AVERAGE(N5:O5)</f>
        <v>3.25</v>
      </c>
      <c r="R5" s="13" t="s">
        <v>741</v>
      </c>
      <c r="S5" s="21" t="n">
        <v>2</v>
      </c>
    </row>
    <row r="6" customFormat="false" ht="17.15" hidden="false" customHeight="false" outlineLevel="0" collapsed="false">
      <c r="A6" s="7" t="s">
        <v>395</v>
      </c>
      <c r="B6" s="9" t="n">
        <v>3</v>
      </c>
      <c r="C6" s="9" t="n">
        <v>4</v>
      </c>
      <c r="D6" s="9" t="n">
        <v>3</v>
      </c>
      <c r="E6" s="9" t="n">
        <v>4</v>
      </c>
      <c r="F6" s="9" t="n">
        <v>4</v>
      </c>
      <c r="G6" s="9" t="n">
        <v>4</v>
      </c>
      <c r="H6" s="9" t="n">
        <v>3</v>
      </c>
      <c r="I6" s="9" t="n">
        <v>3</v>
      </c>
      <c r="J6" s="9" t="n">
        <v>3</v>
      </c>
      <c r="K6" s="9" t="n">
        <v>3</v>
      </c>
      <c r="L6" s="9" t="n">
        <v>3</v>
      </c>
      <c r="M6" s="9" t="n">
        <v>3</v>
      </c>
      <c r="N6" s="10" t="n">
        <f aca="false">7_樣本B!N4</f>
        <v>3.33333333333333</v>
      </c>
      <c r="O6" s="10" t="n">
        <f aca="false">AVERAGE(B6:M6)</f>
        <v>3.33333333333333</v>
      </c>
      <c r="P6" s="16" t="n">
        <f aca="false">AVERAGE(N6:O6)</f>
        <v>3.33333333333333</v>
      </c>
      <c r="R6" s="13" t="s">
        <v>742</v>
      </c>
      <c r="S6" s="21" t="n">
        <f aca="false">AVERAGE(N4:N63,O4:O63)</f>
        <v>3.66111111111111</v>
      </c>
    </row>
    <row r="7" customFormat="false" ht="17.15" hidden="false" customHeight="false" outlineLevel="0" collapsed="false">
      <c r="A7" s="7" t="s">
        <v>396</v>
      </c>
      <c r="B7" s="9" t="n">
        <v>4</v>
      </c>
      <c r="C7" s="9" t="n">
        <v>4</v>
      </c>
      <c r="D7" s="9" t="n">
        <v>5</v>
      </c>
      <c r="E7" s="9" t="n">
        <v>5</v>
      </c>
      <c r="F7" s="9" t="n">
        <v>4</v>
      </c>
      <c r="G7" s="9" t="n">
        <v>4</v>
      </c>
      <c r="H7" s="9" t="n">
        <v>3</v>
      </c>
      <c r="I7" s="9" t="n">
        <v>4</v>
      </c>
      <c r="J7" s="9" t="n">
        <v>5</v>
      </c>
      <c r="K7" s="9" t="n">
        <v>5</v>
      </c>
      <c r="L7" s="9" t="n">
        <v>5</v>
      </c>
      <c r="M7" s="9" t="n">
        <v>5</v>
      </c>
      <c r="N7" s="10" t="n">
        <f aca="false">7_樣本B!N5</f>
        <v>4.41666666666667</v>
      </c>
      <c r="O7" s="10" t="n">
        <f aca="false">AVERAGE(B7:M7)</f>
        <v>4.41666666666667</v>
      </c>
      <c r="P7" s="16" t="n">
        <f aca="false">AVERAGE(N7:O7)</f>
        <v>4.41666666666667</v>
      </c>
      <c r="R7" s="11" t="s">
        <v>743</v>
      </c>
      <c r="S7" s="21" t="n">
        <f aca="false">AVERAGE(N4:N63)</f>
        <v>3.65</v>
      </c>
    </row>
    <row r="8" customFormat="false" ht="17.15" hidden="false" customHeight="false" outlineLevel="0" collapsed="false">
      <c r="A8" s="7" t="s">
        <v>397</v>
      </c>
      <c r="B8" s="9" t="n">
        <v>3</v>
      </c>
      <c r="C8" s="9" t="n">
        <v>3</v>
      </c>
      <c r="D8" s="9" t="n">
        <v>4</v>
      </c>
      <c r="E8" s="9" t="n">
        <v>4</v>
      </c>
      <c r="F8" s="9" t="n">
        <v>3</v>
      </c>
      <c r="G8" s="9" t="n">
        <v>2</v>
      </c>
      <c r="H8" s="9" t="n">
        <v>4</v>
      </c>
      <c r="I8" s="9" t="n">
        <v>2</v>
      </c>
      <c r="J8" s="9" t="n">
        <v>3</v>
      </c>
      <c r="K8" s="9" t="n">
        <v>4</v>
      </c>
      <c r="L8" s="9" t="n">
        <v>3</v>
      </c>
      <c r="M8" s="9" t="n">
        <v>3</v>
      </c>
      <c r="N8" s="10" t="n">
        <f aca="false">7_樣本B!N6</f>
        <v>3</v>
      </c>
      <c r="O8" s="10" t="n">
        <f aca="false">AVERAGE(B8:M8)</f>
        <v>3.16666666666667</v>
      </c>
      <c r="P8" s="16" t="n">
        <f aca="false">AVERAGE(N8:O8)</f>
        <v>3.08333333333333</v>
      </c>
      <c r="R8" s="11" t="s">
        <v>744</v>
      </c>
      <c r="S8" s="21" t="n">
        <f aca="false">AVERAGE(O4:O63)</f>
        <v>3.67222222222222</v>
      </c>
    </row>
    <row r="9" customFormat="false" ht="17.15" hidden="false" customHeight="false" outlineLevel="0" collapsed="false">
      <c r="A9" s="7" t="s">
        <v>398</v>
      </c>
      <c r="B9" s="9" t="n">
        <v>4</v>
      </c>
      <c r="C9" s="9" t="n">
        <v>4</v>
      </c>
      <c r="D9" s="9" t="n">
        <v>4</v>
      </c>
      <c r="E9" s="9" t="n">
        <v>5</v>
      </c>
      <c r="F9" s="9" t="n">
        <v>4</v>
      </c>
      <c r="G9" s="9" t="n">
        <v>5</v>
      </c>
      <c r="H9" s="9" t="n">
        <v>5</v>
      </c>
      <c r="I9" s="9" t="n">
        <v>5</v>
      </c>
      <c r="J9" s="9" t="n">
        <v>5</v>
      </c>
      <c r="K9" s="9" t="n">
        <v>5</v>
      </c>
      <c r="L9" s="9" t="n">
        <v>5</v>
      </c>
      <c r="M9" s="9" t="n">
        <v>5</v>
      </c>
      <c r="N9" s="10" t="n">
        <f aca="false">7_樣本B!N7</f>
        <v>4.83333333333333</v>
      </c>
      <c r="O9" s="10" t="n">
        <f aca="false">AVERAGE(B9:M9)</f>
        <v>4.66666666666667</v>
      </c>
      <c r="P9" s="16" t="n">
        <f aca="false">AVERAGE(N9:O9)</f>
        <v>4.75</v>
      </c>
      <c r="R9" s="11" t="s">
        <v>745</v>
      </c>
      <c r="S9" s="21" t="n">
        <f aca="false">S5*SUMPRODUCT((P4:P63-S6)^2)</f>
        <v>48.4685185185185</v>
      </c>
    </row>
    <row r="10" customFormat="false" ht="17.15" hidden="false" customHeight="false" outlineLevel="0" collapsed="false">
      <c r="A10" s="7" t="s">
        <v>399</v>
      </c>
      <c r="B10" s="9" t="n">
        <v>2</v>
      </c>
      <c r="C10" s="9" t="n">
        <v>2</v>
      </c>
      <c r="D10" s="9" t="n">
        <v>3</v>
      </c>
      <c r="E10" s="9" t="n">
        <v>2</v>
      </c>
      <c r="F10" s="9" t="n">
        <v>2</v>
      </c>
      <c r="G10" s="9" t="n">
        <v>4</v>
      </c>
      <c r="H10" s="9" t="n">
        <v>3</v>
      </c>
      <c r="I10" s="9" t="n">
        <v>3</v>
      </c>
      <c r="J10" s="9" t="n">
        <v>2</v>
      </c>
      <c r="K10" s="9" t="n">
        <v>3</v>
      </c>
      <c r="L10" s="9" t="n">
        <v>3</v>
      </c>
      <c r="M10" s="9" t="n">
        <v>3</v>
      </c>
      <c r="N10" s="10" t="n">
        <f aca="false">7_樣本B!N8</f>
        <v>2.5</v>
      </c>
      <c r="O10" s="10" t="n">
        <f aca="false">AVERAGE(B10:M10)</f>
        <v>2.66666666666667</v>
      </c>
      <c r="P10" s="16" t="n">
        <f aca="false">AVERAGE(N10:O10)</f>
        <v>2.58333333333333</v>
      </c>
      <c r="R10" s="11" t="s">
        <v>746</v>
      </c>
      <c r="S10" s="21" t="n">
        <f aca="false">S4*((S7-S6)^2+(S8-S6)^2)</f>
        <v>0.0148148148148153</v>
      </c>
    </row>
    <row r="11" customFormat="false" ht="17.15" hidden="false" customHeight="false" outlineLevel="0" collapsed="false">
      <c r="A11" s="7" t="s">
        <v>400</v>
      </c>
      <c r="B11" s="9" t="n">
        <v>3</v>
      </c>
      <c r="C11" s="9" t="n">
        <v>4</v>
      </c>
      <c r="D11" s="9" t="n">
        <v>2</v>
      </c>
      <c r="E11" s="9" t="n">
        <v>3</v>
      </c>
      <c r="F11" s="9" t="n">
        <v>5</v>
      </c>
      <c r="G11" s="9" t="n">
        <v>4</v>
      </c>
      <c r="H11" s="9" t="n">
        <v>4</v>
      </c>
      <c r="I11" s="9" t="n">
        <v>4</v>
      </c>
      <c r="J11" s="9" t="n">
        <v>3</v>
      </c>
      <c r="K11" s="9" t="n">
        <v>4</v>
      </c>
      <c r="L11" s="9" t="n">
        <v>4</v>
      </c>
      <c r="M11" s="9" t="n">
        <v>5</v>
      </c>
      <c r="N11" s="10" t="n">
        <f aca="false">7_樣本B!N9</f>
        <v>2.91666666666667</v>
      </c>
      <c r="O11" s="10" t="n">
        <f aca="false">AVERAGE(B11:M11)</f>
        <v>3.75</v>
      </c>
      <c r="P11" s="16" t="n">
        <f aca="false">AVERAGE(N11:O11)</f>
        <v>3.33333333333333</v>
      </c>
      <c r="R11" s="11" t="s">
        <v>747</v>
      </c>
      <c r="S11" s="21" t="n">
        <f aca="false">SUMPRODUCT((N4:N63-S6)^2)+SUMPRODUCT((O4:O63-S6)^2)</f>
        <v>51.9546296296296</v>
      </c>
    </row>
    <row r="12" customFormat="false" ht="17.15" hidden="false" customHeight="false" outlineLevel="0" collapsed="false">
      <c r="A12" s="7" t="s">
        <v>401</v>
      </c>
      <c r="B12" s="9" t="n">
        <v>4</v>
      </c>
      <c r="C12" s="9" t="n">
        <v>4</v>
      </c>
      <c r="D12" s="9" t="n">
        <v>5</v>
      </c>
      <c r="E12" s="9" t="n">
        <v>4</v>
      </c>
      <c r="F12" s="9" t="n">
        <v>4</v>
      </c>
      <c r="G12" s="9" t="n">
        <v>4</v>
      </c>
      <c r="H12" s="9" t="n">
        <v>3</v>
      </c>
      <c r="I12" s="9" t="n">
        <v>4</v>
      </c>
      <c r="J12" s="9" t="n">
        <v>2</v>
      </c>
      <c r="K12" s="9" t="n">
        <v>3</v>
      </c>
      <c r="L12" s="9" t="n">
        <v>3</v>
      </c>
      <c r="M12" s="9" t="n">
        <v>3</v>
      </c>
      <c r="N12" s="10" t="n">
        <f aca="false">7_樣本B!N10</f>
        <v>3.66666666666667</v>
      </c>
      <c r="O12" s="10" t="n">
        <f aca="false">AVERAGE(B12:M12)</f>
        <v>3.58333333333333</v>
      </c>
      <c r="P12" s="16" t="n">
        <f aca="false">AVERAGE(N12:O12)</f>
        <v>3.625</v>
      </c>
      <c r="R12" s="11" t="s">
        <v>748</v>
      </c>
      <c r="S12" s="21" t="n">
        <f aca="false">S11-S9-S10</f>
        <v>3.4712962962963</v>
      </c>
    </row>
    <row r="13" customFormat="false" ht="17.15" hidden="false" customHeight="false" outlineLevel="0" collapsed="false">
      <c r="A13" s="7" t="s">
        <v>402</v>
      </c>
      <c r="B13" s="9" t="n">
        <v>2</v>
      </c>
      <c r="C13" s="9" t="n">
        <v>2</v>
      </c>
      <c r="D13" s="9" t="n">
        <v>2</v>
      </c>
      <c r="E13" s="9" t="n">
        <v>2</v>
      </c>
      <c r="F13" s="9" t="n">
        <v>3</v>
      </c>
      <c r="G13" s="9" t="n">
        <v>2</v>
      </c>
      <c r="H13" s="9" t="n">
        <v>1</v>
      </c>
      <c r="I13" s="9" t="n">
        <v>1</v>
      </c>
      <c r="J13" s="9" t="n">
        <v>2</v>
      </c>
      <c r="K13" s="9" t="n">
        <v>2</v>
      </c>
      <c r="L13" s="9" t="n">
        <v>2</v>
      </c>
      <c r="M13" s="9" t="n">
        <v>1</v>
      </c>
      <c r="N13" s="10" t="n">
        <f aca="false">7_樣本B!N11</f>
        <v>2.58333333333333</v>
      </c>
      <c r="O13" s="10" t="n">
        <f aca="false">AVERAGE(B13:M13)</f>
        <v>1.83333333333333</v>
      </c>
      <c r="P13" s="16" t="n">
        <f aca="false">AVERAGE(N13:O13)</f>
        <v>2.20833333333333</v>
      </c>
      <c r="R13" s="11" t="s">
        <v>749</v>
      </c>
      <c r="S13" s="21" t="n">
        <f aca="false">S9/(S4-1)</f>
        <v>0.821500313873195</v>
      </c>
    </row>
    <row r="14" customFormat="false" ht="17.15" hidden="false" customHeight="false" outlineLevel="0" collapsed="false">
      <c r="A14" s="7" t="s">
        <v>403</v>
      </c>
      <c r="B14" s="9" t="n">
        <v>5</v>
      </c>
      <c r="C14" s="9" t="n">
        <v>4</v>
      </c>
      <c r="D14" s="9" t="n">
        <v>4</v>
      </c>
      <c r="E14" s="9" t="n">
        <v>4</v>
      </c>
      <c r="F14" s="9" t="n">
        <v>4</v>
      </c>
      <c r="G14" s="9" t="n">
        <v>4</v>
      </c>
      <c r="H14" s="9" t="n">
        <v>3</v>
      </c>
      <c r="I14" s="9" t="n">
        <v>4</v>
      </c>
      <c r="J14" s="9" t="n">
        <v>4</v>
      </c>
      <c r="K14" s="9" t="n">
        <v>5</v>
      </c>
      <c r="L14" s="9" t="n">
        <v>5</v>
      </c>
      <c r="M14" s="9" t="n">
        <v>5</v>
      </c>
      <c r="N14" s="10" t="n">
        <f aca="false">7_樣本B!N12</f>
        <v>4</v>
      </c>
      <c r="O14" s="10" t="n">
        <f aca="false">AVERAGE(B14:M14)</f>
        <v>4.25</v>
      </c>
      <c r="P14" s="16" t="n">
        <f aca="false">AVERAGE(N14:O14)</f>
        <v>4.125</v>
      </c>
      <c r="R14" s="11" t="s">
        <v>750</v>
      </c>
      <c r="S14" s="21" t="n">
        <f aca="false">S10/(S5-1)</f>
        <v>0.0148148148148153</v>
      </c>
    </row>
    <row r="15" customFormat="false" ht="17.15" hidden="false" customHeight="false" outlineLevel="0" collapsed="false">
      <c r="A15" s="7" t="s">
        <v>404</v>
      </c>
      <c r="B15" s="9" t="n">
        <v>4</v>
      </c>
      <c r="C15" s="9" t="n">
        <v>4</v>
      </c>
      <c r="D15" s="9" t="n">
        <v>4</v>
      </c>
      <c r="E15" s="9" t="n">
        <v>2</v>
      </c>
      <c r="F15" s="9" t="n">
        <v>4</v>
      </c>
      <c r="G15" s="9" t="n">
        <v>3</v>
      </c>
      <c r="H15" s="9" t="n">
        <v>4</v>
      </c>
      <c r="I15" s="9" t="n">
        <v>4</v>
      </c>
      <c r="J15" s="9" t="n">
        <v>2</v>
      </c>
      <c r="K15" s="9" t="n">
        <v>3</v>
      </c>
      <c r="L15" s="9" t="n">
        <v>2</v>
      </c>
      <c r="M15" s="9" t="n">
        <v>3</v>
      </c>
      <c r="N15" s="10" t="n">
        <f aca="false">7_樣本B!N13</f>
        <v>3.33333333333333</v>
      </c>
      <c r="O15" s="10" t="n">
        <f aca="false">AVERAGE(B15:M15)</f>
        <v>3.25</v>
      </c>
      <c r="P15" s="16" t="n">
        <f aca="false">AVERAGE(N15:O15)</f>
        <v>3.29166666666667</v>
      </c>
      <c r="R15" s="11" t="s">
        <v>751</v>
      </c>
      <c r="S15" s="21" t="n">
        <f aca="false">S12/((S4-1)*(S5-1))</f>
        <v>0.0588355304457</v>
      </c>
    </row>
    <row r="16" customFormat="false" ht="15" hidden="false" customHeight="false" outlineLevel="0" collapsed="false">
      <c r="A16" s="7" t="s">
        <v>405</v>
      </c>
      <c r="B16" s="9" t="n">
        <v>3</v>
      </c>
      <c r="C16" s="9" t="n">
        <v>3</v>
      </c>
      <c r="D16" s="9" t="n">
        <v>3</v>
      </c>
      <c r="E16" s="9" t="n">
        <v>3</v>
      </c>
      <c r="F16" s="9" t="n">
        <v>4</v>
      </c>
      <c r="G16" s="9" t="n">
        <v>3</v>
      </c>
      <c r="H16" s="9" t="n">
        <v>4</v>
      </c>
      <c r="I16" s="9" t="n">
        <v>3</v>
      </c>
      <c r="J16" s="9" t="n">
        <v>5</v>
      </c>
      <c r="K16" s="9" t="n">
        <v>5</v>
      </c>
      <c r="L16" s="9" t="n">
        <v>5</v>
      </c>
      <c r="M16" s="9" t="n">
        <v>5</v>
      </c>
      <c r="N16" s="10" t="n">
        <f aca="false">7_樣本B!N14</f>
        <v>4.16666666666667</v>
      </c>
      <c r="O16" s="10" t="n">
        <f aca="false">AVERAGE(B16:M16)</f>
        <v>3.83333333333333</v>
      </c>
      <c r="P16" s="16" t="n">
        <f aca="false">AVERAGE(N16:O16)</f>
        <v>4</v>
      </c>
      <c r="R16" s="11" t="s">
        <v>752</v>
      </c>
      <c r="S16" s="22" t="n">
        <f aca="false">(S13-S15)/(S13+(S5-1)*S15+S5*(S14-S15)/S4)</f>
        <v>0.867780327312661</v>
      </c>
    </row>
    <row r="17" customFormat="false" ht="15" hidden="false" customHeight="false" outlineLevel="0" collapsed="false">
      <c r="A17" s="7" t="s">
        <v>406</v>
      </c>
      <c r="B17" s="9" t="n">
        <v>3</v>
      </c>
      <c r="C17" s="9" t="n">
        <v>2</v>
      </c>
      <c r="D17" s="9" t="n">
        <v>2</v>
      </c>
      <c r="E17" s="9" t="n">
        <v>3</v>
      </c>
      <c r="F17" s="9" t="n">
        <v>4</v>
      </c>
      <c r="G17" s="9" t="n">
        <v>4</v>
      </c>
      <c r="H17" s="9" t="n">
        <v>5</v>
      </c>
      <c r="I17" s="9" t="n">
        <v>4</v>
      </c>
      <c r="J17" s="9" t="n">
        <v>4</v>
      </c>
      <c r="K17" s="9" t="n">
        <v>5</v>
      </c>
      <c r="L17" s="9" t="n">
        <v>4</v>
      </c>
      <c r="M17" s="9" t="n">
        <v>3</v>
      </c>
      <c r="N17" s="10" t="n">
        <f aca="false">7_樣本B!N15</f>
        <v>4.33333333333333</v>
      </c>
      <c r="O17" s="10" t="n">
        <f aca="false">AVERAGE(B17:M17)</f>
        <v>3.58333333333333</v>
      </c>
      <c r="P17" s="16" t="n">
        <f aca="false">AVERAGE(N17:O17)</f>
        <v>3.95833333333333</v>
      </c>
    </row>
    <row r="18" customFormat="false" ht="15" hidden="false" customHeight="false" outlineLevel="0" collapsed="false">
      <c r="A18" s="7" t="s">
        <v>407</v>
      </c>
      <c r="B18" s="9" t="n">
        <v>4</v>
      </c>
      <c r="C18" s="9" t="n">
        <v>4</v>
      </c>
      <c r="D18" s="9" t="n">
        <v>5</v>
      </c>
      <c r="E18" s="9" t="n">
        <v>5</v>
      </c>
      <c r="F18" s="9" t="n">
        <v>5</v>
      </c>
      <c r="G18" s="9" t="n">
        <v>5</v>
      </c>
      <c r="H18" s="9" t="n">
        <v>5</v>
      </c>
      <c r="I18" s="9" t="n">
        <v>5</v>
      </c>
      <c r="J18" s="9" t="n">
        <v>5</v>
      </c>
      <c r="K18" s="9" t="n">
        <v>4</v>
      </c>
      <c r="L18" s="9" t="n">
        <v>5</v>
      </c>
      <c r="M18" s="9" t="n">
        <v>5</v>
      </c>
      <c r="N18" s="10" t="n">
        <f aca="false">7_樣本B!N16</f>
        <v>4.25</v>
      </c>
      <c r="O18" s="10" t="n">
        <f aca="false">AVERAGE(B18:M18)</f>
        <v>4.75</v>
      </c>
      <c r="P18" s="16" t="n">
        <f aca="false">AVERAGE(N18:O18)</f>
        <v>4.5</v>
      </c>
    </row>
    <row r="19" customFormat="false" ht="15" hidden="false" customHeight="false" outlineLevel="0" collapsed="false">
      <c r="A19" s="7" t="s">
        <v>408</v>
      </c>
      <c r="B19" s="9" t="n">
        <v>5</v>
      </c>
      <c r="C19" s="9" t="n">
        <v>4</v>
      </c>
      <c r="D19" s="9" t="n">
        <v>4</v>
      </c>
      <c r="E19" s="9" t="n">
        <v>5</v>
      </c>
      <c r="F19" s="9" t="n">
        <v>4</v>
      </c>
      <c r="G19" s="9" t="n">
        <v>4</v>
      </c>
      <c r="H19" s="9" t="n">
        <v>4</v>
      </c>
      <c r="I19" s="9" t="n">
        <v>5</v>
      </c>
      <c r="J19" s="9" t="n">
        <v>5</v>
      </c>
      <c r="K19" s="9" t="n">
        <v>5</v>
      </c>
      <c r="L19" s="9" t="n">
        <v>4</v>
      </c>
      <c r="M19" s="9" t="n">
        <v>5</v>
      </c>
      <c r="N19" s="10" t="n">
        <f aca="false">7_樣本B!N17</f>
        <v>4.25</v>
      </c>
      <c r="O19" s="10" t="n">
        <f aca="false">AVERAGE(B19:M19)</f>
        <v>4.5</v>
      </c>
      <c r="P19" s="16" t="n">
        <f aca="false">AVERAGE(N19:O19)</f>
        <v>4.375</v>
      </c>
    </row>
    <row r="20" customFormat="false" ht="15" hidden="false" customHeight="false" outlineLevel="0" collapsed="false">
      <c r="A20" s="7" t="s">
        <v>409</v>
      </c>
      <c r="B20" s="9" t="n">
        <v>3</v>
      </c>
      <c r="C20" s="9" t="n">
        <v>4</v>
      </c>
      <c r="D20" s="9" t="n">
        <v>3</v>
      </c>
      <c r="E20" s="9" t="n">
        <v>3</v>
      </c>
      <c r="F20" s="9" t="n">
        <v>3</v>
      </c>
      <c r="G20" s="9" t="n">
        <v>4</v>
      </c>
      <c r="H20" s="9" t="n">
        <v>3</v>
      </c>
      <c r="I20" s="9" t="n">
        <v>3</v>
      </c>
      <c r="J20" s="9" t="n">
        <v>3</v>
      </c>
      <c r="K20" s="9" t="n">
        <v>2</v>
      </c>
      <c r="L20" s="9" t="n">
        <v>4</v>
      </c>
      <c r="M20" s="9" t="n">
        <v>3</v>
      </c>
      <c r="N20" s="10" t="n">
        <f aca="false">7_樣本B!N18</f>
        <v>3.5</v>
      </c>
      <c r="O20" s="10" t="n">
        <f aca="false">AVERAGE(B20:M20)</f>
        <v>3.16666666666667</v>
      </c>
      <c r="P20" s="16" t="n">
        <f aca="false">AVERAGE(N20:O20)</f>
        <v>3.33333333333333</v>
      </c>
    </row>
    <row r="21" customFormat="false" ht="15" hidden="false" customHeight="false" outlineLevel="0" collapsed="false">
      <c r="A21" s="7" t="s">
        <v>410</v>
      </c>
      <c r="B21" s="9" t="n">
        <v>5</v>
      </c>
      <c r="C21" s="9" t="n">
        <v>5</v>
      </c>
      <c r="D21" s="9" t="n">
        <v>4</v>
      </c>
      <c r="E21" s="9" t="n">
        <v>5</v>
      </c>
      <c r="F21" s="9" t="n">
        <v>4</v>
      </c>
      <c r="G21" s="9" t="n">
        <v>4</v>
      </c>
      <c r="H21" s="9" t="n">
        <v>4</v>
      </c>
      <c r="I21" s="9" t="n">
        <v>5</v>
      </c>
      <c r="J21" s="9" t="n">
        <v>3</v>
      </c>
      <c r="K21" s="9" t="n">
        <v>4</v>
      </c>
      <c r="L21" s="9" t="n">
        <v>3</v>
      </c>
      <c r="M21" s="9" t="n">
        <v>4</v>
      </c>
      <c r="N21" s="10" t="n">
        <f aca="false">7_樣本B!N19</f>
        <v>4.33333333333333</v>
      </c>
      <c r="O21" s="10" t="n">
        <f aca="false">AVERAGE(B21:M21)</f>
        <v>4.16666666666667</v>
      </c>
      <c r="P21" s="16" t="n">
        <f aca="false">AVERAGE(N21:O21)</f>
        <v>4.25</v>
      </c>
    </row>
    <row r="22" customFormat="false" ht="15" hidden="false" customHeight="false" outlineLevel="0" collapsed="false">
      <c r="A22" s="7" t="s">
        <v>411</v>
      </c>
      <c r="B22" s="9" t="n">
        <v>3</v>
      </c>
      <c r="C22" s="9" t="n">
        <v>4</v>
      </c>
      <c r="D22" s="9" t="n">
        <v>5</v>
      </c>
      <c r="E22" s="9" t="n">
        <v>4</v>
      </c>
      <c r="F22" s="9" t="n">
        <v>3</v>
      </c>
      <c r="G22" s="9" t="n">
        <v>3</v>
      </c>
      <c r="H22" s="9" t="n">
        <v>3</v>
      </c>
      <c r="I22" s="9" t="n">
        <v>3</v>
      </c>
      <c r="J22" s="9" t="n">
        <v>4</v>
      </c>
      <c r="K22" s="9" t="n">
        <v>4</v>
      </c>
      <c r="L22" s="9" t="n">
        <v>4</v>
      </c>
      <c r="M22" s="9" t="n">
        <v>5</v>
      </c>
      <c r="N22" s="10" t="n">
        <f aca="false">7_樣本B!N20</f>
        <v>3.58333333333333</v>
      </c>
      <c r="O22" s="10" t="n">
        <f aca="false">AVERAGE(B22:M22)</f>
        <v>3.75</v>
      </c>
      <c r="P22" s="16" t="n">
        <f aca="false">AVERAGE(N22:O22)</f>
        <v>3.66666666666667</v>
      </c>
    </row>
    <row r="23" customFormat="false" ht="15" hidden="false" customHeight="false" outlineLevel="0" collapsed="false">
      <c r="A23" s="7" t="s">
        <v>412</v>
      </c>
      <c r="B23" s="9" t="n">
        <v>3</v>
      </c>
      <c r="C23" s="9" t="n">
        <v>4</v>
      </c>
      <c r="D23" s="9" t="n">
        <v>2</v>
      </c>
      <c r="E23" s="9" t="n">
        <v>3</v>
      </c>
      <c r="F23" s="9" t="n">
        <v>4</v>
      </c>
      <c r="G23" s="9" t="n">
        <v>4</v>
      </c>
      <c r="H23" s="9" t="n">
        <v>4</v>
      </c>
      <c r="I23" s="9" t="n">
        <v>4</v>
      </c>
      <c r="J23" s="9" t="n">
        <v>5</v>
      </c>
      <c r="K23" s="9" t="n">
        <v>3</v>
      </c>
      <c r="L23" s="9" t="n">
        <v>4</v>
      </c>
      <c r="M23" s="9" t="n">
        <v>4</v>
      </c>
      <c r="N23" s="10" t="n">
        <f aca="false">7_樣本B!N21</f>
        <v>3.83333333333333</v>
      </c>
      <c r="O23" s="10" t="n">
        <f aca="false">AVERAGE(B23:M23)</f>
        <v>3.66666666666667</v>
      </c>
      <c r="P23" s="16" t="n">
        <f aca="false">AVERAGE(N23:O23)</f>
        <v>3.75</v>
      </c>
    </row>
    <row r="24" customFormat="false" ht="15" hidden="false" customHeight="false" outlineLevel="0" collapsed="false">
      <c r="A24" s="7" t="s">
        <v>413</v>
      </c>
      <c r="B24" s="9" t="n">
        <v>4</v>
      </c>
      <c r="C24" s="9" t="n">
        <v>5</v>
      </c>
      <c r="D24" s="9" t="n">
        <v>4</v>
      </c>
      <c r="E24" s="9" t="n">
        <v>3</v>
      </c>
      <c r="F24" s="9" t="n">
        <v>2</v>
      </c>
      <c r="G24" s="9" t="n">
        <v>3</v>
      </c>
      <c r="H24" s="9" t="n">
        <v>3</v>
      </c>
      <c r="I24" s="9" t="n">
        <v>3</v>
      </c>
      <c r="J24" s="9" t="n">
        <v>4</v>
      </c>
      <c r="K24" s="9" t="n">
        <v>4</v>
      </c>
      <c r="L24" s="9" t="n">
        <v>4</v>
      </c>
      <c r="M24" s="9" t="n">
        <v>4</v>
      </c>
      <c r="N24" s="10" t="n">
        <f aca="false">7_樣本B!N22</f>
        <v>3.75</v>
      </c>
      <c r="O24" s="10" t="n">
        <f aca="false">AVERAGE(B24:M24)</f>
        <v>3.58333333333333</v>
      </c>
      <c r="P24" s="16" t="n">
        <f aca="false">AVERAGE(N24:O24)</f>
        <v>3.66666666666667</v>
      </c>
    </row>
    <row r="25" customFormat="false" ht="15" hidden="false" customHeight="false" outlineLevel="0" collapsed="false">
      <c r="A25" s="7" t="s">
        <v>414</v>
      </c>
      <c r="B25" s="9" t="n">
        <v>2</v>
      </c>
      <c r="C25" s="9" t="n">
        <v>3</v>
      </c>
      <c r="D25" s="9" t="n">
        <v>3</v>
      </c>
      <c r="E25" s="9" t="n">
        <v>4</v>
      </c>
      <c r="F25" s="9" t="n">
        <v>3</v>
      </c>
      <c r="G25" s="9" t="n">
        <v>3</v>
      </c>
      <c r="H25" s="9" t="n">
        <v>4</v>
      </c>
      <c r="I25" s="9" t="n">
        <v>4</v>
      </c>
      <c r="J25" s="9" t="n">
        <v>3</v>
      </c>
      <c r="K25" s="9" t="n">
        <v>2</v>
      </c>
      <c r="L25" s="9" t="n">
        <v>2</v>
      </c>
      <c r="M25" s="9" t="n">
        <v>3</v>
      </c>
      <c r="N25" s="10" t="n">
        <f aca="false">7_樣本B!N23</f>
        <v>3.5</v>
      </c>
      <c r="O25" s="10" t="n">
        <f aca="false">AVERAGE(B25:M25)</f>
        <v>3</v>
      </c>
      <c r="P25" s="16" t="n">
        <f aca="false">AVERAGE(N25:O25)</f>
        <v>3.25</v>
      </c>
    </row>
    <row r="26" customFormat="false" ht="15" hidden="false" customHeight="false" outlineLevel="0" collapsed="false">
      <c r="A26" s="7" t="s">
        <v>415</v>
      </c>
      <c r="B26" s="9" t="n">
        <v>5</v>
      </c>
      <c r="C26" s="9" t="n">
        <v>4</v>
      </c>
      <c r="D26" s="9" t="n">
        <v>5</v>
      </c>
      <c r="E26" s="9" t="n">
        <v>5</v>
      </c>
      <c r="F26" s="9" t="n">
        <v>4</v>
      </c>
      <c r="G26" s="9" t="n">
        <v>4</v>
      </c>
      <c r="H26" s="9" t="n">
        <v>5</v>
      </c>
      <c r="I26" s="9" t="n">
        <v>5</v>
      </c>
      <c r="J26" s="9" t="n">
        <v>4</v>
      </c>
      <c r="K26" s="9" t="n">
        <v>4</v>
      </c>
      <c r="L26" s="9" t="n">
        <v>4</v>
      </c>
      <c r="M26" s="9" t="n">
        <v>4</v>
      </c>
      <c r="N26" s="10" t="n">
        <f aca="false">7_樣本B!N24</f>
        <v>4.33333333333333</v>
      </c>
      <c r="O26" s="10" t="n">
        <f aca="false">AVERAGE(B26:M26)</f>
        <v>4.41666666666667</v>
      </c>
      <c r="P26" s="16" t="n">
        <f aca="false">AVERAGE(N26:O26)</f>
        <v>4.375</v>
      </c>
    </row>
    <row r="27" customFormat="false" ht="15" hidden="false" customHeight="false" outlineLevel="0" collapsed="false">
      <c r="A27" s="7" t="s">
        <v>416</v>
      </c>
      <c r="B27" s="9" t="n">
        <v>3</v>
      </c>
      <c r="C27" s="9" t="n">
        <v>4</v>
      </c>
      <c r="D27" s="9" t="n">
        <v>4</v>
      </c>
      <c r="E27" s="9" t="n">
        <v>4</v>
      </c>
      <c r="F27" s="9" t="n">
        <v>4</v>
      </c>
      <c r="G27" s="9" t="n">
        <v>4</v>
      </c>
      <c r="H27" s="9" t="n">
        <v>5</v>
      </c>
      <c r="I27" s="9" t="n">
        <v>4</v>
      </c>
      <c r="J27" s="9" t="n">
        <v>4</v>
      </c>
      <c r="K27" s="9" t="n">
        <v>4</v>
      </c>
      <c r="L27" s="9" t="n">
        <v>3</v>
      </c>
      <c r="M27" s="9" t="n">
        <v>4</v>
      </c>
      <c r="N27" s="10" t="n">
        <f aca="false">7_樣本B!N25</f>
        <v>3.83333333333333</v>
      </c>
      <c r="O27" s="10" t="n">
        <f aca="false">AVERAGE(B27:M27)</f>
        <v>3.91666666666667</v>
      </c>
      <c r="P27" s="16" t="n">
        <f aca="false">AVERAGE(N27:O27)</f>
        <v>3.875</v>
      </c>
    </row>
    <row r="28" customFormat="false" ht="15" hidden="false" customHeight="false" outlineLevel="0" collapsed="false">
      <c r="A28" s="7" t="s">
        <v>417</v>
      </c>
      <c r="B28" s="9" t="n">
        <v>3</v>
      </c>
      <c r="C28" s="9" t="n">
        <v>3</v>
      </c>
      <c r="D28" s="9" t="n">
        <v>4</v>
      </c>
      <c r="E28" s="9" t="n">
        <v>3</v>
      </c>
      <c r="F28" s="9" t="n">
        <v>4</v>
      </c>
      <c r="G28" s="9" t="n">
        <v>3</v>
      </c>
      <c r="H28" s="9" t="n">
        <v>3</v>
      </c>
      <c r="I28" s="9" t="n">
        <v>3</v>
      </c>
      <c r="J28" s="9" t="n">
        <v>5</v>
      </c>
      <c r="K28" s="9" t="n">
        <v>4</v>
      </c>
      <c r="L28" s="9" t="n">
        <v>4</v>
      </c>
      <c r="M28" s="9" t="n">
        <v>4</v>
      </c>
      <c r="N28" s="10" t="n">
        <f aca="false">7_樣本B!N26</f>
        <v>3.08333333333333</v>
      </c>
      <c r="O28" s="10" t="n">
        <f aca="false">AVERAGE(B28:M28)</f>
        <v>3.58333333333333</v>
      </c>
      <c r="P28" s="16" t="n">
        <f aca="false">AVERAGE(N28:O28)</f>
        <v>3.33333333333333</v>
      </c>
    </row>
    <row r="29" customFormat="false" ht="15" hidden="false" customHeight="false" outlineLevel="0" collapsed="false">
      <c r="A29" s="7" t="s">
        <v>418</v>
      </c>
      <c r="B29" s="9" t="n">
        <v>5</v>
      </c>
      <c r="C29" s="9" t="n">
        <v>5</v>
      </c>
      <c r="D29" s="9" t="n">
        <v>4</v>
      </c>
      <c r="E29" s="9" t="n">
        <v>5</v>
      </c>
      <c r="F29" s="9" t="n">
        <v>4</v>
      </c>
      <c r="G29" s="9" t="n">
        <v>3</v>
      </c>
      <c r="H29" s="9" t="n">
        <v>4</v>
      </c>
      <c r="I29" s="9" t="n">
        <v>4</v>
      </c>
      <c r="J29" s="9" t="n">
        <v>4</v>
      </c>
      <c r="K29" s="9" t="n">
        <v>5</v>
      </c>
      <c r="L29" s="9" t="n">
        <v>3</v>
      </c>
      <c r="M29" s="9" t="n">
        <v>4</v>
      </c>
      <c r="N29" s="10" t="n">
        <f aca="false">7_樣本B!N27</f>
        <v>4.25</v>
      </c>
      <c r="O29" s="10" t="n">
        <f aca="false">AVERAGE(B29:M29)</f>
        <v>4.16666666666667</v>
      </c>
      <c r="P29" s="16" t="n">
        <f aca="false">AVERAGE(N29:O29)</f>
        <v>4.20833333333333</v>
      </c>
    </row>
    <row r="30" customFormat="false" ht="15" hidden="false" customHeight="false" outlineLevel="0" collapsed="false">
      <c r="A30" s="7" t="s">
        <v>419</v>
      </c>
      <c r="B30" s="9" t="n">
        <v>4</v>
      </c>
      <c r="C30" s="9" t="n">
        <v>4</v>
      </c>
      <c r="D30" s="9" t="n">
        <v>4</v>
      </c>
      <c r="E30" s="9" t="n">
        <v>4</v>
      </c>
      <c r="F30" s="9" t="n">
        <v>3</v>
      </c>
      <c r="G30" s="9" t="n">
        <v>5</v>
      </c>
      <c r="H30" s="9" t="n">
        <v>4</v>
      </c>
      <c r="I30" s="9" t="n">
        <v>4</v>
      </c>
      <c r="J30" s="9" t="n">
        <v>4</v>
      </c>
      <c r="K30" s="9" t="n">
        <v>4</v>
      </c>
      <c r="L30" s="9" t="n">
        <v>4</v>
      </c>
      <c r="M30" s="9" t="n">
        <v>3</v>
      </c>
      <c r="N30" s="10" t="n">
        <f aca="false">7_樣本B!N28</f>
        <v>3.91666666666667</v>
      </c>
      <c r="O30" s="10" t="n">
        <f aca="false">AVERAGE(B30:M30)</f>
        <v>3.91666666666667</v>
      </c>
      <c r="P30" s="16" t="n">
        <f aca="false">AVERAGE(N30:O30)</f>
        <v>3.91666666666667</v>
      </c>
    </row>
    <row r="31" customFormat="false" ht="15" hidden="false" customHeight="false" outlineLevel="0" collapsed="false">
      <c r="A31" s="7" t="s">
        <v>420</v>
      </c>
      <c r="B31" s="9" t="n">
        <v>1</v>
      </c>
      <c r="C31" s="9" t="n">
        <v>1</v>
      </c>
      <c r="D31" s="9" t="n">
        <v>2</v>
      </c>
      <c r="E31" s="9" t="n">
        <v>1</v>
      </c>
      <c r="F31" s="9" t="n">
        <v>3</v>
      </c>
      <c r="G31" s="9" t="n">
        <v>3</v>
      </c>
      <c r="H31" s="9" t="n">
        <v>2</v>
      </c>
      <c r="I31" s="9" t="n">
        <v>2</v>
      </c>
      <c r="J31" s="9" t="n">
        <v>5</v>
      </c>
      <c r="K31" s="9" t="n">
        <v>4</v>
      </c>
      <c r="L31" s="9" t="n">
        <v>4</v>
      </c>
      <c r="M31" s="9" t="n">
        <v>3</v>
      </c>
      <c r="N31" s="10" t="n">
        <f aca="false">7_樣本B!N29</f>
        <v>2.08333333333333</v>
      </c>
      <c r="O31" s="10" t="n">
        <f aca="false">AVERAGE(B31:M31)</f>
        <v>2.58333333333333</v>
      </c>
      <c r="P31" s="16" t="n">
        <f aca="false">AVERAGE(N31:O31)</f>
        <v>2.33333333333333</v>
      </c>
    </row>
    <row r="32" customFormat="false" ht="15" hidden="false" customHeight="false" outlineLevel="0" collapsed="false">
      <c r="A32" s="7" t="s">
        <v>421</v>
      </c>
      <c r="B32" s="9" t="n">
        <v>4</v>
      </c>
      <c r="C32" s="9" t="n">
        <v>4</v>
      </c>
      <c r="D32" s="9" t="n">
        <v>3</v>
      </c>
      <c r="E32" s="9" t="n">
        <v>4</v>
      </c>
      <c r="F32" s="9" t="n">
        <v>5</v>
      </c>
      <c r="G32" s="9" t="n">
        <v>4</v>
      </c>
      <c r="H32" s="9" t="n">
        <v>5</v>
      </c>
      <c r="I32" s="9" t="n">
        <v>4</v>
      </c>
      <c r="J32" s="9" t="n">
        <v>4</v>
      </c>
      <c r="K32" s="9" t="n">
        <v>5</v>
      </c>
      <c r="L32" s="9" t="n">
        <v>4</v>
      </c>
      <c r="M32" s="9" t="n">
        <v>4</v>
      </c>
      <c r="N32" s="10" t="n">
        <f aca="false">7_樣本B!N30</f>
        <v>4.25</v>
      </c>
      <c r="O32" s="10" t="n">
        <f aca="false">AVERAGE(B32:M32)</f>
        <v>4.16666666666667</v>
      </c>
      <c r="P32" s="16" t="n">
        <f aca="false">AVERAGE(N32:O32)</f>
        <v>4.20833333333333</v>
      </c>
    </row>
    <row r="33" customFormat="false" ht="15" hidden="false" customHeight="false" outlineLevel="0" collapsed="false">
      <c r="A33" s="7" t="s">
        <v>422</v>
      </c>
      <c r="B33" s="9" t="n">
        <v>4</v>
      </c>
      <c r="C33" s="9" t="n">
        <v>4</v>
      </c>
      <c r="D33" s="9" t="n">
        <v>4</v>
      </c>
      <c r="E33" s="9" t="n">
        <v>4</v>
      </c>
      <c r="F33" s="9" t="n">
        <v>4</v>
      </c>
      <c r="G33" s="9" t="n">
        <v>3</v>
      </c>
      <c r="H33" s="9" t="n">
        <v>4</v>
      </c>
      <c r="I33" s="9" t="n">
        <v>4</v>
      </c>
      <c r="J33" s="9" t="n">
        <v>3</v>
      </c>
      <c r="K33" s="9" t="n">
        <v>3</v>
      </c>
      <c r="L33" s="9" t="n">
        <v>3</v>
      </c>
      <c r="M33" s="9" t="n">
        <v>2</v>
      </c>
      <c r="N33" s="10" t="n">
        <f aca="false">7_樣本B!N31</f>
        <v>3.66666666666667</v>
      </c>
      <c r="O33" s="10" t="n">
        <f aca="false">AVERAGE(B33:M33)</f>
        <v>3.5</v>
      </c>
      <c r="P33" s="16" t="n">
        <f aca="false">AVERAGE(N33:O33)</f>
        <v>3.58333333333333</v>
      </c>
    </row>
    <row r="34" customFormat="false" ht="15" hidden="false" customHeight="false" outlineLevel="0" collapsed="false">
      <c r="A34" s="7" t="s">
        <v>423</v>
      </c>
      <c r="B34" s="9" t="n">
        <v>1</v>
      </c>
      <c r="C34" s="9" t="n">
        <v>2</v>
      </c>
      <c r="D34" s="9" t="n">
        <v>1</v>
      </c>
      <c r="E34" s="9" t="n">
        <v>4</v>
      </c>
      <c r="F34" s="9" t="n">
        <v>4</v>
      </c>
      <c r="G34" s="9" t="n">
        <v>4</v>
      </c>
      <c r="H34" s="9" t="n">
        <v>3</v>
      </c>
      <c r="I34" s="9" t="n">
        <v>4</v>
      </c>
      <c r="J34" s="9" t="n">
        <v>3</v>
      </c>
      <c r="K34" s="9" t="n">
        <v>3</v>
      </c>
      <c r="L34" s="9" t="n">
        <v>2</v>
      </c>
      <c r="M34" s="9" t="n">
        <v>2</v>
      </c>
      <c r="N34" s="10" t="n">
        <f aca="false">7_樣本B!N32</f>
        <v>3.08333333333333</v>
      </c>
      <c r="O34" s="10" t="n">
        <f aca="false">AVERAGE(B34:M34)</f>
        <v>2.75</v>
      </c>
      <c r="P34" s="16" t="n">
        <f aca="false">AVERAGE(N34:O34)</f>
        <v>2.91666666666667</v>
      </c>
    </row>
    <row r="35" customFormat="false" ht="15" hidden="false" customHeight="false" outlineLevel="0" collapsed="false">
      <c r="A35" s="7" t="s">
        <v>424</v>
      </c>
      <c r="B35" s="9" t="n">
        <v>4</v>
      </c>
      <c r="C35" s="9" t="n">
        <v>5</v>
      </c>
      <c r="D35" s="9" t="n">
        <v>4</v>
      </c>
      <c r="E35" s="9" t="n">
        <v>5</v>
      </c>
      <c r="F35" s="9" t="n">
        <v>5</v>
      </c>
      <c r="G35" s="9" t="n">
        <v>4</v>
      </c>
      <c r="H35" s="9" t="n">
        <v>5</v>
      </c>
      <c r="I35" s="9" t="n">
        <v>5</v>
      </c>
      <c r="J35" s="9" t="n">
        <v>5</v>
      </c>
      <c r="K35" s="9" t="n">
        <v>5</v>
      </c>
      <c r="L35" s="9" t="n">
        <v>5</v>
      </c>
      <c r="M35" s="9" t="n">
        <v>5</v>
      </c>
      <c r="N35" s="10" t="n">
        <f aca="false">7_樣本B!N33</f>
        <v>4.33333333333333</v>
      </c>
      <c r="O35" s="10" t="n">
        <f aca="false">AVERAGE(B35:M35)</f>
        <v>4.75</v>
      </c>
      <c r="P35" s="16" t="n">
        <f aca="false">AVERAGE(N35:O35)</f>
        <v>4.54166666666667</v>
      </c>
    </row>
    <row r="36" customFormat="false" ht="15" hidden="false" customHeight="false" outlineLevel="0" collapsed="false">
      <c r="A36" s="7" t="s">
        <v>425</v>
      </c>
      <c r="B36" s="9" t="n">
        <v>3</v>
      </c>
      <c r="C36" s="9" t="n">
        <v>2</v>
      </c>
      <c r="D36" s="9" t="n">
        <v>3</v>
      </c>
      <c r="E36" s="9" t="n">
        <v>3</v>
      </c>
      <c r="F36" s="9" t="n">
        <v>5</v>
      </c>
      <c r="G36" s="9" t="n">
        <v>4</v>
      </c>
      <c r="H36" s="9" t="n">
        <v>5</v>
      </c>
      <c r="I36" s="9" t="n">
        <v>4</v>
      </c>
      <c r="J36" s="9" t="n">
        <v>3</v>
      </c>
      <c r="K36" s="9" t="n">
        <v>4</v>
      </c>
      <c r="L36" s="9" t="n">
        <v>4</v>
      </c>
      <c r="M36" s="9" t="n">
        <v>3</v>
      </c>
      <c r="N36" s="10" t="n">
        <f aca="false">7_樣本B!N34</f>
        <v>3.33333333333333</v>
      </c>
      <c r="O36" s="10" t="n">
        <f aca="false">AVERAGE(B36:M36)</f>
        <v>3.58333333333333</v>
      </c>
      <c r="P36" s="16" t="n">
        <f aca="false">AVERAGE(N36:O36)</f>
        <v>3.45833333333333</v>
      </c>
    </row>
    <row r="37" customFormat="false" ht="15" hidden="false" customHeight="false" outlineLevel="0" collapsed="false">
      <c r="A37" s="7" t="s">
        <v>426</v>
      </c>
      <c r="B37" s="9" t="n">
        <v>5</v>
      </c>
      <c r="C37" s="9" t="n">
        <v>5</v>
      </c>
      <c r="D37" s="9" t="n">
        <v>5</v>
      </c>
      <c r="E37" s="9" t="n">
        <v>5</v>
      </c>
      <c r="F37" s="9" t="n">
        <v>5</v>
      </c>
      <c r="G37" s="9" t="n">
        <v>4</v>
      </c>
      <c r="H37" s="9" t="n">
        <v>5</v>
      </c>
      <c r="I37" s="9" t="n">
        <v>5</v>
      </c>
      <c r="J37" s="9" t="n">
        <v>4</v>
      </c>
      <c r="K37" s="9" t="n">
        <v>3</v>
      </c>
      <c r="L37" s="9" t="n">
        <v>3</v>
      </c>
      <c r="M37" s="9" t="n">
        <v>4</v>
      </c>
      <c r="N37" s="10" t="n">
        <f aca="false">7_樣本B!N35</f>
        <v>4.58333333333333</v>
      </c>
      <c r="O37" s="10" t="n">
        <f aca="false">AVERAGE(B37:M37)</f>
        <v>4.41666666666667</v>
      </c>
      <c r="P37" s="16" t="n">
        <f aca="false">AVERAGE(N37:O37)</f>
        <v>4.5</v>
      </c>
    </row>
    <row r="38" customFormat="false" ht="15" hidden="false" customHeight="false" outlineLevel="0" collapsed="false">
      <c r="A38" s="7" t="s">
        <v>427</v>
      </c>
      <c r="B38" s="9" t="n">
        <v>5</v>
      </c>
      <c r="C38" s="9" t="n">
        <v>4</v>
      </c>
      <c r="D38" s="9" t="n">
        <v>5</v>
      </c>
      <c r="E38" s="9" t="n">
        <v>5</v>
      </c>
      <c r="F38" s="9" t="n">
        <v>4</v>
      </c>
      <c r="G38" s="9" t="n">
        <v>3</v>
      </c>
      <c r="H38" s="9" t="n">
        <v>4</v>
      </c>
      <c r="I38" s="9" t="n">
        <v>4</v>
      </c>
      <c r="J38" s="9" t="n">
        <v>5</v>
      </c>
      <c r="K38" s="9" t="n">
        <v>5</v>
      </c>
      <c r="L38" s="9" t="n">
        <v>5</v>
      </c>
      <c r="M38" s="9" t="n">
        <v>5</v>
      </c>
      <c r="N38" s="10" t="n">
        <f aca="false">7_樣本B!N36</f>
        <v>4.08333333333333</v>
      </c>
      <c r="O38" s="10" t="n">
        <f aca="false">AVERAGE(B38:M38)</f>
        <v>4.5</v>
      </c>
      <c r="P38" s="16" t="n">
        <f aca="false">AVERAGE(N38:O38)</f>
        <v>4.29166666666667</v>
      </c>
    </row>
    <row r="39" customFormat="false" ht="15" hidden="false" customHeight="false" outlineLevel="0" collapsed="false">
      <c r="A39" s="7" t="s">
        <v>428</v>
      </c>
      <c r="B39" s="9" t="n">
        <v>5</v>
      </c>
      <c r="C39" s="9" t="n">
        <v>5</v>
      </c>
      <c r="D39" s="9" t="n">
        <v>4</v>
      </c>
      <c r="E39" s="9" t="n">
        <v>3</v>
      </c>
      <c r="F39" s="9" t="n">
        <v>4</v>
      </c>
      <c r="G39" s="9" t="n">
        <v>4</v>
      </c>
      <c r="H39" s="9" t="n">
        <v>4</v>
      </c>
      <c r="I39" s="9" t="n">
        <v>4</v>
      </c>
      <c r="J39" s="9" t="n">
        <v>4</v>
      </c>
      <c r="K39" s="9" t="n">
        <v>4</v>
      </c>
      <c r="L39" s="9" t="n">
        <v>4</v>
      </c>
      <c r="M39" s="9" t="n">
        <v>4</v>
      </c>
      <c r="N39" s="10" t="n">
        <f aca="false">7_樣本B!N37</f>
        <v>4.33333333333333</v>
      </c>
      <c r="O39" s="10" t="n">
        <f aca="false">AVERAGE(B39:M39)</f>
        <v>4.08333333333333</v>
      </c>
      <c r="P39" s="16" t="n">
        <f aca="false">AVERAGE(N39:O39)</f>
        <v>4.20833333333333</v>
      </c>
    </row>
    <row r="40" customFormat="false" ht="15" hidden="false" customHeight="false" outlineLevel="0" collapsed="false">
      <c r="A40" s="7" t="s">
        <v>429</v>
      </c>
      <c r="B40" s="9" t="n">
        <v>2</v>
      </c>
      <c r="C40" s="9" t="n">
        <v>2</v>
      </c>
      <c r="D40" s="9" t="n">
        <v>3</v>
      </c>
      <c r="E40" s="9" t="n">
        <v>2</v>
      </c>
      <c r="F40" s="9" t="n">
        <v>2</v>
      </c>
      <c r="G40" s="9" t="n">
        <v>3</v>
      </c>
      <c r="H40" s="9" t="n">
        <v>2</v>
      </c>
      <c r="I40" s="9" t="n">
        <v>2</v>
      </c>
      <c r="J40" s="9" t="n">
        <v>3</v>
      </c>
      <c r="K40" s="9" t="n">
        <v>3</v>
      </c>
      <c r="L40" s="9" t="n">
        <v>3</v>
      </c>
      <c r="M40" s="9" t="n">
        <v>3</v>
      </c>
      <c r="N40" s="10" t="n">
        <f aca="false">7_樣本B!N38</f>
        <v>2.83333333333333</v>
      </c>
      <c r="O40" s="10" t="n">
        <f aca="false">AVERAGE(B40:M40)</f>
        <v>2.5</v>
      </c>
      <c r="P40" s="16" t="n">
        <f aca="false">AVERAGE(N40:O40)</f>
        <v>2.66666666666667</v>
      </c>
    </row>
    <row r="41" customFormat="false" ht="15" hidden="false" customHeight="false" outlineLevel="0" collapsed="false">
      <c r="A41" s="7" t="s">
        <v>430</v>
      </c>
      <c r="B41" s="9" t="n">
        <v>4</v>
      </c>
      <c r="C41" s="9" t="n">
        <v>3</v>
      </c>
      <c r="D41" s="9" t="n">
        <v>4</v>
      </c>
      <c r="E41" s="9" t="n">
        <v>3</v>
      </c>
      <c r="F41" s="9" t="n">
        <v>2</v>
      </c>
      <c r="G41" s="9" t="n">
        <v>2</v>
      </c>
      <c r="H41" s="9" t="n">
        <v>3</v>
      </c>
      <c r="I41" s="9" t="n">
        <v>2</v>
      </c>
      <c r="J41" s="9" t="n">
        <v>3</v>
      </c>
      <c r="K41" s="9" t="n">
        <v>3</v>
      </c>
      <c r="L41" s="9" t="n">
        <v>3</v>
      </c>
      <c r="M41" s="9" t="n">
        <v>2</v>
      </c>
      <c r="N41" s="10" t="n">
        <f aca="false">7_樣本B!N39</f>
        <v>3.08333333333333</v>
      </c>
      <c r="O41" s="10" t="n">
        <f aca="false">AVERAGE(B41:M41)</f>
        <v>2.83333333333333</v>
      </c>
      <c r="P41" s="16" t="n">
        <f aca="false">AVERAGE(N41:O41)</f>
        <v>2.95833333333333</v>
      </c>
    </row>
    <row r="42" customFormat="false" ht="15" hidden="false" customHeight="false" outlineLevel="0" collapsed="false">
      <c r="A42" s="7" t="s">
        <v>431</v>
      </c>
      <c r="B42" s="9" t="n">
        <v>4</v>
      </c>
      <c r="C42" s="9" t="n">
        <v>4</v>
      </c>
      <c r="D42" s="9" t="n">
        <v>3</v>
      </c>
      <c r="E42" s="9" t="n">
        <v>4</v>
      </c>
      <c r="F42" s="9" t="n">
        <v>2</v>
      </c>
      <c r="G42" s="9" t="n">
        <v>1</v>
      </c>
      <c r="H42" s="9" t="n">
        <v>1</v>
      </c>
      <c r="I42" s="9" t="n">
        <v>2</v>
      </c>
      <c r="J42" s="9" t="n">
        <v>3</v>
      </c>
      <c r="K42" s="9" t="n">
        <v>2</v>
      </c>
      <c r="L42" s="9" t="n">
        <v>3</v>
      </c>
      <c r="M42" s="9" t="n">
        <v>4</v>
      </c>
      <c r="N42" s="10" t="n">
        <f aca="false">7_樣本B!N40</f>
        <v>3.25</v>
      </c>
      <c r="O42" s="10" t="n">
        <f aca="false">AVERAGE(B42:M42)</f>
        <v>2.75</v>
      </c>
      <c r="P42" s="16" t="n">
        <f aca="false">AVERAGE(N42:O42)</f>
        <v>3</v>
      </c>
    </row>
    <row r="43" customFormat="false" ht="15" hidden="false" customHeight="false" outlineLevel="0" collapsed="false">
      <c r="A43" s="7" t="s">
        <v>432</v>
      </c>
      <c r="B43" s="9" t="n">
        <v>4</v>
      </c>
      <c r="C43" s="9" t="n">
        <v>4</v>
      </c>
      <c r="D43" s="9" t="n">
        <v>4</v>
      </c>
      <c r="E43" s="9" t="n">
        <v>4</v>
      </c>
      <c r="F43" s="9" t="n">
        <v>3</v>
      </c>
      <c r="G43" s="9" t="n">
        <v>4</v>
      </c>
      <c r="H43" s="9" t="n">
        <v>3</v>
      </c>
      <c r="I43" s="9" t="n">
        <v>4</v>
      </c>
      <c r="J43" s="9" t="n">
        <v>3</v>
      </c>
      <c r="K43" s="9" t="n">
        <v>2</v>
      </c>
      <c r="L43" s="9" t="n">
        <v>2</v>
      </c>
      <c r="M43" s="9" t="n">
        <v>3</v>
      </c>
      <c r="N43" s="10" t="n">
        <f aca="false">7_樣本B!N41</f>
        <v>2.83333333333333</v>
      </c>
      <c r="O43" s="10" t="n">
        <f aca="false">AVERAGE(B43:M43)</f>
        <v>3.33333333333333</v>
      </c>
      <c r="P43" s="16" t="n">
        <f aca="false">AVERAGE(N43:O43)</f>
        <v>3.08333333333333</v>
      </c>
    </row>
    <row r="44" customFormat="false" ht="15" hidden="false" customHeight="false" outlineLevel="0" collapsed="false">
      <c r="A44" s="7" t="s">
        <v>433</v>
      </c>
      <c r="B44" s="9" t="n">
        <v>4</v>
      </c>
      <c r="C44" s="9" t="n">
        <v>4</v>
      </c>
      <c r="D44" s="9" t="n">
        <v>4</v>
      </c>
      <c r="E44" s="9" t="n">
        <v>4</v>
      </c>
      <c r="F44" s="9" t="n">
        <v>4</v>
      </c>
      <c r="G44" s="9" t="n">
        <v>4</v>
      </c>
      <c r="H44" s="9" t="n">
        <v>4</v>
      </c>
      <c r="I44" s="9" t="n">
        <v>4</v>
      </c>
      <c r="J44" s="9" t="n">
        <v>4</v>
      </c>
      <c r="K44" s="9" t="n">
        <v>3</v>
      </c>
      <c r="L44" s="9" t="n">
        <v>3</v>
      </c>
      <c r="M44" s="9" t="n">
        <v>4</v>
      </c>
      <c r="N44" s="10" t="n">
        <f aca="false">7_樣本B!N42</f>
        <v>3.58333333333333</v>
      </c>
      <c r="O44" s="10" t="n">
        <f aca="false">AVERAGE(B44:M44)</f>
        <v>3.83333333333333</v>
      </c>
      <c r="P44" s="16" t="n">
        <f aca="false">AVERAGE(N44:O44)</f>
        <v>3.70833333333333</v>
      </c>
    </row>
    <row r="45" customFormat="false" ht="15" hidden="false" customHeight="false" outlineLevel="0" collapsed="false">
      <c r="A45" s="7" t="s">
        <v>434</v>
      </c>
      <c r="B45" s="9" t="n">
        <v>4</v>
      </c>
      <c r="C45" s="9" t="n">
        <v>2</v>
      </c>
      <c r="D45" s="9" t="n">
        <v>4</v>
      </c>
      <c r="E45" s="9" t="n">
        <v>3</v>
      </c>
      <c r="F45" s="9" t="n">
        <v>3</v>
      </c>
      <c r="G45" s="9" t="n">
        <v>2</v>
      </c>
      <c r="H45" s="9" t="n">
        <v>3</v>
      </c>
      <c r="I45" s="9" t="n">
        <v>2</v>
      </c>
      <c r="J45" s="9" t="n">
        <v>4</v>
      </c>
      <c r="K45" s="9" t="n">
        <v>4</v>
      </c>
      <c r="L45" s="9" t="n">
        <v>4</v>
      </c>
      <c r="M45" s="9" t="n">
        <v>4</v>
      </c>
      <c r="N45" s="10" t="n">
        <f aca="false">7_樣本B!N43</f>
        <v>3.5</v>
      </c>
      <c r="O45" s="10" t="n">
        <f aca="false">AVERAGE(B45:M45)</f>
        <v>3.25</v>
      </c>
      <c r="P45" s="16" t="n">
        <f aca="false">AVERAGE(N45:O45)</f>
        <v>3.375</v>
      </c>
    </row>
    <row r="46" customFormat="false" ht="15" hidden="false" customHeight="false" outlineLevel="0" collapsed="false">
      <c r="A46" s="7" t="s">
        <v>435</v>
      </c>
      <c r="B46" s="9" t="n">
        <v>4</v>
      </c>
      <c r="C46" s="9" t="n">
        <v>5</v>
      </c>
      <c r="D46" s="9" t="n">
        <v>5</v>
      </c>
      <c r="E46" s="9" t="n">
        <v>5</v>
      </c>
      <c r="F46" s="9" t="n">
        <v>4</v>
      </c>
      <c r="G46" s="9" t="n">
        <v>4</v>
      </c>
      <c r="H46" s="9" t="n">
        <v>4</v>
      </c>
      <c r="I46" s="9" t="n">
        <v>5</v>
      </c>
      <c r="J46" s="9" t="n">
        <v>3</v>
      </c>
      <c r="K46" s="9" t="n">
        <v>4</v>
      </c>
      <c r="L46" s="9" t="n">
        <v>5</v>
      </c>
      <c r="M46" s="9" t="n">
        <v>4</v>
      </c>
      <c r="N46" s="10" t="n">
        <f aca="false">7_樣本B!N44</f>
        <v>3.83333333333333</v>
      </c>
      <c r="O46" s="10" t="n">
        <f aca="false">AVERAGE(B46:M46)</f>
        <v>4.33333333333333</v>
      </c>
      <c r="P46" s="16" t="n">
        <f aca="false">AVERAGE(N46:O46)</f>
        <v>4.08333333333333</v>
      </c>
    </row>
    <row r="47" customFormat="false" ht="15" hidden="false" customHeight="false" outlineLevel="0" collapsed="false">
      <c r="A47" s="7" t="s">
        <v>436</v>
      </c>
      <c r="B47" s="9" t="n">
        <v>4</v>
      </c>
      <c r="C47" s="9" t="n">
        <v>3</v>
      </c>
      <c r="D47" s="9" t="n">
        <v>3</v>
      </c>
      <c r="E47" s="9" t="n">
        <v>3</v>
      </c>
      <c r="F47" s="9" t="n">
        <v>4</v>
      </c>
      <c r="G47" s="9" t="n">
        <v>5</v>
      </c>
      <c r="H47" s="9" t="n">
        <v>4</v>
      </c>
      <c r="I47" s="9" t="n">
        <v>4</v>
      </c>
      <c r="J47" s="9" t="n">
        <v>4</v>
      </c>
      <c r="K47" s="9" t="n">
        <v>5</v>
      </c>
      <c r="L47" s="9" t="n">
        <v>4</v>
      </c>
      <c r="M47" s="9" t="n">
        <v>5</v>
      </c>
      <c r="N47" s="10" t="n">
        <f aca="false">7_樣本B!N45</f>
        <v>3.91666666666667</v>
      </c>
      <c r="O47" s="10" t="n">
        <f aca="false">AVERAGE(B47:M47)</f>
        <v>4</v>
      </c>
      <c r="P47" s="16" t="n">
        <f aca="false">AVERAGE(N47:O47)</f>
        <v>3.95833333333333</v>
      </c>
    </row>
    <row r="48" customFormat="false" ht="15" hidden="false" customHeight="false" outlineLevel="0" collapsed="false">
      <c r="A48" s="7" t="s">
        <v>437</v>
      </c>
      <c r="B48" s="9" t="n">
        <v>3</v>
      </c>
      <c r="C48" s="9" t="n">
        <v>4</v>
      </c>
      <c r="D48" s="9" t="n">
        <v>3</v>
      </c>
      <c r="E48" s="9" t="n">
        <v>4</v>
      </c>
      <c r="F48" s="9" t="n">
        <v>3</v>
      </c>
      <c r="G48" s="9" t="n">
        <v>3</v>
      </c>
      <c r="H48" s="9" t="n">
        <v>2</v>
      </c>
      <c r="I48" s="9" t="n">
        <v>3</v>
      </c>
      <c r="J48" s="9" t="n">
        <v>4</v>
      </c>
      <c r="K48" s="9" t="n">
        <v>2</v>
      </c>
      <c r="L48" s="9" t="n">
        <v>3</v>
      </c>
      <c r="M48" s="9" t="n">
        <v>3</v>
      </c>
      <c r="N48" s="10" t="n">
        <f aca="false">7_樣本B!N46</f>
        <v>2.91666666666667</v>
      </c>
      <c r="O48" s="10" t="n">
        <f aca="false">AVERAGE(B48:M48)</f>
        <v>3.08333333333333</v>
      </c>
      <c r="P48" s="16" t="n">
        <f aca="false">AVERAGE(N48:O48)</f>
        <v>3</v>
      </c>
    </row>
    <row r="49" customFormat="false" ht="15" hidden="false" customHeight="false" outlineLevel="0" collapsed="false">
      <c r="A49" s="7" t="s">
        <v>438</v>
      </c>
      <c r="B49" s="9" t="n">
        <v>4</v>
      </c>
      <c r="C49" s="9" t="n">
        <v>4</v>
      </c>
      <c r="D49" s="9" t="n">
        <v>4</v>
      </c>
      <c r="E49" s="9" t="n">
        <v>3</v>
      </c>
      <c r="F49" s="9" t="n">
        <v>2</v>
      </c>
      <c r="G49" s="9" t="n">
        <v>3</v>
      </c>
      <c r="H49" s="9" t="n">
        <v>2</v>
      </c>
      <c r="I49" s="9" t="n">
        <v>2</v>
      </c>
      <c r="J49" s="9" t="n">
        <v>3</v>
      </c>
      <c r="K49" s="9" t="n">
        <v>2</v>
      </c>
      <c r="L49" s="9" t="n">
        <v>2</v>
      </c>
      <c r="M49" s="9" t="n">
        <v>4</v>
      </c>
      <c r="N49" s="10" t="n">
        <f aca="false">7_樣本B!N47</f>
        <v>3.08333333333333</v>
      </c>
      <c r="O49" s="10" t="n">
        <f aca="false">AVERAGE(B49:M49)</f>
        <v>2.91666666666667</v>
      </c>
      <c r="P49" s="16" t="n">
        <f aca="false">AVERAGE(N49:O49)</f>
        <v>3</v>
      </c>
    </row>
    <row r="50" customFormat="false" ht="15" hidden="false" customHeight="false" outlineLevel="0" collapsed="false">
      <c r="A50" s="7" t="s">
        <v>439</v>
      </c>
      <c r="B50" s="9" t="n">
        <v>3</v>
      </c>
      <c r="C50" s="9" t="n">
        <v>3</v>
      </c>
      <c r="D50" s="9" t="n">
        <v>4</v>
      </c>
      <c r="E50" s="9" t="n">
        <v>3</v>
      </c>
      <c r="F50" s="9" t="n">
        <v>3</v>
      </c>
      <c r="G50" s="9" t="n">
        <v>5</v>
      </c>
      <c r="H50" s="9" t="n">
        <v>4</v>
      </c>
      <c r="I50" s="9" t="n">
        <v>3</v>
      </c>
      <c r="J50" s="9" t="n">
        <v>3</v>
      </c>
      <c r="K50" s="9" t="n">
        <v>4</v>
      </c>
      <c r="L50" s="9" t="n">
        <v>4</v>
      </c>
      <c r="M50" s="9" t="n">
        <v>4</v>
      </c>
      <c r="N50" s="10" t="n">
        <f aca="false">7_樣本B!N48</f>
        <v>3.91666666666667</v>
      </c>
      <c r="O50" s="10" t="n">
        <f aca="false">AVERAGE(B50:M50)</f>
        <v>3.58333333333333</v>
      </c>
      <c r="P50" s="16" t="n">
        <f aca="false">AVERAGE(N50:O50)</f>
        <v>3.75</v>
      </c>
    </row>
    <row r="51" customFormat="false" ht="15" hidden="false" customHeight="false" outlineLevel="0" collapsed="false">
      <c r="A51" s="7" t="s">
        <v>440</v>
      </c>
      <c r="B51" s="9" t="n">
        <v>5</v>
      </c>
      <c r="C51" s="9" t="n">
        <v>5</v>
      </c>
      <c r="D51" s="9" t="n">
        <v>4</v>
      </c>
      <c r="E51" s="9" t="n">
        <v>5</v>
      </c>
      <c r="F51" s="9" t="n">
        <v>5</v>
      </c>
      <c r="G51" s="9" t="n">
        <v>5</v>
      </c>
      <c r="H51" s="9" t="n">
        <v>5</v>
      </c>
      <c r="I51" s="9" t="n">
        <v>5</v>
      </c>
      <c r="J51" s="9" t="n">
        <v>4</v>
      </c>
      <c r="K51" s="9" t="n">
        <v>5</v>
      </c>
      <c r="L51" s="9" t="n">
        <v>4</v>
      </c>
      <c r="M51" s="9" t="n">
        <v>4</v>
      </c>
      <c r="N51" s="10" t="n">
        <f aca="false">7_樣本B!N49</f>
        <v>4.41666666666667</v>
      </c>
      <c r="O51" s="10" t="n">
        <f aca="false">AVERAGE(B51:M51)</f>
        <v>4.66666666666667</v>
      </c>
      <c r="P51" s="16" t="n">
        <f aca="false">AVERAGE(N51:O51)</f>
        <v>4.54166666666667</v>
      </c>
    </row>
    <row r="52" customFormat="false" ht="15" hidden="false" customHeight="false" outlineLevel="0" collapsed="false">
      <c r="A52" s="7" t="s">
        <v>441</v>
      </c>
      <c r="B52" s="9" t="n">
        <v>5</v>
      </c>
      <c r="C52" s="9" t="n">
        <v>5</v>
      </c>
      <c r="D52" s="9" t="n">
        <v>5</v>
      </c>
      <c r="E52" s="9" t="n">
        <v>5</v>
      </c>
      <c r="F52" s="9" t="n">
        <v>4</v>
      </c>
      <c r="G52" s="9" t="n">
        <v>4</v>
      </c>
      <c r="H52" s="9" t="n">
        <v>5</v>
      </c>
      <c r="I52" s="9" t="n">
        <v>4</v>
      </c>
      <c r="J52" s="9" t="n">
        <v>4</v>
      </c>
      <c r="K52" s="9" t="n">
        <v>5</v>
      </c>
      <c r="L52" s="9" t="n">
        <v>4</v>
      </c>
      <c r="M52" s="9" t="n">
        <v>5</v>
      </c>
      <c r="N52" s="10" t="n">
        <f aca="false">7_樣本B!N50</f>
        <v>4.33333333333333</v>
      </c>
      <c r="O52" s="10" t="n">
        <f aca="false">AVERAGE(B52:M52)</f>
        <v>4.58333333333333</v>
      </c>
      <c r="P52" s="16" t="n">
        <f aca="false">AVERAGE(N52:O52)</f>
        <v>4.45833333333333</v>
      </c>
    </row>
    <row r="53" customFormat="false" ht="15" hidden="false" customHeight="false" outlineLevel="0" collapsed="false">
      <c r="A53" s="7" t="s">
        <v>442</v>
      </c>
      <c r="B53" s="9" t="n">
        <v>4</v>
      </c>
      <c r="C53" s="9" t="n">
        <v>3</v>
      </c>
      <c r="D53" s="9" t="n">
        <v>3</v>
      </c>
      <c r="E53" s="9" t="n">
        <v>3</v>
      </c>
      <c r="F53" s="9" t="n">
        <v>4</v>
      </c>
      <c r="G53" s="9" t="n">
        <v>4</v>
      </c>
      <c r="H53" s="9" t="n">
        <v>3</v>
      </c>
      <c r="I53" s="9" t="n">
        <v>3</v>
      </c>
      <c r="J53" s="9" t="n">
        <v>4</v>
      </c>
      <c r="K53" s="9" t="n">
        <v>4</v>
      </c>
      <c r="L53" s="9" t="n">
        <v>4</v>
      </c>
      <c r="M53" s="9" t="n">
        <v>3</v>
      </c>
      <c r="N53" s="10" t="n">
        <f aca="false">7_樣本B!N51</f>
        <v>3.08333333333333</v>
      </c>
      <c r="O53" s="10" t="n">
        <f aca="false">AVERAGE(B53:M53)</f>
        <v>3.5</v>
      </c>
      <c r="P53" s="16" t="n">
        <f aca="false">AVERAGE(N53:O53)</f>
        <v>3.29166666666667</v>
      </c>
    </row>
    <row r="54" customFormat="false" ht="15" hidden="false" customHeight="false" outlineLevel="0" collapsed="false">
      <c r="A54" s="7" t="s">
        <v>443</v>
      </c>
      <c r="B54" s="9" t="n">
        <v>5</v>
      </c>
      <c r="C54" s="9" t="n">
        <v>3</v>
      </c>
      <c r="D54" s="9" t="n">
        <v>4</v>
      </c>
      <c r="E54" s="9" t="n">
        <v>4</v>
      </c>
      <c r="F54" s="9" t="n">
        <v>4</v>
      </c>
      <c r="G54" s="9" t="n">
        <v>3</v>
      </c>
      <c r="H54" s="9" t="n">
        <v>4</v>
      </c>
      <c r="I54" s="9" t="n">
        <v>4</v>
      </c>
      <c r="J54" s="9" t="n">
        <v>3</v>
      </c>
      <c r="K54" s="9" t="n">
        <v>4</v>
      </c>
      <c r="L54" s="9" t="n">
        <v>5</v>
      </c>
      <c r="M54" s="9" t="n">
        <v>3</v>
      </c>
      <c r="N54" s="10" t="n">
        <f aca="false">7_樣本B!N52</f>
        <v>3.5</v>
      </c>
      <c r="O54" s="10" t="n">
        <f aca="false">AVERAGE(B54:M54)</f>
        <v>3.83333333333333</v>
      </c>
      <c r="P54" s="16" t="n">
        <f aca="false">AVERAGE(N54:O54)</f>
        <v>3.66666666666667</v>
      </c>
    </row>
    <row r="55" customFormat="false" ht="15" hidden="false" customHeight="false" outlineLevel="0" collapsed="false">
      <c r="A55" s="7" t="s">
        <v>444</v>
      </c>
      <c r="B55" s="9" t="n">
        <v>5</v>
      </c>
      <c r="C55" s="9" t="n">
        <v>4</v>
      </c>
      <c r="D55" s="9" t="n">
        <v>4</v>
      </c>
      <c r="E55" s="9" t="n">
        <v>5</v>
      </c>
      <c r="F55" s="9" t="n">
        <v>3</v>
      </c>
      <c r="G55" s="9" t="n">
        <v>5</v>
      </c>
      <c r="H55" s="9" t="n">
        <v>3</v>
      </c>
      <c r="I55" s="9" t="n">
        <v>5</v>
      </c>
      <c r="J55" s="9" t="n">
        <v>4</v>
      </c>
      <c r="K55" s="9" t="n">
        <v>4</v>
      </c>
      <c r="L55" s="9" t="n">
        <v>4</v>
      </c>
      <c r="M55" s="9" t="n">
        <v>3</v>
      </c>
      <c r="N55" s="10" t="n">
        <f aca="false">7_樣本B!N53</f>
        <v>3.41666666666667</v>
      </c>
      <c r="O55" s="10" t="n">
        <f aca="false">AVERAGE(B55:M55)</f>
        <v>4.08333333333333</v>
      </c>
      <c r="P55" s="16" t="n">
        <f aca="false">AVERAGE(N55:O55)</f>
        <v>3.75</v>
      </c>
    </row>
    <row r="56" customFormat="false" ht="15" hidden="false" customHeight="false" outlineLevel="0" collapsed="false">
      <c r="A56" s="7" t="s">
        <v>445</v>
      </c>
      <c r="B56" s="9" t="n">
        <v>4</v>
      </c>
      <c r="C56" s="9" t="n">
        <v>4</v>
      </c>
      <c r="D56" s="9" t="n">
        <v>3</v>
      </c>
      <c r="E56" s="9" t="n">
        <v>4</v>
      </c>
      <c r="F56" s="9" t="n">
        <v>3</v>
      </c>
      <c r="G56" s="9" t="n">
        <v>2</v>
      </c>
      <c r="H56" s="9" t="n">
        <v>2</v>
      </c>
      <c r="I56" s="9" t="n">
        <v>1</v>
      </c>
      <c r="J56" s="9" t="n">
        <v>3</v>
      </c>
      <c r="K56" s="9" t="n">
        <v>2</v>
      </c>
      <c r="L56" s="9" t="n">
        <v>2</v>
      </c>
      <c r="M56" s="9" t="n">
        <v>3</v>
      </c>
      <c r="N56" s="10" t="n">
        <f aca="false">7_樣本B!N54</f>
        <v>2.83333333333333</v>
      </c>
      <c r="O56" s="10" t="n">
        <f aca="false">AVERAGE(B56:M56)</f>
        <v>2.75</v>
      </c>
      <c r="P56" s="16" t="n">
        <f aca="false">AVERAGE(N56:O56)</f>
        <v>2.79166666666667</v>
      </c>
    </row>
    <row r="57" customFormat="false" ht="15" hidden="false" customHeight="false" outlineLevel="0" collapsed="false">
      <c r="A57" s="7" t="s">
        <v>446</v>
      </c>
      <c r="B57" s="9" t="n">
        <v>3</v>
      </c>
      <c r="C57" s="9" t="n">
        <v>3</v>
      </c>
      <c r="D57" s="9" t="n">
        <v>3</v>
      </c>
      <c r="E57" s="9" t="n">
        <v>3</v>
      </c>
      <c r="F57" s="9" t="n">
        <v>1</v>
      </c>
      <c r="G57" s="9" t="n">
        <v>2</v>
      </c>
      <c r="H57" s="9" t="n">
        <v>2</v>
      </c>
      <c r="I57" s="9" t="n">
        <v>2</v>
      </c>
      <c r="J57" s="9" t="n">
        <v>3</v>
      </c>
      <c r="K57" s="9" t="n">
        <v>3</v>
      </c>
      <c r="L57" s="9" t="n">
        <v>2</v>
      </c>
      <c r="M57" s="9" t="n">
        <v>3</v>
      </c>
      <c r="N57" s="10" t="n">
        <f aca="false">7_樣本B!N55</f>
        <v>2.41666666666667</v>
      </c>
      <c r="O57" s="10" t="n">
        <f aca="false">AVERAGE(B57:M57)</f>
        <v>2.5</v>
      </c>
      <c r="P57" s="16" t="n">
        <f aca="false">AVERAGE(N57:O57)</f>
        <v>2.45833333333333</v>
      </c>
    </row>
    <row r="58" customFormat="false" ht="15" hidden="false" customHeight="false" outlineLevel="0" collapsed="false">
      <c r="A58" s="7" t="s">
        <v>447</v>
      </c>
      <c r="B58" s="9" t="n">
        <v>4</v>
      </c>
      <c r="C58" s="9" t="n">
        <v>4</v>
      </c>
      <c r="D58" s="9" t="n">
        <v>4</v>
      </c>
      <c r="E58" s="9" t="n">
        <v>4</v>
      </c>
      <c r="F58" s="9" t="n">
        <v>5</v>
      </c>
      <c r="G58" s="9" t="n">
        <v>5</v>
      </c>
      <c r="H58" s="9" t="n">
        <v>4</v>
      </c>
      <c r="I58" s="9" t="n">
        <v>4</v>
      </c>
      <c r="J58" s="9" t="n">
        <v>5</v>
      </c>
      <c r="K58" s="9" t="n">
        <v>5</v>
      </c>
      <c r="L58" s="9" t="n">
        <v>5</v>
      </c>
      <c r="M58" s="9" t="n">
        <v>5</v>
      </c>
      <c r="N58" s="10" t="n">
        <f aca="false">7_樣本B!N56</f>
        <v>4.41666666666667</v>
      </c>
      <c r="O58" s="10" t="n">
        <f aca="false">AVERAGE(B58:M58)</f>
        <v>4.5</v>
      </c>
      <c r="P58" s="16" t="n">
        <f aca="false">AVERAGE(N58:O58)</f>
        <v>4.45833333333333</v>
      </c>
    </row>
    <row r="59" customFormat="false" ht="15" hidden="false" customHeight="false" outlineLevel="0" collapsed="false">
      <c r="A59" s="7" t="s">
        <v>448</v>
      </c>
      <c r="B59" s="9" t="n">
        <v>4</v>
      </c>
      <c r="C59" s="9" t="n">
        <v>4</v>
      </c>
      <c r="D59" s="9" t="n">
        <v>5</v>
      </c>
      <c r="E59" s="9" t="n">
        <v>4</v>
      </c>
      <c r="F59" s="9" t="n">
        <v>4</v>
      </c>
      <c r="G59" s="9" t="n">
        <v>4</v>
      </c>
      <c r="H59" s="9" t="n">
        <v>4</v>
      </c>
      <c r="I59" s="9" t="n">
        <v>5</v>
      </c>
      <c r="J59" s="9" t="n">
        <v>4</v>
      </c>
      <c r="K59" s="9" t="n">
        <v>5</v>
      </c>
      <c r="L59" s="9" t="n">
        <v>4</v>
      </c>
      <c r="M59" s="9" t="n">
        <v>4</v>
      </c>
      <c r="N59" s="10" t="n">
        <f aca="false">7_樣本B!N57</f>
        <v>4.5</v>
      </c>
      <c r="O59" s="10" t="n">
        <f aca="false">AVERAGE(B59:M59)</f>
        <v>4.25</v>
      </c>
      <c r="P59" s="16" t="n">
        <f aca="false">AVERAGE(N59:O59)</f>
        <v>4.375</v>
      </c>
    </row>
    <row r="60" customFormat="false" ht="15" hidden="false" customHeight="false" outlineLevel="0" collapsed="false">
      <c r="A60" s="7" t="s">
        <v>449</v>
      </c>
      <c r="B60" s="9" t="n">
        <v>2</v>
      </c>
      <c r="C60" s="9" t="n">
        <v>3</v>
      </c>
      <c r="D60" s="9" t="n">
        <v>2</v>
      </c>
      <c r="E60" s="9" t="n">
        <v>3</v>
      </c>
      <c r="F60" s="9" t="n">
        <v>3</v>
      </c>
      <c r="G60" s="9" t="n">
        <v>4</v>
      </c>
      <c r="H60" s="9" t="n">
        <v>3</v>
      </c>
      <c r="I60" s="9" t="n">
        <v>3</v>
      </c>
      <c r="J60" s="9" t="n">
        <v>3</v>
      </c>
      <c r="K60" s="9" t="n">
        <v>4</v>
      </c>
      <c r="L60" s="9" t="n">
        <v>3</v>
      </c>
      <c r="M60" s="9" t="n">
        <v>3</v>
      </c>
      <c r="N60" s="10" t="n">
        <f aca="false">7_樣本B!N58</f>
        <v>2.58333333333333</v>
      </c>
      <c r="O60" s="10" t="n">
        <f aca="false">AVERAGE(B60:M60)</f>
        <v>3</v>
      </c>
      <c r="P60" s="16" t="n">
        <f aca="false">AVERAGE(N60:O60)</f>
        <v>2.79166666666667</v>
      </c>
    </row>
    <row r="61" customFormat="false" ht="15" hidden="false" customHeight="false" outlineLevel="0" collapsed="false">
      <c r="A61" s="7" t="s">
        <v>450</v>
      </c>
      <c r="B61" s="9" t="n">
        <v>4</v>
      </c>
      <c r="C61" s="9" t="n">
        <v>5</v>
      </c>
      <c r="D61" s="9" t="n">
        <v>5</v>
      </c>
      <c r="E61" s="9" t="n">
        <v>5</v>
      </c>
      <c r="F61" s="9" t="n">
        <v>3</v>
      </c>
      <c r="G61" s="9" t="n">
        <v>4</v>
      </c>
      <c r="H61" s="9" t="n">
        <v>4</v>
      </c>
      <c r="I61" s="9" t="n">
        <v>4</v>
      </c>
      <c r="J61" s="9" t="n">
        <v>5</v>
      </c>
      <c r="K61" s="9" t="n">
        <v>5</v>
      </c>
      <c r="L61" s="9" t="n">
        <v>4</v>
      </c>
      <c r="M61" s="9" t="n">
        <v>4</v>
      </c>
      <c r="N61" s="10" t="n">
        <f aca="false">7_樣本B!N59</f>
        <v>4.66666666666667</v>
      </c>
      <c r="O61" s="10" t="n">
        <f aca="false">AVERAGE(B61:M61)</f>
        <v>4.33333333333333</v>
      </c>
      <c r="P61" s="16" t="n">
        <f aca="false">AVERAGE(N61:O61)</f>
        <v>4.5</v>
      </c>
    </row>
    <row r="62" customFormat="false" ht="15" hidden="false" customHeight="false" outlineLevel="0" collapsed="false">
      <c r="A62" s="7" t="s">
        <v>451</v>
      </c>
      <c r="B62" s="9" t="n">
        <v>3</v>
      </c>
      <c r="C62" s="9" t="n">
        <v>2</v>
      </c>
      <c r="D62" s="9" t="n">
        <v>3</v>
      </c>
      <c r="E62" s="9" t="n">
        <v>3</v>
      </c>
      <c r="F62" s="9" t="n">
        <v>3</v>
      </c>
      <c r="G62" s="9" t="n">
        <v>2</v>
      </c>
      <c r="H62" s="9" t="n">
        <v>3</v>
      </c>
      <c r="I62" s="9" t="n">
        <v>4</v>
      </c>
      <c r="J62" s="9" t="n">
        <v>4</v>
      </c>
      <c r="K62" s="9" t="n">
        <v>4</v>
      </c>
      <c r="L62" s="9" t="n">
        <v>4</v>
      </c>
      <c r="M62" s="9" t="n">
        <v>4</v>
      </c>
      <c r="N62" s="10" t="n">
        <f aca="false">7_樣本B!N60</f>
        <v>3.66666666666667</v>
      </c>
      <c r="O62" s="10" t="n">
        <f aca="false">AVERAGE(B62:M62)</f>
        <v>3.25</v>
      </c>
      <c r="P62" s="16" t="n">
        <f aca="false">AVERAGE(N62:O62)</f>
        <v>3.45833333333333</v>
      </c>
    </row>
    <row r="63" customFormat="false" ht="15" hidden="false" customHeight="false" outlineLevel="0" collapsed="false">
      <c r="A63" s="7" t="s">
        <v>452</v>
      </c>
      <c r="B63" s="9" t="n">
        <v>4</v>
      </c>
      <c r="C63" s="9" t="n">
        <v>4</v>
      </c>
      <c r="D63" s="9" t="n">
        <v>4</v>
      </c>
      <c r="E63" s="9" t="n">
        <v>5</v>
      </c>
      <c r="F63" s="9" t="n">
        <v>5</v>
      </c>
      <c r="G63" s="9" t="n">
        <v>4</v>
      </c>
      <c r="H63" s="9" t="n">
        <v>5</v>
      </c>
      <c r="I63" s="9" t="n">
        <v>5</v>
      </c>
      <c r="J63" s="9" t="n">
        <v>3</v>
      </c>
      <c r="K63" s="9" t="n">
        <v>4</v>
      </c>
      <c r="L63" s="9" t="n">
        <v>3</v>
      </c>
      <c r="M63" s="9" t="n">
        <v>3</v>
      </c>
      <c r="N63" s="10" t="n">
        <f aca="false">7_樣本B!N61</f>
        <v>4.33333333333333</v>
      </c>
      <c r="O63" s="10" t="n">
        <f aca="false">AVERAGE(B63:M63)</f>
        <v>4.08333333333333</v>
      </c>
      <c r="P63" s="16" t="n">
        <f aca="false">AVERAGE(N63:O63)</f>
        <v>4.20833333333333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2026-10-19T07:33:16Z</dcterms:created>
  <dc:creator>openpyxl</dc:creator>
  <dc:description/>
  <dc:language>en-US</dc:language>
  <cp:lastModifiedBy/>
  <dcterms:modified xsi:type="dcterms:W3CDTF">2026-10-19T07:33:16Z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