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填表說明_Instructions" sheetId="1" state="visible" r:id="rId3"/>
    <sheet name="01_公司基本資料_Company" sheetId="2" state="visible" r:id="rId4"/>
    <sheet name="02_能力自評_SelfAssessment" sheetId="3" state="visible" r:id="rId5"/>
    <sheet name="03_實績證照_Track" sheetId="4" state="visible" r:id="rId6"/>
    <sheet name="04_越南落地與來源_Vietnam" sheetId="5" state="visible" r:id="rId7"/>
    <sheet name="06_商機對照_Opportunities" sheetId="6" state="visible" r:id="rId8"/>
    <sheet name="05_彙總輸出_ExportRow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<sst xmlns="http://schemas.openxmlformats.org/spreadsheetml/2006/main" count="825" uniqueCount="568">
  <si>
    <r>
      <rPr>
        <b val="true"/>
        <sz val="15"/>
        <color rgb="FFFFFFFF"/>
        <rFont val="微軟正黑體"/>
        <family val="0"/>
        <charset val="1"/>
      </rPr>
      <t xml:space="preserve">VMH-EcoMap-3 </t>
    </r>
    <r>
      <rPr>
        <b val="true"/>
        <sz val="15"/>
        <color rgb="FFFFFFFF"/>
        <rFont val="Noto Sans CJK SC"/>
        <family val="2"/>
      </rPr>
      <t xml:space="preserve">夥伴提案回覆表 </t>
    </r>
    <r>
      <rPr>
        <b val="true"/>
        <sz val="15"/>
        <color rgb="FFFFFFFF"/>
        <rFont val="微軟正黑體"/>
        <family val="0"/>
        <charset val="1"/>
      </rPr>
      <t xml:space="preserve">v1.0</t>
    </r>
    <r>
      <rPr>
        <b val="true"/>
        <sz val="15"/>
        <color rgb="FFFFFFFF"/>
        <rFont val="Noto Sans CJK SC"/>
        <family val="2"/>
      </rPr>
      <t xml:space="preserve">｜</t>
    </r>
    <r>
      <rPr>
        <b val="true"/>
        <sz val="15"/>
        <color rgb="FFFFFFFF"/>
        <rFont val="微軟正黑體"/>
        <family val="0"/>
        <charset val="1"/>
      </rPr>
      <t xml:space="preserve">Partner Response Form</t>
    </r>
  </si>
  <si>
    <t xml:space="preserve">致候選夥伴：感謝參與「越南現代醫院生態導入計畫」。請填寫本表並於指定日期前回覆。本表用於資格審查（關係不等於交付能力，我們以實績評分），不構成採購承諾，亦不取代正式合約。</t>
  </si>
  <si>
    <t xml:space="preserve">一、請填四張分頁</t>
  </si>
  <si>
    <r>
      <rPr>
        <b val="true"/>
        <sz val="10"/>
        <color rgb="FF1F3864"/>
        <rFont val="微軟正黑體"/>
        <family val="0"/>
        <charset val="1"/>
      </rPr>
      <t xml:space="preserve">01 </t>
    </r>
    <r>
      <rPr>
        <b val="true"/>
        <sz val="10"/>
        <color rgb="FF1F3864"/>
        <rFont val="Noto Sans CJK SC"/>
        <family val="2"/>
      </rPr>
      <t xml:space="preserve">公司基本資料</t>
    </r>
  </si>
  <si>
    <t xml:space="preserve">法人名稱、據點、規模、聯絡窗口、公司登記國別。</t>
  </si>
  <si>
    <r>
      <rPr>
        <b val="true"/>
        <sz val="10"/>
        <color rgb="FF1F3864"/>
        <rFont val="微軟正黑體"/>
        <family val="0"/>
        <charset val="1"/>
      </rPr>
      <t xml:space="preserve">02 </t>
    </r>
    <r>
      <rPr>
        <b val="true"/>
        <sz val="10"/>
        <color rgb="FF1F3864"/>
        <rFont val="Noto Sans CJK SC"/>
        <family val="2"/>
      </rPr>
      <t xml:space="preserve">能力自評</t>
    </r>
  </si>
  <si>
    <r>
      <rPr>
        <sz val="9.5"/>
        <color rgb="FF404050"/>
        <rFont val="Noto Sans CJK SC"/>
        <family val="2"/>
      </rPr>
      <t xml:space="preserve">針對七個構面自評 </t>
    </r>
    <r>
      <rPr>
        <sz val="9.5"/>
        <color rgb="FF404050"/>
        <rFont val="微軟正黑體"/>
        <family val="0"/>
        <charset val="1"/>
      </rPr>
      <t xml:space="preserve">0–5 </t>
    </r>
    <r>
      <rPr>
        <sz val="9.5"/>
        <color rgb="FF404050"/>
        <rFont val="Noto Sans CJK SC"/>
        <family val="2"/>
      </rPr>
      <t xml:space="preserve">分，並附佐證。自評分數會與我們的審查結果並列比較。</t>
    </r>
  </si>
  <si>
    <r>
      <rPr>
        <b val="true"/>
        <sz val="10"/>
        <color rgb="FF1F3864"/>
        <rFont val="微軟正黑體"/>
        <family val="0"/>
        <charset val="1"/>
      </rPr>
      <t xml:space="preserve">03 </t>
    </r>
    <r>
      <rPr>
        <b val="true"/>
        <sz val="10"/>
        <color rgb="FF1F3864"/>
        <rFont val="Noto Sans CJK SC"/>
        <family val="2"/>
      </rPr>
      <t xml:space="preserve">實績與證照</t>
    </r>
  </si>
  <si>
    <t xml:space="preserve">三筆最相關實績＋品質、資安、醫材相關證照有效期。</t>
  </si>
  <si>
    <r>
      <rPr>
        <b val="true"/>
        <sz val="10"/>
        <color rgb="FF1F3864"/>
        <rFont val="微軟正黑體"/>
        <family val="0"/>
        <charset val="1"/>
      </rPr>
      <t xml:space="preserve">04 </t>
    </r>
    <r>
      <rPr>
        <b val="true"/>
        <sz val="10"/>
        <color rgb="FF1F3864"/>
        <rFont val="Noto Sans CJK SC"/>
        <family val="2"/>
      </rPr>
      <t xml:space="preserve">越南落地與來源</t>
    </r>
  </si>
  <si>
    <t xml:space="preserve">越南註冊狀態、在地服務能力、產品與韌體來源國、資料存取與次處理者。</t>
  </si>
  <si>
    <r>
      <rPr>
        <b val="true"/>
        <sz val="10"/>
        <color rgb="FF1F3864"/>
        <rFont val="微軟正黑體"/>
        <family val="0"/>
        <charset val="1"/>
      </rPr>
      <t xml:space="preserve">05 </t>
    </r>
    <r>
      <rPr>
        <b val="true"/>
        <sz val="10"/>
        <color rgb="FF1F3864"/>
        <rFont val="Noto Sans CJK SC"/>
        <family val="2"/>
      </rPr>
      <t xml:space="preserve">彙總輸出</t>
    </r>
  </si>
  <si>
    <r>
      <rPr>
        <sz val="9.5"/>
        <color rgb="FF404050"/>
        <rFont val="Noto Sans CJK SC"/>
        <family val="2"/>
      </rPr>
      <t xml:space="preserve">★ 夥伴不需填。本頁自動把前四張分頁整理成主工具需要的格式，回收後由 </t>
    </r>
    <r>
      <rPr>
        <sz val="9.5"/>
        <color rgb="FF404050"/>
        <rFont val="微軟正黑體"/>
        <family val="0"/>
        <charset val="1"/>
      </rPr>
      <t xml:space="preserve">PI </t>
    </r>
    <r>
      <rPr>
        <sz val="9.5"/>
        <color rgb="FF404050"/>
        <rFont val="Noto Sans CJK SC"/>
        <family val="2"/>
      </rPr>
      <t xml:space="preserve">兩次貼上完成建檔。</t>
    </r>
  </si>
  <si>
    <t xml:space="preserve">二、我們如何使用這份表</t>
  </si>
  <si>
    <t xml:space="preserve">•</t>
  </si>
  <si>
    <r>
      <rPr>
        <sz val="9.5"/>
        <color rgb="FF404050"/>
        <rFont val="Noto Sans CJK SC"/>
        <family val="2"/>
      </rPr>
      <t xml:space="preserve">七個構面的分數會匯入主工具「</t>
    </r>
    <r>
      <rPr>
        <sz val="9.5"/>
        <color rgb="FF404050"/>
        <rFont val="微軟正黑體"/>
        <family val="0"/>
        <charset val="1"/>
      </rPr>
      <t xml:space="preserve">04 </t>
    </r>
    <r>
      <rPr>
        <sz val="9.5"/>
        <color rgb="FF404050"/>
        <rFont val="Noto Sans CJK SC"/>
        <family val="2"/>
      </rPr>
      <t xml:space="preserve">夥伴拼圖」，自動計算適配分（七項平均）。</t>
    </r>
  </si>
  <si>
    <r>
      <rPr>
        <sz val="9.5"/>
        <color rgb="FF404050"/>
        <rFont val="Noto Sans CJK SC"/>
        <family val="2"/>
      </rPr>
      <t xml:space="preserve">「涵蓋領域」決定您出現在夥伴</t>
    </r>
    <r>
      <rPr>
        <sz val="9.5"/>
        <color rgb="FF404050"/>
        <rFont val="微軟正黑體"/>
        <family val="0"/>
        <charset val="1"/>
      </rPr>
      <t xml:space="preserve">×</t>
    </r>
    <r>
      <rPr>
        <sz val="9.5"/>
        <color rgb="FF404050"/>
        <rFont val="Noto Sans CJK SC"/>
        <family val="2"/>
      </rPr>
      <t xml:space="preserve">領域覆蓋矩陣的哪幾格。</t>
    </r>
  </si>
  <si>
    <t xml:space="preserve">「來源風險」為內部稽核欄位，不會出現在對外簡報，但會影響越南官方審查。</t>
  </si>
  <si>
    <r>
      <rPr>
        <sz val="9.5"/>
        <color rgb="FF404050"/>
        <rFont val="Noto Sans CJK SC"/>
        <family val="2"/>
      </rPr>
      <t xml:space="preserve">通過資格審查後，主工具中對應能力項的拼圖狀態會由「缺口</t>
    </r>
    <r>
      <rPr>
        <sz val="9.5"/>
        <color rgb="FF404050"/>
        <rFont val="微軟正黑體"/>
        <family val="0"/>
        <charset val="1"/>
      </rPr>
      <t xml:space="preserve">-</t>
    </r>
    <r>
      <rPr>
        <sz val="9.5"/>
        <color rgb="FF404050"/>
        <rFont val="Noto Sans CJK SC"/>
        <family val="2"/>
      </rPr>
      <t xml:space="preserve">待尋找」改為「夥伴洽談中」或「夥伴已確認」。</t>
    </r>
  </si>
  <si>
    <t xml:space="preserve">誠信聲明：填寫本表即表示所提供之實績、證照與註冊狀態均屬真實且可查證。本計畫的獨立驗證單位得要求提供正本文件或聯繫實績客戶查證；資料不實者將自候選名單移除。</t>
  </si>
  <si>
    <t xml:space="preserve">回覆期限</t>
  </si>
  <si>
    <t xml:space="preserve">　　年　　月　　日</t>
  </si>
  <si>
    <r>
      <rPr>
        <b val="true"/>
        <sz val="10"/>
        <color rgb="FF1F3864"/>
        <rFont val="Noto Sans CJK SC"/>
        <family val="2"/>
      </rPr>
      <t xml:space="preserve">回覆窗口（</t>
    </r>
    <r>
      <rPr>
        <b val="true"/>
        <sz val="10"/>
        <color rgb="FF1F3864"/>
        <rFont val="微軟正黑體"/>
        <family val="0"/>
        <charset val="1"/>
      </rPr>
      <t xml:space="preserve">PI </t>
    </r>
    <r>
      <rPr>
        <b val="true"/>
        <sz val="10"/>
        <color rgb="FF1F3864"/>
        <rFont val="Noto Sans CJK SC"/>
        <family val="2"/>
      </rPr>
      <t xml:space="preserve">辦公室）</t>
    </r>
  </si>
  <si>
    <t xml:space="preserve">　　　　　　　　</t>
  </si>
  <si>
    <r>
      <rPr>
        <b val="true"/>
        <sz val="15"/>
        <color rgb="FFFFFFFF"/>
        <rFont val="微軟正黑體"/>
        <family val="0"/>
        <charset val="1"/>
      </rPr>
      <t xml:space="preserve">01 </t>
    </r>
    <r>
      <rPr>
        <b val="true"/>
        <sz val="15"/>
        <color rgb="FFFFFFFF"/>
        <rFont val="Noto Sans CJK SC"/>
        <family val="2"/>
      </rPr>
      <t xml:space="preserve">公司基本資料｜</t>
    </r>
    <r>
      <rPr>
        <b val="true"/>
        <sz val="15"/>
        <color rgb="FFFFFFFF"/>
        <rFont val="微軟正黑體"/>
        <family val="0"/>
        <charset val="1"/>
      </rPr>
      <t xml:space="preserve">Company Profile</t>
    </r>
  </si>
  <si>
    <t xml:space="preserve">★ 為必填。請填法人正式名稱，不要用品牌名或簡稱。</t>
  </si>
  <si>
    <t xml:space="preserve">★ 公司法人名稱（中）</t>
  </si>
  <si>
    <t xml:space="preserve">與登記文件一致</t>
  </si>
  <si>
    <t xml:space="preserve">★ 公司法人名稱（英）</t>
  </si>
  <si>
    <t xml:space="preserve">用於對越南官方文件</t>
  </si>
  <si>
    <t xml:space="preserve">★ 統一編號／註冊號</t>
  </si>
  <si>
    <t xml:space="preserve">★ 總部所在國家／城市</t>
  </si>
  <si>
    <t xml:space="preserve">★ 成立年份</t>
  </si>
  <si>
    <t xml:space="preserve">★ 員工人數</t>
  </si>
  <si>
    <r>
      <rPr>
        <b val="true"/>
        <sz val="10"/>
        <color rgb="FF1F3864"/>
        <rFont val="Noto Sans CJK SC"/>
        <family val="2"/>
      </rPr>
      <t xml:space="preserve">★ 近三年平均年營收（</t>
    </r>
    <r>
      <rPr>
        <b val="true"/>
        <sz val="10"/>
        <color rgb="FF1F3864"/>
        <rFont val="微軟正黑體"/>
        <family val="0"/>
        <charset val="1"/>
      </rPr>
      <t xml:space="preserve">USD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</si>
  <si>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區間亦可</t>
  </si>
  <si>
    <t xml:space="preserve">★ 公司網站</t>
  </si>
  <si>
    <t xml:space="preserve">★ 主要業務一句話描述</t>
  </si>
  <si>
    <t xml:space="preserve">請具體，不要寫「全方位解決方案」</t>
  </si>
  <si>
    <t xml:space="preserve">聯絡窗口（本計畫唯一對口）</t>
  </si>
  <si>
    <t xml:space="preserve">★ 姓名／職稱</t>
  </si>
  <si>
    <t xml:space="preserve">須為可決策或可直達決策者</t>
  </si>
  <si>
    <t xml:space="preserve">★ 電子郵件</t>
  </si>
  <si>
    <t xml:space="preserve">★ 電話／通訊軟體</t>
  </si>
  <si>
    <t xml:space="preserve">★ 可決策層級</t>
  </si>
  <si>
    <r>
      <rPr>
        <sz val="9"/>
        <color rgb="FF808080"/>
        <rFont val="Noto Sans CJK SC"/>
        <family val="2"/>
      </rPr>
      <t xml:space="preserve">例：可簽署 </t>
    </r>
    <r>
      <rPr>
        <sz val="9"/>
        <color rgb="FF808080"/>
        <rFont val="微軟正黑體"/>
        <family val="0"/>
        <charset val="1"/>
      </rPr>
      <t xml:space="preserve">NDA </t>
    </r>
    <r>
      <rPr>
        <sz val="9"/>
        <color rgb="FF808080"/>
        <rFont val="Noto Sans CJK SC"/>
        <family val="2"/>
      </rPr>
      <t xml:space="preserve">與 </t>
    </r>
    <r>
      <rPr>
        <sz val="9"/>
        <color rgb="FF808080"/>
        <rFont val="微軟正黑體"/>
        <family val="0"/>
        <charset val="1"/>
      </rPr>
      <t xml:space="preserve">MOU</t>
    </r>
  </si>
  <si>
    <t xml:space="preserve">您希望在聯盟中的定位</t>
  </si>
  <si>
    <t xml:space="preserve">★ 夥伴類型</t>
  </si>
  <si>
    <t xml:space="preserve">見右側下拉</t>
  </si>
  <si>
    <t xml:space="preserve">★ 公司登記國別</t>
  </si>
  <si>
    <r>
      <rPr>
        <sz val="9"/>
        <color rgb="FF808080"/>
        <rFont val="Noto Sans CJK SC"/>
        <family val="2"/>
      </rPr>
      <t xml:space="preserve">見右側下拉；影響主工具的夥伴</t>
    </r>
    <r>
      <rPr>
        <sz val="9"/>
        <color rgb="FF808080"/>
        <rFont val="微軟正黑體"/>
        <family val="0"/>
        <charset val="1"/>
      </rPr>
      <t xml:space="preserve">×</t>
    </r>
    <r>
      <rPr>
        <sz val="9"/>
        <color rgb="FF808080"/>
        <rFont val="Noto Sans CJK SC"/>
        <family val="2"/>
      </rPr>
      <t xml:space="preserve">國別統計</t>
    </r>
  </si>
  <si>
    <t xml:space="preserve">★ 涵蓋領域（可複選，用分號隔開）</t>
  </si>
  <si>
    <r>
      <rPr>
        <sz val="9"/>
        <color rgb="FF808080"/>
        <rFont val="微軟正黑體"/>
        <family val="0"/>
        <charset val="1"/>
      </rPr>
      <t xml:space="preserve">D01 </t>
    </r>
    <r>
      <rPr>
        <sz val="9"/>
        <color rgb="FF808080"/>
        <rFont val="Noto Sans CJK SC"/>
        <family val="2"/>
      </rPr>
      <t xml:space="preserve">治理與投資／</t>
    </r>
    <r>
      <rPr>
        <sz val="9"/>
        <color rgb="FF808080"/>
        <rFont val="微軟正黑體"/>
        <family val="0"/>
        <charset val="1"/>
      </rPr>
      <t xml:space="preserve">D02 </t>
    </r>
    <r>
      <rPr>
        <sz val="9"/>
        <color rgb="FF808080"/>
        <rFont val="Noto Sans CJK SC"/>
        <family val="2"/>
      </rPr>
      <t xml:space="preserve">臨床服務模式／</t>
    </r>
    <r>
      <rPr>
        <sz val="9"/>
        <color rgb="FF808080"/>
        <rFont val="微軟正黑體"/>
        <family val="0"/>
        <charset val="1"/>
      </rPr>
      <t xml:space="preserve">D03 </t>
    </r>
    <r>
      <rPr>
        <sz val="9"/>
        <color rgb="FF808080"/>
        <rFont val="Noto Sans CJK SC"/>
        <family val="2"/>
      </rPr>
      <t xml:space="preserve">醫院設施與機電／</t>
    </r>
    <r>
      <rPr>
        <sz val="9"/>
        <color rgb="FF808080"/>
        <rFont val="微軟正黑體"/>
        <family val="0"/>
        <charset val="1"/>
      </rPr>
      <t xml:space="preserve">D04 </t>
    </r>
    <r>
      <rPr>
        <sz val="9"/>
        <color rgb="FF808080"/>
        <rFont val="Noto Sans CJK SC"/>
        <family val="2"/>
      </rPr>
      <t xml:space="preserve">數位基建與物聯網／</t>
    </r>
    <r>
      <rPr>
        <sz val="9"/>
        <color rgb="FF808080"/>
        <rFont val="微軟正黑體"/>
        <family val="0"/>
        <charset val="1"/>
      </rPr>
      <t xml:space="preserve">D05 </t>
    </r>
    <r>
      <rPr>
        <sz val="9"/>
        <color rgb="FF808080"/>
        <rFont val="Noto Sans CJK SC"/>
        <family val="2"/>
      </rPr>
      <t xml:space="preserve">醫材與診斷／</t>
    </r>
    <r>
      <rPr>
        <sz val="9"/>
        <color rgb="FF808080"/>
        <rFont val="微軟正黑體"/>
        <family val="0"/>
        <charset val="1"/>
      </rPr>
      <t xml:space="preserve">D06 </t>
    </r>
    <r>
      <rPr>
        <sz val="9"/>
        <color rgb="FF808080"/>
        <rFont val="Noto Sans CJK SC"/>
        <family val="2"/>
      </rPr>
      <t xml:space="preserve">醫療資訊與資料／</t>
    </r>
    <r>
      <rPr>
        <sz val="9"/>
        <color rgb="FF808080"/>
        <rFont val="微軟正黑體"/>
        <family val="0"/>
        <charset val="1"/>
      </rPr>
      <t xml:space="preserve">D07 </t>
    </r>
    <r>
      <rPr>
        <sz val="9"/>
        <color rgb="FF808080"/>
        <rFont val="Noto Sans CJK SC"/>
        <family val="2"/>
      </rPr>
      <t xml:space="preserve">品質與病安／</t>
    </r>
    <r>
      <rPr>
        <sz val="9"/>
        <color rgb="FF808080"/>
        <rFont val="微軟正黑體"/>
        <family val="0"/>
        <charset val="1"/>
      </rPr>
      <t xml:space="preserve">D08 </t>
    </r>
    <r>
      <rPr>
        <sz val="9"/>
        <color rgb="FF808080"/>
        <rFont val="Noto Sans CJK SC"/>
        <family val="2"/>
      </rPr>
      <t xml:space="preserve">人才與技轉／</t>
    </r>
    <r>
      <rPr>
        <sz val="9"/>
        <color rgb="FF808080"/>
        <rFont val="微軟正黑體"/>
        <family val="0"/>
        <charset val="1"/>
      </rPr>
      <t xml:space="preserve">D09 </t>
    </r>
    <r>
      <rPr>
        <sz val="9"/>
        <color rgb="FF808080"/>
        <rFont val="Noto Sans CJK SC"/>
        <family val="2"/>
      </rPr>
      <t xml:space="preserve">供應鏈與維運／</t>
    </r>
    <r>
      <rPr>
        <sz val="9"/>
        <color rgb="FF808080"/>
        <rFont val="微軟正黑體"/>
        <family val="0"/>
        <charset val="1"/>
      </rPr>
      <t xml:space="preserve">D10 </t>
    </r>
    <r>
      <rPr>
        <sz val="9"/>
        <color rgb="FF808080"/>
        <rFont val="Noto Sans CJK SC"/>
        <family val="2"/>
      </rPr>
      <t xml:space="preserve">商模與病人生態</t>
    </r>
  </si>
  <si>
    <r>
      <rPr>
        <b val="true"/>
        <sz val="10"/>
        <color rgb="FF1F3864"/>
        <rFont val="Noto Sans CJK SC"/>
        <family val="2"/>
      </rPr>
      <t xml:space="preserve">★ 您想承接的能力編號（</t>
    </r>
    <r>
      <rPr>
        <b val="true"/>
        <sz val="10"/>
        <color rgb="FF1F3864"/>
        <rFont val="微軟正黑體"/>
        <family val="0"/>
        <charset val="1"/>
      </rPr>
      <t xml:space="preserve">CAP-xxx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</si>
  <si>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9"/>
        <color rgb="FF808080"/>
        <rFont val="Noto Sans CJK SC"/>
        <family val="2"/>
      </rPr>
      <t xml:space="preserve">可從「</t>
    </r>
    <r>
      <rPr>
        <sz val="9"/>
        <color rgb="FF808080"/>
        <rFont val="微軟正黑體"/>
        <family val="0"/>
        <charset val="1"/>
      </rPr>
      <t xml:space="preserve">11 </t>
    </r>
    <r>
      <rPr>
        <sz val="9"/>
        <color rgb="FF808080"/>
        <rFont val="Noto Sans CJK SC"/>
        <family val="2"/>
      </rPr>
      <t xml:space="preserve">缺口招募清單」挑選，用分號隔開</t>
    </r>
  </si>
  <si>
    <t xml:space="preserve">★ 可提供的角色</t>
  </si>
  <si>
    <t xml:space="preserve">例：主責交付／分包／技術授權／顧問</t>
  </si>
  <si>
    <r>
      <rPr>
        <b val="true"/>
        <sz val="15"/>
        <color rgb="FFFFFFFF"/>
        <rFont val="微軟正黑體"/>
        <family val="0"/>
        <charset val="1"/>
      </rPr>
      <t xml:space="preserve">02 </t>
    </r>
    <r>
      <rPr>
        <b val="true"/>
        <sz val="15"/>
        <color rgb="FFFFFFFF"/>
        <rFont val="Noto Sans CJK SC"/>
        <family val="2"/>
      </rPr>
      <t xml:space="preserve">能力自評｜</t>
    </r>
    <r>
      <rPr>
        <b val="true"/>
        <sz val="15"/>
        <color rgb="FFFFFFFF"/>
        <rFont val="微軟正黑體"/>
        <family val="0"/>
        <charset val="1"/>
      </rPr>
      <t xml:space="preserve">Capability Self-Assessment</t>
    </r>
    <r>
      <rPr>
        <b val="true"/>
        <sz val="15"/>
        <color rgb="FFFFFFFF"/>
        <rFont val="Noto Sans CJK SC"/>
        <family val="2"/>
      </rPr>
      <t xml:space="preserve">（</t>
    </r>
    <r>
      <rPr>
        <b val="true"/>
        <sz val="15"/>
        <color rgb="FFFFFFFF"/>
        <rFont val="微軟正黑體"/>
        <family val="0"/>
        <charset val="1"/>
      </rPr>
      <t xml:space="preserve">0–5 </t>
    </r>
    <r>
      <rPr>
        <b val="true"/>
        <sz val="15"/>
        <color rgb="FFFFFFFF"/>
        <rFont val="Noto Sans CJK SC"/>
        <family val="2"/>
      </rPr>
      <t xml:space="preserve">分）</t>
    </r>
  </si>
  <si>
    <r>
      <rPr>
        <i val="true"/>
        <sz val="9.5"/>
        <color rgb="FF404040"/>
        <rFont val="Noto Sans CJK SC"/>
        <family val="2"/>
      </rPr>
      <t xml:space="preserve">請誠實自評。</t>
    </r>
    <r>
      <rPr>
        <i val="true"/>
        <sz val="9.5"/>
        <color rgb="FF404040"/>
        <rFont val="微軟正黑體"/>
        <family val="0"/>
        <charset val="1"/>
      </rPr>
      <t xml:space="preserve">0</t>
    </r>
    <r>
      <rPr>
        <i val="true"/>
        <sz val="9.5"/>
        <color rgb="FF404040"/>
        <rFont val="Noto Sans CJK SC"/>
        <family val="2"/>
      </rPr>
      <t xml:space="preserve">＝完全沒有；</t>
    </r>
    <r>
      <rPr>
        <i val="true"/>
        <sz val="9.5"/>
        <color rgb="FF404040"/>
        <rFont val="微軟正黑體"/>
        <family val="0"/>
        <charset val="1"/>
      </rPr>
      <t xml:space="preserve">3</t>
    </r>
    <r>
      <rPr>
        <i val="true"/>
        <sz val="9.5"/>
        <color rgb="FF404040"/>
        <rFont val="Noto Sans CJK SC"/>
        <family val="2"/>
      </rPr>
      <t xml:space="preserve">＝有經驗但需協助；</t>
    </r>
    <r>
      <rPr>
        <i val="true"/>
        <sz val="9.5"/>
        <color rgb="FF404040"/>
        <rFont val="微軟正黑體"/>
        <family val="0"/>
        <charset val="1"/>
      </rPr>
      <t xml:space="preserve">5</t>
    </r>
    <r>
      <rPr>
        <i val="true"/>
        <sz val="9.5"/>
        <color rgb="FF404040"/>
        <rFont val="Noto Sans CJK SC"/>
        <family val="2"/>
      </rPr>
      <t xml:space="preserve">＝可獨立承擔並有可查證實績。每一項都必須填「佐證說明」，只有分數沒有佐證的項目，審查時一律以 </t>
    </r>
    <r>
      <rPr>
        <i val="true"/>
        <sz val="9.5"/>
        <color rgb="FF404040"/>
        <rFont val="微軟正黑體"/>
        <family val="0"/>
        <charset val="1"/>
      </rPr>
      <t xml:space="preserve">0 </t>
    </r>
    <r>
      <rPr>
        <i val="true"/>
        <sz val="9.5"/>
        <color rgb="FF404040"/>
        <rFont val="Noto Sans CJK SC"/>
        <family val="2"/>
      </rPr>
      <t xml:space="preserve">分計。</t>
    </r>
  </si>
  <si>
    <r>
      <rPr>
        <b val="true"/>
        <sz val="10"/>
        <color rgb="FFFFFFFF"/>
        <rFont val="Noto Sans CJK SC"/>
        <family val="2"/>
      </rPr>
      <t xml:space="preserve">構面 </t>
    </r>
    <r>
      <rPr>
        <b val="true"/>
        <sz val="10"/>
        <color rgb="FFFFFFFF"/>
        <rFont val="微軟正黑體"/>
        <family val="0"/>
        <charset val="1"/>
      </rPr>
      <t xml:space="preserve">Dimension</t>
    </r>
  </si>
  <si>
    <t xml:space="preserve">我們要看的是什麼</t>
  </si>
  <si>
    <r>
      <rPr>
        <b val="true"/>
        <sz val="10"/>
        <color rgb="FFFFFFFF"/>
        <rFont val="Noto Sans CJK SC"/>
        <family val="2"/>
      </rPr>
      <t xml:space="preserve">自評
</t>
    </r>
    <r>
      <rPr>
        <b val="true"/>
        <sz val="10"/>
        <color rgb="FFFFFFFF"/>
        <rFont val="微軟正黑體"/>
        <family val="0"/>
        <charset val="1"/>
      </rPr>
      <t xml:space="preserve">0-5</t>
    </r>
  </si>
  <si>
    <t xml:space="preserve">我方
審查</t>
  </si>
  <si>
    <t xml:space="preserve">佐證說明（必填）</t>
  </si>
  <si>
    <t xml:space="preserve">佐證文件名稱</t>
  </si>
  <si>
    <r>
      <rPr>
        <b val="true"/>
        <sz val="10"/>
        <color rgb="FF1F3864"/>
        <rFont val="Noto Sans CJK SC"/>
        <family val="2"/>
      </rPr>
      <t xml:space="preserve">實績 </t>
    </r>
    <r>
      <rPr>
        <b val="true"/>
        <sz val="10"/>
        <color rgb="FF1F3864"/>
        <rFont val="微軟正黑體"/>
        <family val="0"/>
        <charset val="1"/>
      </rPr>
      <t xml:space="preserve">References</t>
    </r>
  </si>
  <si>
    <t xml:space="preserve">同類專案的可查證案例，醫療場域經驗優先。請寫出客戶名稱可否揭露。</t>
  </si>
  <si>
    <r>
      <rPr>
        <b val="true"/>
        <sz val="10"/>
        <color rgb="FF1F3864"/>
        <rFont val="Noto Sans CJK SC"/>
        <family val="2"/>
      </rPr>
      <t xml:space="preserve">顧問能力 </t>
    </r>
    <r>
      <rPr>
        <b val="true"/>
        <sz val="10"/>
        <color rgb="FF1F3864"/>
        <rFont val="微軟正黑體"/>
        <family val="0"/>
        <charset val="1"/>
      </rPr>
      <t xml:space="preserve">Advisory</t>
    </r>
  </si>
  <si>
    <t xml:space="preserve">能否協助定義需求與規格，而不只是報價與供貨。</t>
  </si>
  <si>
    <r>
      <rPr>
        <b val="true"/>
        <sz val="10"/>
        <color rgb="FF1F3864"/>
        <rFont val="Noto Sans CJK SC"/>
        <family val="2"/>
      </rPr>
      <t xml:space="preserve">建置能力 </t>
    </r>
    <r>
      <rPr>
        <b val="true"/>
        <sz val="10"/>
        <color rgb="FF1F3864"/>
        <rFont val="微軟正黑體"/>
        <family val="0"/>
        <charset val="1"/>
      </rPr>
      <t xml:space="preserve">Build</t>
    </r>
  </si>
  <si>
    <t xml:space="preserve">自有工班或整合團隊，能在越南現場交付的實際能力。</t>
  </si>
  <si>
    <r>
      <rPr>
        <b val="true"/>
        <sz val="10"/>
        <color rgb="FF1F3864"/>
        <rFont val="Noto Sans CJK SC"/>
        <family val="2"/>
      </rPr>
      <t xml:space="preserve">營運能力 </t>
    </r>
    <r>
      <rPr>
        <b val="true"/>
        <sz val="10"/>
        <color rgb="FF1F3864"/>
        <rFont val="微軟正黑體"/>
        <family val="0"/>
        <charset val="1"/>
      </rPr>
      <t xml:space="preserve">Operate</t>
    </r>
  </si>
  <si>
    <t xml:space="preserve">交付後的維運、備品供應、回應時間與服務水準承諾。</t>
  </si>
  <si>
    <r>
      <rPr>
        <b val="true"/>
        <sz val="10"/>
        <color rgb="FF1F3864"/>
        <rFont val="Noto Sans CJK SC"/>
        <family val="2"/>
      </rPr>
      <t xml:space="preserve">財務能力 </t>
    </r>
    <r>
      <rPr>
        <b val="true"/>
        <sz val="10"/>
        <color rgb="FF1F3864"/>
        <rFont val="微軟正黑體"/>
        <family val="0"/>
        <charset val="1"/>
      </rPr>
      <t xml:space="preserve">Finance</t>
    </r>
  </si>
  <si>
    <t xml:space="preserve">專案期間的現金流承受力；是否可接受階段付款或績效付款。</t>
  </si>
  <si>
    <r>
      <rPr>
        <b val="true"/>
        <sz val="10"/>
        <color rgb="FF1F3864"/>
        <rFont val="Noto Sans CJK SC"/>
        <family val="2"/>
      </rPr>
      <t xml:space="preserve">互通能力 </t>
    </r>
    <r>
      <rPr>
        <b val="true"/>
        <sz val="10"/>
        <color rgb="FF1F3864"/>
        <rFont val="微軟正黑體"/>
        <family val="0"/>
        <charset val="1"/>
      </rPr>
      <t xml:space="preserve">Interop</t>
    </r>
  </si>
  <si>
    <r>
      <rPr>
        <sz val="9.5"/>
        <color rgb="FF404050"/>
        <rFont val="Noto Sans CJK SC"/>
        <family val="2"/>
      </rPr>
      <t xml:space="preserve">是否採用開放標準與 </t>
    </r>
    <r>
      <rPr>
        <sz val="9.5"/>
        <color rgb="FF404050"/>
        <rFont val="微軟正黑體"/>
        <family val="0"/>
        <charset val="1"/>
      </rPr>
      <t xml:space="preserve">API</t>
    </r>
    <r>
      <rPr>
        <sz val="9.5"/>
        <color rgb="FF404050"/>
        <rFont val="Noto Sans CJK SC"/>
        <family val="2"/>
      </rPr>
      <t xml:space="preserve">（</t>
    </r>
    <r>
      <rPr>
        <sz val="9.5"/>
        <color rgb="FF404050"/>
        <rFont val="微軟正黑體"/>
        <family val="0"/>
        <charset val="1"/>
      </rPr>
      <t xml:space="preserve">FHIR</t>
    </r>
    <r>
      <rPr>
        <sz val="9.5"/>
        <color rgb="FF404050"/>
        <rFont val="Noto Sans CJK SC"/>
        <family val="2"/>
      </rPr>
      <t xml:space="preserve">／</t>
    </r>
    <r>
      <rPr>
        <sz val="9.5"/>
        <color rgb="FF404050"/>
        <rFont val="微軟正黑體"/>
        <family val="0"/>
        <charset val="1"/>
      </rPr>
      <t xml:space="preserve">HL7</t>
    </r>
    <r>
      <rPr>
        <sz val="9.5"/>
        <color rgb="FF404050"/>
        <rFont val="Noto Sans CJK SC"/>
        <family val="2"/>
      </rPr>
      <t xml:space="preserve">／</t>
    </r>
    <r>
      <rPr>
        <sz val="9.5"/>
        <color rgb="FF404050"/>
        <rFont val="微軟正黑體"/>
        <family val="0"/>
        <charset val="1"/>
      </rPr>
      <t xml:space="preserve">DICOM</t>
    </r>
    <r>
      <rPr>
        <sz val="9.5"/>
        <color rgb="FF404050"/>
        <rFont val="Noto Sans CJK SC"/>
        <family val="2"/>
      </rPr>
      <t xml:space="preserve">／</t>
    </r>
    <r>
      <rPr>
        <sz val="9.5"/>
        <color rgb="FF404050"/>
        <rFont val="微軟正黑體"/>
        <family val="0"/>
        <charset val="1"/>
      </rPr>
      <t xml:space="preserve">IHE</t>
    </r>
    <r>
      <rPr>
        <sz val="9.5"/>
        <color rgb="FF404050"/>
        <rFont val="Noto Sans CJK SC"/>
        <family val="2"/>
      </rPr>
      <t xml:space="preserve">），可否接受符合性測試。</t>
    </r>
  </si>
  <si>
    <r>
      <rPr>
        <b val="true"/>
        <sz val="10"/>
        <color rgb="FF1F3864"/>
        <rFont val="Noto Sans CJK SC"/>
        <family val="2"/>
      </rPr>
      <t xml:space="preserve">在地化 </t>
    </r>
    <r>
      <rPr>
        <b val="true"/>
        <sz val="10"/>
        <color rgb="FF1F3864"/>
        <rFont val="微軟正黑體"/>
        <family val="0"/>
        <charset val="1"/>
      </rPr>
      <t xml:space="preserve">Localization</t>
    </r>
  </si>
  <si>
    <t xml:space="preserve">越南據點、越語人員、在地訓練與技術移轉承諾。</t>
  </si>
  <si>
    <t xml:space="preserve">自評平均（適配分）</t>
  </si>
  <si>
    <r>
      <rPr>
        <i val="true"/>
        <sz val="9"/>
        <color rgb="FF808080"/>
        <rFont val="Noto Sans CJK SC"/>
        <family val="2"/>
      </rPr>
      <t xml:space="preserve">← 我方審查欄由 </t>
    </r>
    <r>
      <rPr>
        <i val="true"/>
        <sz val="9"/>
        <color rgb="FF808080"/>
        <rFont val="微軟正黑體"/>
        <family val="0"/>
        <charset val="1"/>
      </rPr>
      <t xml:space="preserve">PI </t>
    </r>
    <r>
      <rPr>
        <i val="true"/>
        <sz val="9"/>
        <color rgb="FF808080"/>
        <rFont val="Noto Sans CJK SC"/>
        <family val="2"/>
      </rPr>
      <t xml:space="preserve">辦公室填寫，不需夥伴填</t>
    </r>
  </si>
  <si>
    <t xml:space="preserve">評分標準說明</t>
  </si>
  <si>
    <t xml:space="preserve">0</t>
  </si>
  <si>
    <t xml:space="preserve">完全沒有此能力，需完全外包</t>
  </si>
  <si>
    <t xml:space="preserve">1</t>
  </si>
  <si>
    <t xml:space="preserve">僅有理論或旁觀經驗</t>
  </si>
  <si>
    <t xml:space="preserve">2</t>
  </si>
  <si>
    <t xml:space="preserve">參與過但非主責</t>
  </si>
  <si>
    <t xml:space="preserve">3</t>
  </si>
  <si>
    <t xml:space="preserve">主責過類似案，但需外部協助</t>
  </si>
  <si>
    <t xml:space="preserve">4</t>
  </si>
  <si>
    <t xml:space="preserve">主責過同類案並成功交付</t>
  </si>
  <si>
    <t xml:space="preserve">5</t>
  </si>
  <si>
    <t xml:space="preserve">多次主責同類案，且有醫療場域實績</t>
  </si>
  <si>
    <r>
      <rPr>
        <b val="true"/>
        <sz val="15"/>
        <color rgb="FFFFFFFF"/>
        <rFont val="微軟正黑體"/>
        <family val="0"/>
        <charset val="1"/>
      </rPr>
      <t xml:space="preserve">03 </t>
    </r>
    <r>
      <rPr>
        <b val="true"/>
        <sz val="15"/>
        <color rgb="FFFFFFFF"/>
        <rFont val="Noto Sans CJK SC"/>
        <family val="2"/>
      </rPr>
      <t xml:space="preserve">實績與證照｜</t>
    </r>
    <r>
      <rPr>
        <b val="true"/>
        <sz val="15"/>
        <color rgb="FFFFFFFF"/>
        <rFont val="微軟正黑體"/>
        <family val="0"/>
        <charset val="1"/>
      </rPr>
      <t xml:space="preserve">Track Record &amp; Certifications</t>
    </r>
  </si>
  <si>
    <t xml:space="preserve">請填三筆最相關的實績（醫療場域優先）。可查證＝我們可以聯繫該客戶確認；若不可揭露，請說明原因。</t>
  </si>
  <si>
    <t xml:space="preserve">#</t>
  </si>
  <si>
    <t xml:space="preserve">專案名稱</t>
  </si>
  <si>
    <t xml:space="preserve">客戶／醫院</t>
  </si>
  <si>
    <t xml:space="preserve">國家</t>
  </si>
  <si>
    <t xml:space="preserve">完成年</t>
  </si>
  <si>
    <r>
      <rPr>
        <b val="true"/>
        <sz val="10"/>
        <color rgb="FFFFFFFF"/>
        <rFont val="Noto Sans CJK SC"/>
        <family val="2"/>
      </rPr>
      <t xml:space="preserve">合約金額</t>
    </r>
    <r>
      <rPr>
        <b val="true"/>
        <sz val="10"/>
        <color rgb="FFFFFFFF"/>
        <rFont val="微軟正黑體"/>
        <family val="0"/>
        <charset val="1"/>
      </rPr>
      <t xml:space="preserve">(USD)</t>
    </r>
  </si>
  <si>
    <t xml:space="preserve">您負責的範圍</t>
  </si>
  <si>
    <r>
      <rPr>
        <b val="true"/>
        <sz val="10"/>
        <color rgb="FFFFFFFF"/>
        <rFont val="Noto Sans CJK SC"/>
        <family val="2"/>
      </rPr>
      <t xml:space="preserve">可查證</t>
    </r>
    <r>
      <rPr>
        <b val="true"/>
        <sz val="10"/>
        <color rgb="FFFFFFFF"/>
        <rFont val="微軟正黑體"/>
        <family val="0"/>
        <charset val="1"/>
      </rPr>
      <t xml:space="preserve">?</t>
    </r>
  </si>
  <si>
    <t xml:space="preserve">聯絡人</t>
  </si>
  <si>
    <t xml:space="preserve">證照與管理系統（有效期須為現行）</t>
  </si>
  <si>
    <t xml:space="preserve">證照／標準</t>
  </si>
  <si>
    <t xml:space="preserve">發證單位</t>
  </si>
  <si>
    <t xml:space="preserve">涵蓋範圍</t>
  </si>
  <si>
    <t xml:space="preserve">有效期至</t>
  </si>
  <si>
    <t xml:space="preserve">證書編號</t>
  </si>
  <si>
    <t xml:space="preserve">備註</t>
  </si>
  <si>
    <r>
      <rPr>
        <b val="true"/>
        <sz val="9.5"/>
        <color rgb="FF000000"/>
        <rFont val="微軟正黑體"/>
        <family val="0"/>
        <charset val="1"/>
      </rPr>
      <t xml:space="preserve">ISO 9001 </t>
    </r>
    <r>
      <rPr>
        <b val="true"/>
        <sz val="9.5"/>
        <color rgb="FF000000"/>
        <rFont val="Noto Sans CJK SC"/>
        <family val="2"/>
      </rPr>
      <t xml:space="preserve">品質管理</t>
    </r>
  </si>
  <si>
    <r>
      <rPr>
        <b val="true"/>
        <sz val="9.5"/>
        <color rgb="FF000000"/>
        <rFont val="微軟正黑體"/>
        <family val="0"/>
        <charset val="1"/>
      </rPr>
      <t xml:space="preserve">ISO 13485 </t>
    </r>
    <r>
      <rPr>
        <b val="true"/>
        <sz val="9.5"/>
        <color rgb="FF000000"/>
        <rFont val="Noto Sans CJK SC"/>
        <family val="2"/>
      </rPr>
      <t xml:space="preserve">醫材品質</t>
    </r>
  </si>
  <si>
    <r>
      <rPr>
        <b val="true"/>
        <sz val="9.5"/>
        <color rgb="FF000000"/>
        <rFont val="微軟正黑體"/>
        <family val="0"/>
        <charset val="1"/>
      </rPr>
      <t xml:space="preserve">ISO 14971 </t>
    </r>
    <r>
      <rPr>
        <b val="true"/>
        <sz val="9.5"/>
        <color rgb="FF000000"/>
        <rFont val="Noto Sans CJK SC"/>
        <family val="2"/>
      </rPr>
      <t xml:space="preserve">醫材風險</t>
    </r>
  </si>
  <si>
    <r>
      <rPr>
        <b val="true"/>
        <sz val="9.5"/>
        <color rgb="FF000000"/>
        <rFont val="微軟正黑體"/>
        <family val="0"/>
        <charset val="1"/>
      </rPr>
      <t xml:space="preserve">IEC 60601 </t>
    </r>
    <r>
      <rPr>
        <b val="true"/>
        <sz val="9.5"/>
        <color rgb="FF000000"/>
        <rFont val="Noto Sans CJK SC"/>
        <family val="2"/>
      </rPr>
      <t xml:space="preserve">醫電安全</t>
    </r>
  </si>
  <si>
    <r>
      <rPr>
        <b val="true"/>
        <sz val="9.5"/>
        <color rgb="FF000000"/>
        <rFont val="微軟正黑體"/>
        <family val="0"/>
        <charset val="1"/>
      </rPr>
      <t xml:space="preserve">ISO 27001 </t>
    </r>
    <r>
      <rPr>
        <b val="true"/>
        <sz val="9.5"/>
        <color rgb="FF000000"/>
        <rFont val="Noto Sans CJK SC"/>
        <family val="2"/>
      </rPr>
      <t xml:space="preserve">資訊安全</t>
    </r>
  </si>
  <si>
    <r>
      <rPr>
        <b val="true"/>
        <sz val="9.5"/>
        <color rgb="FF000000"/>
        <rFont val="微軟正黑體"/>
        <family val="0"/>
        <charset val="1"/>
      </rPr>
      <t xml:space="preserve">ISO 22301 </t>
    </r>
    <r>
      <rPr>
        <b val="true"/>
        <sz val="9.5"/>
        <color rgb="FF000000"/>
        <rFont val="Noto Sans CJK SC"/>
        <family val="2"/>
      </rPr>
      <t xml:space="preserve">營運持續</t>
    </r>
  </si>
  <si>
    <r>
      <rPr>
        <b val="true"/>
        <sz val="9.5"/>
        <color rgb="FF000000"/>
        <rFont val="微軟正黑體"/>
        <family val="0"/>
        <charset val="1"/>
      </rPr>
      <t xml:space="preserve">IHE / DICOM </t>
    </r>
    <r>
      <rPr>
        <b val="true"/>
        <sz val="9.5"/>
        <color rgb="FF000000"/>
        <rFont val="Noto Sans CJK SC"/>
        <family val="2"/>
      </rPr>
      <t xml:space="preserve">符合性</t>
    </r>
  </si>
  <si>
    <t xml:space="preserve">越南醫材流通許可</t>
  </si>
  <si>
    <t xml:space="preserve">其他（請填）</t>
  </si>
  <si>
    <r>
      <rPr>
        <b val="true"/>
        <sz val="15"/>
        <color rgb="FFFFFFFF"/>
        <rFont val="微軟正黑體"/>
        <family val="0"/>
        <charset val="1"/>
      </rPr>
      <t xml:space="preserve">04 </t>
    </r>
    <r>
      <rPr>
        <b val="true"/>
        <sz val="15"/>
        <color rgb="FFFFFFFF"/>
        <rFont val="Noto Sans CJK SC"/>
        <family val="2"/>
      </rPr>
      <t xml:space="preserve">越南落地與來源｜</t>
    </r>
    <r>
      <rPr>
        <b val="true"/>
        <sz val="15"/>
        <color rgb="FFFFFFFF"/>
        <rFont val="微軟正黑體"/>
        <family val="0"/>
        <charset val="1"/>
      </rPr>
      <t xml:space="preserve">Vietnam Readiness &amp; Supply-chain Origin</t>
    </r>
  </si>
  <si>
    <t xml:space="preserve">這一頁決定您的產品能不能進得了越南的醫院。所有欄位都會進入內部稽核紀錄，並影響越南官方審查結果。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</si>
  <si>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越南落地能力</t>
    </r>
  </si>
  <si>
    <t xml:space="preserve">★ 在越南是否有法人或分公司</t>
  </si>
  <si>
    <t xml:space="preserve">★ 越南辦公室／服務據點城市</t>
  </si>
  <si>
    <t xml:space="preserve">★ 越南在地員工人數</t>
  </si>
  <si>
    <t xml:space="preserve">★ 是否有越語技術人員</t>
  </si>
  <si>
    <t xml:space="preserve">影響訓練與維運交付</t>
  </si>
  <si>
    <t xml:space="preserve">★ 故障回應時間承諾（小時）</t>
  </si>
  <si>
    <t xml:space="preserve">請分「電話回應」與「到場」</t>
  </si>
  <si>
    <t xml:space="preserve">★ 備品在越南的庫存安排</t>
  </si>
  <si>
    <t xml:space="preserve">有／無／可建立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</si>
  <si>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法規與註冊狀態</t>
    </r>
  </si>
  <si>
    <t xml:space="preserve">★ 主要產品在越南的註冊狀態</t>
  </si>
  <si>
    <t xml:space="preserve">已註冊／申請中／尚未申請／不適用</t>
  </si>
  <si>
    <t xml:space="preserve">★ 若尚未註冊，預估取證時程（月）</t>
  </si>
  <si>
    <t xml:space="preserve">請務實填寫，這是專案關鍵路徑</t>
  </si>
  <si>
    <r>
      <rPr>
        <b val="true"/>
        <sz val="10"/>
        <color rgb="FF1F3864"/>
        <rFont val="Noto Sans CJK SC"/>
        <family val="2"/>
      </rPr>
      <t xml:space="preserve">★ 越南醫材分類（</t>
    </r>
    <r>
      <rPr>
        <b val="true"/>
        <sz val="10"/>
        <color rgb="FF1F3864"/>
        <rFont val="微軟正黑體"/>
        <family val="0"/>
        <charset val="1"/>
      </rPr>
      <t xml:space="preserve">A/B/C/D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</si>
  <si>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sz val="9"/>
        <color rgb="FF808080"/>
        <rFont val="Noto Sans CJK SC"/>
        <family val="2"/>
      </rPr>
      <t xml:space="preserve">依 </t>
    </r>
    <r>
      <rPr>
        <sz val="9"/>
        <color rgb="FF808080"/>
        <rFont val="微軟正黑體"/>
        <family val="0"/>
        <charset val="1"/>
      </rPr>
      <t xml:space="preserve">Decree 98/2021</t>
    </r>
  </si>
  <si>
    <t xml:space="preserve">★ 已取得之越南許可文號</t>
  </si>
  <si>
    <t xml:space="preserve">★ 是否曾有產品在越南被退件或召回</t>
  </si>
  <si>
    <t xml:space="preserve">誠實填寫；隱匿將直接失格</t>
  </si>
  <si>
    <r>
      <rPr>
        <b val="true"/>
        <sz val="12"/>
        <color rgb="FFC00000"/>
        <rFont val="微軟正黑體"/>
        <family val="0"/>
        <charset val="1"/>
      </rPr>
      <t xml:space="preserve">C. </t>
    </r>
    <r>
      <rPr>
        <b val="true"/>
        <sz val="12"/>
        <color rgb="FFC00000"/>
        <rFont val="Noto Sans CJK SC"/>
        <family val="2"/>
      </rPr>
      <t xml:space="preserve">供應鏈與資料來源（內部稽核欄位）</t>
    </r>
  </si>
  <si>
    <t xml:space="preserve">★ 硬體製造國</t>
  </si>
  <si>
    <t xml:space="preserve">主要生產地</t>
  </si>
  <si>
    <t xml:space="preserve">★ 關鍵零組件來源國</t>
  </si>
  <si>
    <t xml:space="preserve">如晶片、感測器、影像板</t>
  </si>
  <si>
    <t xml:space="preserve">★ 韌體／作業系統開發國</t>
  </si>
  <si>
    <t xml:space="preserve">★ 軟體開發與維護所在國</t>
  </si>
  <si>
    <t xml:space="preserve">★ 資料是否可能離開越南境內</t>
  </si>
  <si>
    <t xml:space="preserve">是／否；若是請說明去向</t>
  </si>
  <si>
    <r>
      <rPr>
        <b val="true"/>
        <sz val="10"/>
        <color rgb="FF1F3864"/>
        <rFont val="Noto Sans CJK SC"/>
        <family val="2"/>
      </rPr>
      <t xml:space="preserve">★ 境外次處理者（</t>
    </r>
    <r>
      <rPr>
        <b val="true"/>
        <sz val="10"/>
        <color rgb="FF1F3864"/>
        <rFont val="微軟正黑體"/>
        <family val="0"/>
        <charset val="1"/>
      </rPr>
      <t xml:space="preserve">Sub-processor</t>
    </r>
    <r>
      <rPr>
        <b val="true"/>
        <sz val="10"/>
        <color rgb="FF1F3864"/>
        <rFont val="Noto Sans CJK SC"/>
        <family val="2"/>
      </rPr>
      <t xml:space="preserve">）清單</t>
    </r>
  </si>
  <si>
    <t xml:space="preserve">雲端、遠端維運、資料分析等</t>
  </si>
  <si>
    <t xml:space="preserve">★ 遠端維護連線方式</t>
  </si>
  <si>
    <r>
      <rPr>
        <sz val="9"/>
        <color rgb="FF808080"/>
        <rFont val="微軟正黑體"/>
        <family val="0"/>
        <charset val="1"/>
      </rPr>
      <t xml:space="preserve">VPN</t>
    </r>
    <r>
      <rPr>
        <sz val="9"/>
        <color rgb="FF808080"/>
        <rFont val="Noto Sans CJK SC"/>
        <family val="2"/>
      </rPr>
      <t xml:space="preserve">／專線／不需遠端</t>
    </r>
  </si>
  <si>
    <t xml:space="preserve">★ 可否接受資料完全在越南境內處理</t>
  </si>
  <si>
    <t xml:space="preserve">是／否／需額外成本</t>
  </si>
  <si>
    <r>
      <rPr>
        <b val="true"/>
        <sz val="10"/>
        <color rgb="FF1F3864"/>
        <rFont val="Noto Sans CJK SC"/>
        <family val="2"/>
      </rPr>
      <t xml:space="preserve">★ 實質受益人（</t>
    </r>
    <r>
      <rPr>
        <b val="true"/>
        <sz val="10"/>
        <color rgb="FF1F3864"/>
        <rFont val="微軟正黑體"/>
        <family val="0"/>
        <charset val="1"/>
      </rPr>
      <t xml:space="preserve">Beneficial owner</t>
    </r>
    <r>
      <rPr>
        <b val="true"/>
        <sz val="10"/>
        <color rgb="FF1F3864"/>
        <rFont val="Noto Sans CJK SC"/>
        <family val="2"/>
      </rPr>
      <t xml:space="preserve">）國別</t>
    </r>
  </si>
  <si>
    <t xml:space="preserve">母公司與最終控股</t>
  </si>
  <si>
    <r>
      <rPr>
        <sz val="9.5"/>
        <color rgb="FF5A2A22"/>
        <rFont val="Noto Sans CJK SC"/>
        <family val="2"/>
      </rPr>
      <t xml:space="preserve">說明：</t>
    </r>
    <r>
      <rPr>
        <sz val="9.5"/>
        <color rgb="FF5A2A22"/>
        <rFont val="微軟正黑體"/>
        <family val="0"/>
        <charset val="1"/>
      </rPr>
      <t xml:space="preserve">C </t>
    </r>
    <r>
      <rPr>
        <sz val="9.5"/>
        <color rgb="FF5A2A22"/>
        <rFont val="Noto Sans CJK SC"/>
        <family val="2"/>
      </rPr>
      <t xml:space="preserve">段問題並非針對任何國家，而是越南《個人資料保護法令 </t>
    </r>
    <r>
      <rPr>
        <sz val="9.5"/>
        <color rgb="FF5A2A22"/>
        <rFont val="微軟正黑體"/>
        <family val="0"/>
        <charset val="1"/>
      </rPr>
      <t xml:space="preserve">13/2023</t>
    </r>
    <r>
      <rPr>
        <sz val="9.5"/>
        <color rgb="FF5A2A22"/>
        <rFont val="Noto Sans CJK SC"/>
        <family val="2"/>
      </rPr>
      <t xml:space="preserve">》與《網路安全法令 </t>
    </r>
    <r>
      <rPr>
        <sz val="9.5"/>
        <color rgb="FF5A2A22"/>
        <rFont val="微軟正黑體"/>
        <family val="0"/>
        <charset val="1"/>
      </rPr>
      <t xml:space="preserve">53/2022</t>
    </r>
    <r>
      <rPr>
        <sz val="9.5"/>
        <color rgb="FF5A2A22"/>
        <rFont val="Noto Sans CJK SC"/>
        <family val="2"/>
      </rPr>
      <t xml:space="preserve">》要求我們必須能說明健康資料的處理位置與次處理者。無法回答此段的方案，無法通過越南官方審查。</t>
    </r>
  </si>
  <si>
    <t xml:space="preserve">填表人簽署</t>
  </si>
  <si>
    <t xml:space="preserve">姓名</t>
  </si>
  <si>
    <t xml:space="preserve">職稱</t>
  </si>
  <si>
    <t xml:space="preserve">日期</t>
  </si>
  <si>
    <r>
      <rPr>
        <b val="true"/>
        <sz val="15"/>
        <color rgb="FFFFFFFF"/>
        <rFont val="微軟正黑體"/>
        <family val="0"/>
        <charset val="1"/>
      </rPr>
      <t xml:space="preserve">06 </t>
    </r>
    <r>
      <rPr>
        <b val="true"/>
        <sz val="15"/>
        <color rgb="FFFFFFFF"/>
        <rFont val="Noto Sans CJK SC"/>
        <family val="2"/>
      </rPr>
      <t xml:space="preserve">商機對照｜你加入聯盟，能參與哪些生意（參考頁，不用填）</t>
    </r>
  </si>
  <si>
    <r>
      <rPr>
        <i val="true"/>
        <sz val="9.5"/>
        <color rgb="FF404040"/>
        <rFont val="Noto Sans CJK SC"/>
        <family val="2"/>
      </rPr>
      <t xml:space="preserve">左表：把你在「</t>
    </r>
    <r>
      <rPr>
        <i val="true"/>
        <sz val="9.5"/>
        <color rgb="FF404040"/>
        <rFont val="微軟正黑體"/>
        <family val="0"/>
        <charset val="1"/>
      </rPr>
      <t xml:space="preserve">02_</t>
    </r>
    <r>
      <rPr>
        <i val="true"/>
        <sz val="9.5"/>
        <color rgb="FF404040"/>
        <rFont val="Noto Sans CJK SC"/>
        <family val="2"/>
      </rPr>
      <t xml:space="preserve">能力自評」勾的能力編號拿來對照，看每項能力對應到哪些商機。右表：本聯盟盤點的 </t>
    </r>
    <r>
      <rPr>
        <i val="true"/>
        <sz val="9.5"/>
        <color rgb="FF404040"/>
        <rFont val="微軟正黑體"/>
        <family val="0"/>
        <charset val="1"/>
      </rPr>
      <t xml:space="preserve">85 </t>
    </r>
    <r>
      <rPr>
        <i val="true"/>
        <sz val="9.5"/>
        <color rgb="FF404040"/>
        <rFont val="Noto Sans CJK SC"/>
        <family val="2"/>
      </rPr>
      <t xml:space="preserve">種越南醫院市場商機摘要——標「③尚未出現」的代表越南目前幾乎沒人做，正是先進場的人定規則的空間。想深入了解任何一項，回覆表寄回時註明代號即可，我們會提供該商機的完整作戰資料。</t>
    </r>
  </si>
  <si>
    <r>
      <rPr>
        <b val="true"/>
        <sz val="11"/>
        <color rgb="FF1F3864"/>
        <rFont val="微軟正黑體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能力 → 商機 對照（</t>
    </r>
    <r>
      <rPr>
        <b val="true"/>
        <sz val="11"/>
        <color rgb="FF1F3864"/>
        <rFont val="微軟正黑體"/>
        <family val="0"/>
        <charset val="1"/>
      </rPr>
      <t xml:space="preserve">60 </t>
    </r>
    <r>
      <rPr>
        <b val="true"/>
        <sz val="11"/>
        <color rgb="FF1F3864"/>
        <rFont val="Noto Sans CJK SC"/>
        <family val="2"/>
      </rPr>
      <t xml:space="preserve">項）</t>
    </r>
  </si>
  <si>
    <r>
      <rPr>
        <b val="true"/>
        <sz val="11"/>
        <color rgb="FF7030A0"/>
        <rFont val="微軟正黑體"/>
        <family val="0"/>
        <charset val="1"/>
      </rPr>
      <t xml:space="preserve">B. 85 </t>
    </r>
    <r>
      <rPr>
        <b val="true"/>
        <sz val="11"/>
        <color rgb="FF7030A0"/>
        <rFont val="Noto Sans CJK SC"/>
        <family val="2"/>
      </rPr>
      <t xml:space="preserve">種商機摘要（族群 </t>
    </r>
    <r>
      <rPr>
        <b val="true"/>
        <sz val="11"/>
        <color rgb="FF7030A0"/>
        <rFont val="微軟正黑體"/>
        <family val="0"/>
        <charset val="1"/>
      </rPr>
      <t xml:space="preserve">A~J</t>
    </r>
    <r>
      <rPr>
        <b val="true"/>
        <sz val="11"/>
        <color rgb="FF7030A0"/>
        <rFont val="Noto Sans CJK SC"/>
        <family val="2"/>
      </rPr>
      <t xml:space="preserve">）</t>
    </r>
  </si>
  <si>
    <t xml:space="preserve">CAP ID</t>
  </si>
  <si>
    <t xml:space="preserve">能力項目</t>
  </si>
  <si>
    <t xml:space="preserve">對應商機代號</t>
  </si>
  <si>
    <t xml:space="preserve">商機數</t>
  </si>
  <si>
    <t xml:space="preserve">代號</t>
  </si>
  <si>
    <t xml:space="preserve">商機</t>
  </si>
  <si>
    <t xml:space="preserve">越南現況</t>
  </si>
  <si>
    <t xml:space="preserve">典型金額級距</t>
  </si>
  <si>
    <t xml:space="preserve">族群</t>
  </si>
  <si>
    <t xml:space="preserve">CAP-001</t>
  </si>
  <si>
    <t xml:space="preserve">政府授權與計畫章程</t>
  </si>
  <si>
    <t xml:space="preserve">OPP-01</t>
  </si>
  <si>
    <r>
      <rPr>
        <sz val="9"/>
        <color rgb="FF000000"/>
        <rFont val="Noto Sans CJK SC"/>
        <family val="2"/>
      </rPr>
      <t xml:space="preserve">醫院投資規劃與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交易架構顧問</t>
    </r>
  </si>
  <si>
    <t xml:space="preserve">② 起步中：</t>
  </si>
  <si>
    <t xml:space="preserve">500K-2M USD</t>
  </si>
  <si>
    <t xml:space="preserve">A</t>
  </si>
  <si>
    <t xml:space="preserve">CAP-002</t>
  </si>
  <si>
    <t xml:space="preserve">利害關係人與權力地圖</t>
  </si>
  <si>
    <t xml:space="preserve">OPP-02</t>
  </si>
  <si>
    <t xml:space="preserve">臨床服務定位與營運模式規劃</t>
  </si>
  <si>
    <t xml:space="preserve">100K-500K USD</t>
  </si>
  <si>
    <t xml:space="preserve">CAP-003</t>
  </si>
  <si>
    <t xml:space="preserve">交易模式選擇</t>
  </si>
  <si>
    <t xml:space="preserve">OPP-01; OPP-03; OPP-04</t>
  </si>
  <si>
    <t xml:space="preserve">OPP-03</t>
  </si>
  <si>
    <t xml:space="preserve">外資醫院綠地投資與經營</t>
  </si>
  <si>
    <t xml:space="preserve">&gt;10M USD</t>
  </si>
  <si>
    <t xml:space="preserve">CAP-004</t>
  </si>
  <si>
    <t xml:space="preserve">法規與執照路徑</t>
  </si>
  <si>
    <t xml:space="preserve">OPP-01; OPP-22; OPP-28; OPP-59</t>
  </si>
  <si>
    <t xml:space="preserve">OPP-04</t>
  </si>
  <si>
    <t xml:space="preserve">公立醫院合作經營高端診區</t>
  </si>
  <si>
    <t xml:space="preserve">2M-10M USD</t>
  </si>
  <si>
    <t xml:space="preserve">CAP-005</t>
  </si>
  <si>
    <t xml:space="preserve">聯盟治理與利益衝突</t>
  </si>
  <si>
    <t xml:space="preserve">OPP-05</t>
  </si>
  <si>
    <t xml:space="preserve">省級醫院升級改造整案</t>
  </si>
  <si>
    <t xml:space="preserve">① 已成熟：</t>
  </si>
  <si>
    <t xml:space="preserve">CAP-006</t>
  </si>
  <si>
    <t xml:space="preserve">績效契約與變更控制</t>
  </si>
  <si>
    <t xml:space="preserve">OPP-01; OPP-04; OPP-85</t>
  </si>
  <si>
    <t xml:space="preserve">OPP-06</t>
  </si>
  <si>
    <t xml:space="preserve">醫院建築與院區總體規劃設計</t>
  </si>
  <si>
    <t xml:space="preserve">B</t>
  </si>
  <si>
    <t xml:space="preserve">CAP-007</t>
  </si>
  <si>
    <t xml:space="preserve">人口需求與病例量預測</t>
  </si>
  <si>
    <t xml:space="preserve">OPP-02; OPP-75</t>
  </si>
  <si>
    <t xml:space="preserve">OPP-07</t>
  </si>
  <si>
    <r>
      <rPr>
        <sz val="9"/>
        <color rgb="FF000000"/>
        <rFont val="Noto Sans CJK SC"/>
        <family val="2"/>
      </rPr>
      <t xml:space="preserve">千床級醫院統包工程</t>
    </r>
    <r>
      <rPr>
        <sz val="9"/>
        <color rgb="FF000000"/>
        <rFont val="微軟正黑體"/>
        <family val="0"/>
        <charset val="1"/>
      </rPr>
      <t xml:space="preserve">(EPC)</t>
    </r>
  </si>
  <si>
    <t xml:space="preserve">CAP-008</t>
  </si>
  <si>
    <t xml:space="preserve">醫院定位與服務組合</t>
  </si>
  <si>
    <t xml:space="preserve">OPP-02; OPP-03; OPP-04; OPP-74; OPP-75</t>
  </si>
  <si>
    <t xml:space="preserve">OPP-08</t>
  </si>
  <si>
    <r>
      <rPr>
        <sz val="9"/>
        <color rgb="FF000000"/>
        <rFont val="Noto Sans CJK SC"/>
        <family val="2"/>
      </rPr>
      <t xml:space="preserve">手術室與加護病房潔淨空調（模組化</t>
    </r>
    <r>
      <rPr>
        <sz val="9"/>
        <color rgb="FF000000"/>
        <rFont val="微軟正黑體"/>
        <family val="0"/>
        <charset val="1"/>
      </rPr>
      <t xml:space="preserve">OR</t>
    </r>
    <r>
      <rPr>
        <sz val="9"/>
        <color rgb="FF000000"/>
        <rFont val="Noto Sans CJK SC"/>
        <family val="2"/>
      </rPr>
      <t xml:space="preserve">）</t>
    </r>
  </si>
  <si>
    <t xml:space="preserve">CAP-009</t>
  </si>
  <si>
    <t xml:space="preserve">重點專科優先化</t>
  </si>
  <si>
    <t xml:space="preserve">OPP-02; OPP-74</t>
  </si>
  <si>
    <t xml:space="preserve">OPP-09</t>
  </si>
  <si>
    <t xml:space="preserve">醫用氣體與真空系統（含竣工確效）</t>
  </si>
  <si>
    <t xml:space="preserve">CAP-010</t>
  </si>
  <si>
    <t xml:space="preserve">病人流程與容量設計</t>
  </si>
  <si>
    <t xml:space="preserve">OPP-02; OPP-72; OPP-79</t>
  </si>
  <si>
    <t xml:space="preserve">OPP-10</t>
  </si>
  <si>
    <t xml:space="preserve">醫院供電韌性與隔離電源系統</t>
  </si>
  <si>
    <t xml:space="preserve">CAP-011</t>
  </si>
  <si>
    <t xml:space="preserve">轉診與區域照護網絡</t>
  </si>
  <si>
    <t xml:space="preserve">OPP-02; OPP-77; OPP-78; OPP-79</t>
  </si>
  <si>
    <t xml:space="preserve">OPP-11</t>
  </si>
  <si>
    <t xml:space="preserve">醫療廢水與廢棄物處理廠</t>
  </si>
  <si>
    <t xml:space="preserve">CAP-012</t>
  </si>
  <si>
    <t xml:space="preserve">臨床治理與責任架構</t>
  </si>
  <si>
    <t xml:space="preserve">OPP-12</t>
  </si>
  <si>
    <t xml:space="preserve">綠色醫院能源績效合約與屋頂光電</t>
  </si>
  <si>
    <t xml:space="preserve">③ 尚未出現</t>
  </si>
  <si>
    <t xml:space="preserve">CAP-013</t>
  </si>
  <si>
    <t xml:space="preserve">場址與醫院總體規劃</t>
  </si>
  <si>
    <t xml:space="preserve">OPP-05; OPP-06; OPP-07</t>
  </si>
  <si>
    <t xml:space="preserve">OPP-13</t>
  </si>
  <si>
    <r>
      <rPr>
        <sz val="9"/>
        <color rgb="FF000000"/>
        <rFont val="Noto Sans CJK SC"/>
        <family val="2"/>
      </rPr>
      <t xml:space="preserve">消毒供應中心</t>
    </r>
    <r>
      <rPr>
        <sz val="9"/>
        <color rgb="FF000000"/>
        <rFont val="微軟正黑體"/>
        <family val="0"/>
        <charset val="1"/>
      </rPr>
      <t xml:space="preserve">(CSSD)</t>
    </r>
    <r>
      <rPr>
        <sz val="9"/>
        <color rgb="FF000000"/>
        <rFont val="Noto Sans CJK SC"/>
        <family val="2"/>
      </rPr>
      <t xml:space="preserve">設備整廠</t>
    </r>
  </si>
  <si>
    <t xml:space="preserve">CAP-014</t>
  </si>
  <si>
    <t xml:space="preserve">醫療建築功能計畫</t>
  </si>
  <si>
    <t xml:space="preserve">OPP-14</t>
  </si>
  <si>
    <r>
      <rPr>
        <sz val="9"/>
        <color rgb="FF000000"/>
        <rFont val="Noto Sans CJK SC"/>
        <family val="2"/>
      </rPr>
      <t xml:space="preserve">影像設備整批交鑰匙（</t>
    </r>
    <r>
      <rPr>
        <sz val="9"/>
        <color rgb="FF000000"/>
        <rFont val="微軟正黑體"/>
        <family val="0"/>
        <charset val="1"/>
      </rPr>
      <t xml:space="preserve">CT/MRI/DSA</t>
    </r>
    <r>
      <rPr>
        <sz val="9"/>
        <color rgb="FF000000"/>
        <rFont val="Noto Sans CJK SC"/>
        <family val="2"/>
      </rPr>
      <t xml:space="preserve">＋機房）</t>
    </r>
  </si>
  <si>
    <t xml:space="preserve">C</t>
  </si>
  <si>
    <t xml:space="preserve">CAP-015</t>
  </si>
  <si>
    <t xml:space="preserve">感染控制與潔污動線</t>
  </si>
  <si>
    <t xml:space="preserve">OPP-06; OPP-08; OPP-13; OPP-65</t>
  </si>
  <si>
    <t xml:space="preserve">OPP-15</t>
  </si>
  <si>
    <t xml:space="preserve">放射腫瘤與核醫中心整廠</t>
  </si>
  <si>
    <t xml:space="preserve">CAP-016</t>
  </si>
  <si>
    <t xml:space="preserve">電力、備援與微電網</t>
  </si>
  <si>
    <t xml:space="preserve">OPP-07; OPP-10; OPP-12</t>
  </si>
  <si>
    <t xml:space="preserve">OPP-16</t>
  </si>
  <si>
    <t xml:space="preserve">心導管室與複合式手術室</t>
  </si>
  <si>
    <t xml:space="preserve">CAP-017</t>
  </si>
  <si>
    <t xml:space="preserve">醫療氣體與關鍵公用系統</t>
  </si>
  <si>
    <t xml:space="preserve">OPP-07; OPP-08; OPP-09</t>
  </si>
  <si>
    <t xml:space="preserve">OPP-17</t>
  </si>
  <si>
    <t xml:space="preserve">洗腎設備與水處理系統</t>
  </si>
  <si>
    <t xml:space="preserve">CAP-018</t>
  </si>
  <si>
    <t xml:space="preserve">醫療廢棄物與水資源</t>
  </si>
  <si>
    <t xml:space="preserve">OPP-07; OPP-11; OPP-69</t>
  </si>
  <si>
    <t xml:space="preserve">OPP-18</t>
  </si>
  <si>
    <t xml:space="preserve">內視鏡與自動清洗消毒追溯</t>
  </si>
  <si>
    <t xml:space="preserve">CAP-019</t>
  </si>
  <si>
    <t xml:space="preserve">綠色與氣候韌性醫院</t>
  </si>
  <si>
    <t xml:space="preserve">OPP-06; OPP-12</t>
  </si>
  <si>
    <t xml:space="preserve">OPP-19</t>
  </si>
  <si>
    <t xml:space="preserve">加護病房與整合手術室設備包</t>
  </si>
  <si>
    <t xml:space="preserve">CAP-020</t>
  </si>
  <si>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與邊緣運算底座</t>
    </r>
  </si>
  <si>
    <t xml:space="preserve">OPP-24; OPP-25; OPP-40; OPP-57</t>
  </si>
  <si>
    <t xml:space="preserve">OPP-20</t>
  </si>
  <si>
    <r>
      <rPr>
        <sz val="9"/>
        <color rgb="FF000000"/>
        <rFont val="Noto Sans CJK SC"/>
        <family val="2"/>
      </rPr>
      <t xml:space="preserve">生殖醫學</t>
    </r>
    <r>
      <rPr>
        <sz val="9"/>
        <color rgb="FF000000"/>
        <rFont val="微軟正黑體"/>
        <family val="0"/>
        <charset val="1"/>
      </rPr>
      <t xml:space="preserve">(IVF)</t>
    </r>
    <r>
      <rPr>
        <sz val="9"/>
        <color rgb="FF000000"/>
        <rFont val="Noto Sans CJK SC"/>
        <family val="2"/>
      </rPr>
      <t xml:space="preserve">實驗室整廠</t>
    </r>
  </si>
  <si>
    <t xml:space="preserve">CAP-021</t>
  </si>
  <si>
    <t xml:space="preserve">有線無線網路與分區</t>
  </si>
  <si>
    <t xml:space="preserve">OPP-24</t>
  </si>
  <si>
    <t xml:space="preserve">OPP-21</t>
  </si>
  <si>
    <r>
      <rPr>
        <sz val="9"/>
        <color rgb="FF000000"/>
        <rFont val="Noto Sans CJK SC"/>
        <family val="2"/>
      </rPr>
      <t xml:space="preserve">檢驗中心自動化與</t>
    </r>
    <r>
      <rPr>
        <sz val="9"/>
        <color rgb="FF000000"/>
        <rFont val="微軟正黑體"/>
        <family val="0"/>
        <charset val="1"/>
      </rPr>
      <t xml:space="preserve">LIS</t>
    </r>
  </si>
  <si>
    <t xml:space="preserve">CAP-022</t>
  </si>
  <si>
    <t xml:space="preserve">資安營運與零信任</t>
  </si>
  <si>
    <t xml:space="preserve">OPP-27; OPP-28; OPP-30</t>
  </si>
  <si>
    <t xml:space="preserve">OPP-22</t>
  </si>
  <si>
    <t xml:space="preserve">醫材登記與市場准入代理</t>
  </si>
  <si>
    <t xml:space="preserve">CAP-023</t>
  </si>
  <si>
    <r>
      <rPr>
        <sz val="9"/>
        <color rgb="FF000000"/>
        <rFont val="微軟正黑體"/>
        <family val="0"/>
        <charset val="1"/>
      </rPr>
      <t xml:space="preserve">BMS</t>
    </r>
    <r>
      <rPr>
        <sz val="9"/>
        <color rgb="FF000000"/>
        <rFont val="Noto Sans CJK SC"/>
        <family val="2"/>
      </rPr>
      <t xml:space="preserve">與能源管理</t>
    </r>
  </si>
  <si>
    <t xml:space="preserve">OPP-26</t>
  </si>
  <si>
    <t xml:space="preserve">OPP-23</t>
  </si>
  <si>
    <t xml:space="preserve">行動篩檢車與定點篩檢設備</t>
  </si>
  <si>
    <t xml:space="preserve">CAP-024</t>
  </si>
  <si>
    <r>
      <rPr>
        <sz val="9"/>
        <color rgb="FF000000"/>
        <rFont val="微軟正黑體"/>
        <family val="0"/>
        <charset val="1"/>
      </rPr>
      <t xml:space="preserve">RTLS</t>
    </r>
    <r>
      <rPr>
        <sz val="9"/>
        <color rgb="FF000000"/>
        <rFont val="Noto Sans CJK SC"/>
        <family val="2"/>
      </rPr>
      <t xml:space="preserve">與資產／人員定位</t>
    </r>
  </si>
  <si>
    <r>
      <rPr>
        <sz val="9"/>
        <color rgb="FF000000"/>
        <rFont val="Noto Sans CJK SC"/>
        <family val="2"/>
      </rPr>
      <t xml:space="preserve">醫院</t>
    </r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機房與院區網路建置</t>
    </r>
  </si>
  <si>
    <t xml:space="preserve">D</t>
  </si>
  <si>
    <t xml:space="preserve">CAP-025</t>
  </si>
  <si>
    <t xml:space="preserve">智慧病房、護理呼叫與感測</t>
  </si>
  <si>
    <t xml:space="preserve">OPP-26; OPP-52</t>
  </si>
  <si>
    <t xml:space="preserve">OPP-25</t>
  </si>
  <si>
    <t xml:space="preserve">醫療主權雲與境內代管</t>
  </si>
  <si>
    <t xml:space="preserve">CAP-026</t>
  </si>
  <si>
    <t xml:space="preserve">災難復原與營運持續</t>
  </si>
  <si>
    <t xml:space="preserve">OPP-24; OPP-25; OPP-27; OPP-29; OPP-39; OPP-59</t>
  </si>
  <si>
    <r>
      <rPr>
        <sz val="9"/>
        <color rgb="FF000000"/>
        <rFont val="Noto Sans CJK SC"/>
        <family val="2"/>
      </rPr>
      <t xml:space="preserve">智慧院區</t>
    </r>
    <r>
      <rPr>
        <sz val="9"/>
        <color rgb="FF000000"/>
        <rFont val="微軟正黑體"/>
        <family val="0"/>
        <charset val="1"/>
      </rPr>
      <t xml:space="preserve">AIoT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BMS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RTLS</t>
    </r>
    <r>
      <rPr>
        <sz val="9"/>
        <color rgb="FF000000"/>
        <rFont val="Noto Sans CJK SC"/>
        <family val="2"/>
      </rPr>
      <t xml:space="preserve">／智慧病房）</t>
    </r>
  </si>
  <si>
    <t xml:space="preserve">CAP-027</t>
  </si>
  <si>
    <t xml:space="preserve">醫材需求與設備計畫</t>
  </si>
  <si>
    <t xml:space="preserve">OPP-05; OPP-14; OPP-15; OPP-17; OPP-20; OPP-23; OPP-71; OPP-73</t>
  </si>
  <si>
    <t xml:space="preserve">OPP-27</t>
  </si>
  <si>
    <t xml:space="preserve">醫院資安與等級保護認證</t>
  </si>
  <si>
    <t xml:space="preserve">CAP-028</t>
  </si>
  <si>
    <r>
      <rPr>
        <sz val="9"/>
        <color rgb="FF000000"/>
        <rFont val="Noto Sans CJK SC"/>
        <family val="2"/>
      </rPr>
      <t xml:space="preserve">影像設備、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與報告流程</t>
    </r>
  </si>
  <si>
    <t xml:space="preserve">OPP-14; OPP-23; OPP-32; OPP-39; OPP-44; OPP-45</t>
  </si>
  <si>
    <t xml:space="preserve">OPP-28</t>
  </si>
  <si>
    <r>
      <rPr>
        <sz val="9"/>
        <color rgb="FF000000"/>
        <rFont val="Noto Sans CJK SC"/>
        <family val="2"/>
      </rPr>
      <t xml:space="preserve">個資合規與跨境傳輸顧問</t>
    </r>
    <r>
      <rPr>
        <sz val="9"/>
        <color rgb="FF000000"/>
        <rFont val="微軟正黑體"/>
        <family val="0"/>
        <charset val="1"/>
      </rPr>
      <t xml:space="preserve">(PDPL)</t>
    </r>
  </si>
  <si>
    <t xml:space="preserve">CAP-029</t>
  </si>
  <si>
    <r>
      <rPr>
        <sz val="9"/>
        <color rgb="FF000000"/>
        <rFont val="Noto Sans CJK SC"/>
        <family val="2"/>
      </rPr>
      <t xml:space="preserve">實驗室自動化與</t>
    </r>
    <r>
      <rPr>
        <sz val="9"/>
        <color rgb="FF000000"/>
        <rFont val="微軟正黑體"/>
        <family val="0"/>
        <charset val="1"/>
      </rPr>
      <t xml:space="preserve">LIS</t>
    </r>
  </si>
  <si>
    <t xml:space="preserve">OPP-21; OPP-61; OPP-76</t>
  </si>
  <si>
    <t xml:space="preserve">OPP-29</t>
  </si>
  <si>
    <r>
      <rPr>
        <sz val="9"/>
        <color rgb="FF000000"/>
        <rFont val="Noto Sans CJK SC"/>
        <family val="2"/>
      </rPr>
      <t xml:space="preserve">災難復原與營運持續</t>
    </r>
    <r>
      <rPr>
        <sz val="9"/>
        <color rgb="FF000000"/>
        <rFont val="微軟正黑體"/>
        <family val="0"/>
        <charset val="1"/>
      </rPr>
      <t xml:space="preserve">(DR/BCM)</t>
    </r>
  </si>
  <si>
    <t xml:space="preserve">CAP-030</t>
  </si>
  <si>
    <t xml:space="preserve">手術室與重症整合</t>
  </si>
  <si>
    <t xml:space="preserve">OPP-05; OPP-08; OPP-15; OPP-16; OPP-19; OPP-72; OPP-73</t>
  </si>
  <si>
    <t xml:space="preserve">OPP-30</t>
  </si>
  <si>
    <r>
      <rPr>
        <sz val="9"/>
        <color rgb="FF000000"/>
        <rFont val="Noto Sans CJK SC"/>
        <family val="2"/>
      </rPr>
      <t xml:space="preserve">醫療數位簽章與</t>
    </r>
    <r>
      <rPr>
        <sz val="9"/>
        <color rgb="FF000000"/>
        <rFont val="微軟正黑體"/>
        <family val="0"/>
        <charset val="1"/>
      </rPr>
      <t xml:space="preserve">PKI</t>
    </r>
    <r>
      <rPr>
        <sz val="9"/>
        <color rgb="FF000000"/>
        <rFont val="Noto Sans CJK SC"/>
        <family val="2"/>
      </rPr>
      <t xml:space="preserve">憑證</t>
    </r>
  </si>
  <si>
    <t xml:space="preserve">CAP-031</t>
  </si>
  <si>
    <t xml:space="preserve">醫材介接與裝置身分</t>
  </si>
  <si>
    <t xml:space="preserve">OPP-19; OPP-21; OPP-38</t>
  </si>
  <si>
    <t xml:space="preserve">OPP-31</t>
  </si>
  <si>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核心平台導入</t>
    </r>
  </si>
  <si>
    <t xml:space="preserve">E</t>
  </si>
  <si>
    <t xml:space="preserve">CAP-032</t>
  </si>
  <si>
    <t xml:space="preserve">醫療工程與設備生命週期</t>
  </si>
  <si>
    <t xml:space="preserve">OPP-13; OPP-15; OPP-17; OPP-18; OPP-20; OPP-46; OPP-54; OPP-65; OPP-66</t>
  </si>
  <si>
    <t xml:space="preserve">OPP-32</t>
  </si>
  <si>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RIS</t>
    </r>
    <r>
      <rPr>
        <sz val="9"/>
        <color rgb="FF000000"/>
        <rFont val="Noto Sans CJK SC"/>
        <family val="2"/>
      </rPr>
      <t xml:space="preserve">影像資訊系統</t>
    </r>
  </si>
  <si>
    <t xml:space="preserve">CAP-033</t>
  </si>
  <si>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核心平台</t>
    </r>
  </si>
  <si>
    <t xml:space="preserve">OPP-30; OPP-31; OPP-40</t>
  </si>
  <si>
    <t xml:space="preserve">OPP-33</t>
  </si>
  <si>
    <r>
      <rPr>
        <sz val="9"/>
        <color rgb="FF000000"/>
        <rFont val="微軟正黑體"/>
        <family val="0"/>
        <charset val="1"/>
      </rPr>
      <t xml:space="preserve">FHIR</t>
    </r>
    <r>
      <rPr>
        <sz val="9"/>
        <color rgb="FF000000"/>
        <rFont val="Noto Sans CJK SC"/>
        <family val="2"/>
      </rPr>
      <t xml:space="preserve">互通平台與資料交換</t>
    </r>
  </si>
  <si>
    <t xml:space="preserve">CAP-034</t>
  </si>
  <si>
    <r>
      <rPr>
        <sz val="9"/>
        <color rgb="FF000000"/>
        <rFont val="微軟正黑體"/>
        <family val="0"/>
        <charset val="1"/>
      </rPr>
      <t xml:space="preserve">FHIR</t>
    </r>
    <r>
      <rPr>
        <sz val="9"/>
        <color rgb="FF000000"/>
        <rFont val="Noto Sans CJK SC"/>
        <family val="2"/>
      </rPr>
      <t xml:space="preserve">介接與</t>
    </r>
    <r>
      <rPr>
        <sz val="9"/>
        <color rgb="FF000000"/>
        <rFont val="微軟正黑體"/>
        <family val="0"/>
        <charset val="1"/>
      </rPr>
      <t xml:space="preserve">API</t>
    </r>
    <r>
      <rPr>
        <sz val="9"/>
        <color rgb="FF000000"/>
        <rFont val="Noto Sans CJK SC"/>
        <family val="2"/>
      </rPr>
      <t xml:space="preserve">管理</t>
    </r>
  </si>
  <si>
    <t xml:space="preserve">OPP-21; OPP-32; OPP-33; OPP-44</t>
  </si>
  <si>
    <t xml:space="preserve">OPP-34</t>
  </si>
  <si>
    <r>
      <rPr>
        <sz val="9"/>
        <color rgb="FF000000"/>
        <rFont val="Noto Sans CJK SC"/>
        <family val="2"/>
      </rPr>
      <t xml:space="preserve">主病人索引</t>
    </r>
    <r>
      <rPr>
        <sz val="9"/>
        <color rgb="FF000000"/>
        <rFont val="微軟正黑體"/>
        <family val="0"/>
        <charset val="1"/>
      </rPr>
      <t xml:space="preserve">(MPI)</t>
    </r>
    <r>
      <rPr>
        <sz val="9"/>
        <color rgb="FF000000"/>
        <rFont val="Noto Sans CJK SC"/>
        <family val="2"/>
      </rPr>
      <t xml:space="preserve">與資料清理</t>
    </r>
  </si>
  <si>
    <t xml:space="preserve">CAP-035</t>
  </si>
  <si>
    <t xml:space="preserve">主病人索引與身分整合</t>
  </si>
  <si>
    <t xml:space="preserve">OPP-35</t>
  </si>
  <si>
    <t xml:space="preserve">臨床術語與編碼服務</t>
  </si>
  <si>
    <t xml:space="preserve">CAP-036</t>
  </si>
  <si>
    <t xml:space="preserve">臨床術語與主資料治理</t>
  </si>
  <si>
    <t xml:space="preserve">OPP-33; OPP-34; OPP-35; OPP-58</t>
  </si>
  <si>
    <t xml:space="preserve">OPP-36</t>
  </si>
  <si>
    <t xml:space="preserve">省級健康資料中台</t>
  </si>
  <si>
    <t xml:space="preserve">CAP-037</t>
  </si>
  <si>
    <t xml:space="preserve">電子醫囑、用藥與決策支援</t>
  </si>
  <si>
    <t xml:space="preserve">OPP-31; OPP-38; OPP-41; OPP-42</t>
  </si>
  <si>
    <t xml:space="preserve">OPP-37</t>
  </si>
  <si>
    <r>
      <rPr>
        <sz val="9"/>
        <color rgb="FF000000"/>
        <rFont val="Noto Sans CJK SC"/>
        <family val="2"/>
      </rPr>
      <t xml:space="preserve">醫院</t>
    </r>
    <r>
      <rPr>
        <sz val="9"/>
        <color rgb="FF000000"/>
        <rFont val="微軟正黑體"/>
        <family val="0"/>
        <charset val="1"/>
      </rPr>
      <t xml:space="preserve">BI</t>
    </r>
    <r>
      <rPr>
        <sz val="9"/>
        <color rgb="FF000000"/>
        <rFont val="Noto Sans CJK SC"/>
        <family val="2"/>
      </rPr>
      <t xml:space="preserve">與營運指揮中心</t>
    </r>
  </si>
  <si>
    <t xml:space="preserve">CAP-038</t>
  </si>
  <si>
    <r>
      <rPr>
        <sz val="9"/>
        <color rgb="FF000000"/>
        <rFont val="Noto Sans CJK SC"/>
        <family val="2"/>
      </rPr>
      <t xml:space="preserve">資料平台、</t>
    </r>
    <r>
      <rPr>
        <sz val="9"/>
        <color rgb="FF000000"/>
        <rFont val="微軟正黑體"/>
        <family val="0"/>
        <charset val="1"/>
      </rPr>
      <t xml:space="preserve">BI</t>
    </r>
    <r>
      <rPr>
        <sz val="9"/>
        <color rgb="FF000000"/>
        <rFont val="Noto Sans CJK SC"/>
        <family val="2"/>
      </rPr>
      <t xml:space="preserve">與營運指揮</t>
    </r>
  </si>
  <si>
    <t xml:space="preserve">OPP-36; OPP-37; OPP-58</t>
  </si>
  <si>
    <t xml:space="preserve">OPP-38</t>
  </si>
  <si>
    <t xml:space="preserve">醫材資料介接與床邊自動擷取</t>
  </si>
  <si>
    <t xml:space="preserve">CAP-039</t>
  </si>
  <si>
    <r>
      <rPr>
        <sz val="9"/>
        <color rgb="FF000000"/>
        <rFont val="Noto Sans CJK SC"/>
        <family val="2"/>
      </rPr>
      <t xml:space="preserve">病人入口、行動服務與</t>
    </r>
    <r>
      <rPr>
        <sz val="9"/>
        <color rgb="FF000000"/>
        <rFont val="微軟正黑體"/>
        <family val="0"/>
        <charset val="1"/>
      </rPr>
      <t xml:space="preserve">VNeID</t>
    </r>
    <r>
      <rPr>
        <sz val="9"/>
        <color rgb="FF000000"/>
        <rFont val="Noto Sans CJK SC"/>
        <family val="2"/>
      </rPr>
      <t xml:space="preserve">準備</t>
    </r>
  </si>
  <si>
    <t xml:space="preserve">OPP-56; OPP-80; OPP-81</t>
  </si>
  <si>
    <t xml:space="preserve">OPP-39</t>
  </si>
  <si>
    <r>
      <rPr>
        <sz val="9"/>
        <color rgb="FF000000"/>
        <rFont val="Noto Sans CJK SC"/>
        <family val="2"/>
      </rPr>
      <t xml:space="preserve">影像長期歸檔</t>
    </r>
    <r>
      <rPr>
        <sz val="9"/>
        <color rgb="FF000000"/>
        <rFont val="微軟正黑體"/>
        <family val="0"/>
        <charset val="1"/>
      </rPr>
      <t xml:space="preserve">(VNA)</t>
    </r>
    <r>
      <rPr>
        <sz val="9"/>
        <color rgb="FF000000"/>
        <rFont val="Noto Sans CJK SC"/>
        <family val="2"/>
      </rPr>
      <t xml:space="preserve">與異地備援</t>
    </r>
  </si>
  <si>
    <t xml:space="preserve">CAP-040</t>
  </si>
  <si>
    <r>
      <rPr>
        <sz val="9"/>
        <color rgb="FF000000"/>
        <rFont val="Noto Sans CJK SC"/>
        <family val="2"/>
      </rPr>
      <t xml:space="preserve">品質管理與</t>
    </r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路線圖</t>
    </r>
  </si>
  <si>
    <t xml:space="preserve">OPP-60; OPP-61</t>
  </si>
  <si>
    <t xml:space="preserve">OPP-40</t>
  </si>
  <si>
    <r>
      <rPr>
        <sz val="9"/>
        <color rgb="FF000000"/>
        <rFont val="Noto Sans CJK SC"/>
        <family val="2"/>
      </rPr>
      <t xml:space="preserve">醫療</t>
    </r>
    <r>
      <rPr>
        <sz val="9"/>
        <color rgb="FF000000"/>
        <rFont val="微軟正黑體"/>
        <family val="0"/>
        <charset val="1"/>
      </rPr>
      <t xml:space="preserve">IT</t>
    </r>
    <r>
      <rPr>
        <sz val="9"/>
        <color rgb="FF000000"/>
        <rFont val="Noto Sans CJK SC"/>
        <family val="2"/>
      </rPr>
      <t xml:space="preserve">代管與以租代購</t>
    </r>
  </si>
  <si>
    <t xml:space="preserve">CAP-041</t>
  </si>
  <si>
    <t xml:space="preserve">感染預防與控制制度</t>
  </si>
  <si>
    <t xml:space="preserve">OPP-60</t>
  </si>
  <si>
    <t xml:space="preserve">OPP-41</t>
  </si>
  <si>
    <t xml:space="preserve">電子處方與國家藥品資料庫介接</t>
  </si>
  <si>
    <t xml:space="preserve">&lt;100K USD</t>
  </si>
  <si>
    <t xml:space="preserve">CAP-042</t>
  </si>
  <si>
    <t xml:space="preserve">用藥安全閉環</t>
  </si>
  <si>
    <t xml:space="preserve">OPP-42; OPP-60</t>
  </si>
  <si>
    <t xml:space="preserve">OPP-42</t>
  </si>
  <si>
    <t xml:space="preserve">閉環給藥與條碼用藥安全</t>
  </si>
  <si>
    <t xml:space="preserve">CAP-043</t>
  </si>
  <si>
    <t xml:space="preserve">事件通報與根因改善</t>
  </si>
  <si>
    <t xml:space="preserve">OPP-43</t>
  </si>
  <si>
    <r>
      <rPr>
        <sz val="9"/>
        <color rgb="FF000000"/>
        <rFont val="Noto Sans CJK SC"/>
        <family val="2"/>
      </rPr>
      <t xml:space="preserve">結核胸片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篩檢</t>
    </r>
    <r>
      <rPr>
        <sz val="9"/>
        <color rgb="FF000000"/>
        <rFont val="微軟正黑體"/>
        <family val="0"/>
        <charset val="1"/>
      </rPr>
      <t xml:space="preserve">(CAD)</t>
    </r>
  </si>
  <si>
    <t xml:space="preserve">F</t>
  </si>
  <si>
    <t xml:space="preserve">CAP-044</t>
  </si>
  <si>
    <t xml:space="preserve">開院臨床安全驗證</t>
  </si>
  <si>
    <t xml:space="preserve">OPP-60; OPP-63</t>
  </si>
  <si>
    <t xml:space="preserve">OPP-44</t>
  </si>
  <si>
    <r>
      <rPr>
        <sz val="9"/>
        <color rgb="FF000000"/>
        <rFont val="Noto Sans CJK SC"/>
        <family val="2"/>
      </rPr>
      <t xml:space="preserve">放射影像分診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（中風／出血／結節／骨折）</t>
    </r>
  </si>
  <si>
    <t xml:space="preserve">CAP-045</t>
  </si>
  <si>
    <t xml:space="preserve">人力與輪班模型</t>
  </si>
  <si>
    <t xml:space="preserve">OPP-62; OPP-77</t>
  </si>
  <si>
    <t xml:space="preserve">OPP-45</t>
  </si>
  <si>
    <r>
      <rPr>
        <sz val="9"/>
        <color rgb="FF000000"/>
        <rFont val="Noto Sans CJK SC"/>
        <family val="2"/>
      </rPr>
      <t xml:space="preserve">肺癌</t>
    </r>
    <r>
      <rPr>
        <sz val="9"/>
        <color rgb="FF000000"/>
        <rFont val="微軟正黑體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早篩</t>
    </r>
    <r>
      <rPr>
        <sz val="9"/>
        <color rgb="FF000000"/>
        <rFont val="微軟正黑體"/>
        <family val="0"/>
        <charset val="1"/>
      </rPr>
      <t xml:space="preserve">AI</t>
    </r>
  </si>
  <si>
    <t xml:space="preserve">CAP-046</t>
  </si>
  <si>
    <t xml:space="preserve">職能矩陣與授權</t>
  </si>
  <si>
    <t xml:space="preserve">OPP-62</t>
  </si>
  <si>
    <t xml:space="preserve">OPP-46</t>
  </si>
  <si>
    <r>
      <rPr>
        <sz val="9"/>
        <color rgb="FF000000"/>
        <rFont val="Noto Sans CJK SC"/>
        <family val="2"/>
      </rPr>
      <t xml:space="preserve">內視鏡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息肉偵測</t>
    </r>
  </si>
  <si>
    <t xml:space="preserve">CAP-047</t>
  </si>
  <si>
    <t xml:space="preserve">種子教師與技術移轉</t>
  </si>
  <si>
    <t xml:space="preserve">OPP-47</t>
  </si>
  <si>
    <r>
      <rPr>
        <sz val="9"/>
        <color rgb="FF000000"/>
        <rFont val="Noto Sans CJK SC"/>
        <family val="2"/>
      </rPr>
      <t xml:space="preserve">糖尿病視網膜病變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篩檢</t>
    </r>
  </si>
  <si>
    <t xml:space="preserve">CAP-048</t>
  </si>
  <si>
    <t xml:space="preserve">模擬中心與開院演練</t>
  </si>
  <si>
    <t xml:space="preserve">OPP-62; OPP-63</t>
  </si>
  <si>
    <t xml:space="preserve">OPP-48</t>
  </si>
  <si>
    <r>
      <rPr>
        <sz val="9"/>
        <color rgb="FF000000"/>
        <rFont val="Noto Sans CJK SC"/>
        <family val="2"/>
      </rPr>
      <t xml:space="preserve">病理數位化與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判讀</t>
    </r>
  </si>
  <si>
    <t xml:space="preserve">CAP-049</t>
  </si>
  <si>
    <t xml:space="preserve">變革管理與使用者採納</t>
  </si>
  <si>
    <t xml:space="preserve">OPP-49</t>
  </si>
  <si>
    <r>
      <rPr>
        <sz val="9"/>
        <color rgb="FF000000"/>
        <rFont val="Noto Sans CJK SC"/>
        <family val="2"/>
      </rPr>
      <t xml:space="preserve">越南語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病歷書寫助理</t>
    </r>
  </si>
  <si>
    <t xml:space="preserve">CAP-050</t>
  </si>
  <si>
    <t xml:space="preserve">整合採購與供應商治理</t>
  </si>
  <si>
    <t xml:space="preserve">OPP-53; OPP-64</t>
  </si>
  <si>
    <t xml:space="preserve">OPP-50</t>
  </si>
  <si>
    <t xml:space="preserve">臨床大模型助理與知識庫</t>
  </si>
  <si>
    <t xml:space="preserve">CAP-051</t>
  </si>
  <si>
    <r>
      <rPr>
        <sz val="9"/>
        <color rgb="FF000000"/>
        <rFont val="Noto Sans CJK SC"/>
        <family val="2"/>
      </rPr>
      <t xml:space="preserve">藥品耗材與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物流</t>
    </r>
  </si>
  <si>
    <t xml:space="preserve">OPP-51</t>
  </si>
  <si>
    <r>
      <rPr>
        <sz val="9"/>
        <color rgb="FF000000"/>
        <rFont val="Noto Sans CJK SC"/>
        <family val="2"/>
      </rPr>
      <t xml:space="preserve">健保申報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審核與拒付管理</t>
    </r>
  </si>
  <si>
    <t xml:space="preserve">CAP-052</t>
  </si>
  <si>
    <t xml:space="preserve">冷鏈與特殊物料</t>
  </si>
  <si>
    <t xml:space="preserve">OPP-68; OPP-69</t>
  </si>
  <si>
    <t xml:space="preserve">OPP-52</t>
  </si>
  <si>
    <r>
      <rPr>
        <sz val="9"/>
        <color rgb="FF000000"/>
        <rFont val="Noto Sans CJK SC"/>
        <family val="2"/>
      </rPr>
      <t xml:space="preserve">病床病人流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與手術室排程優化</t>
    </r>
  </si>
  <si>
    <t xml:space="preserve">CAP-053</t>
  </si>
  <si>
    <r>
      <rPr>
        <sz val="9"/>
        <color rgb="FF000000"/>
        <rFont val="微軟正黑體"/>
        <family val="0"/>
        <charset val="1"/>
      </rPr>
      <t xml:space="preserve">CMMS</t>
    </r>
    <r>
      <rPr>
        <sz val="9"/>
        <color rgb="FF000000"/>
        <rFont val="Noto Sans CJK SC"/>
        <family val="2"/>
      </rPr>
      <t xml:space="preserve">與設施維運</t>
    </r>
  </si>
  <si>
    <t xml:space="preserve">OPP-26; OPP-37; OPP-52; OPP-54; OPP-67</t>
  </si>
  <si>
    <t xml:space="preserve">OPP-53</t>
  </si>
  <si>
    <r>
      <rPr>
        <sz val="9"/>
        <color rgb="FF000000"/>
        <rFont val="Noto Sans CJK SC"/>
        <family val="2"/>
      </rPr>
      <t xml:space="preserve">藥品耗材需求預測</t>
    </r>
    <r>
      <rPr>
        <sz val="9"/>
        <color rgb="FF000000"/>
        <rFont val="微軟正黑體"/>
        <family val="0"/>
        <charset val="1"/>
      </rPr>
      <t xml:space="preserve">AI</t>
    </r>
  </si>
  <si>
    <t xml:space="preserve">CAP-054</t>
  </si>
  <si>
    <t xml:space="preserve">在地備品、維修與汰換</t>
  </si>
  <si>
    <t xml:space="preserve">OPP-66; OPP-70</t>
  </si>
  <si>
    <t xml:space="preserve">OPP-54</t>
  </si>
  <si>
    <r>
      <rPr>
        <sz val="9"/>
        <color rgb="FF000000"/>
        <rFont val="Noto Sans CJK SC"/>
        <family val="2"/>
      </rPr>
      <t xml:space="preserve">設備預測維護與能耗優化</t>
    </r>
    <r>
      <rPr>
        <sz val="9"/>
        <color rgb="FF000000"/>
        <rFont val="微軟正黑體"/>
        <family val="0"/>
        <charset val="1"/>
      </rPr>
      <t xml:space="preserve">AI</t>
    </r>
  </si>
  <si>
    <t xml:space="preserve">CAP-055</t>
  </si>
  <si>
    <t xml:space="preserve">全生命週期成本模型</t>
  </si>
  <si>
    <t xml:space="preserve">OPP-01; OPP-03; OPP-04; OPP-40; OPP-84</t>
  </si>
  <si>
    <t xml:space="preserve">OPP-55</t>
  </si>
  <si>
    <r>
      <rPr>
        <sz val="9"/>
        <color rgb="FF000000"/>
        <rFont val="Noto Sans CJK SC"/>
        <family val="2"/>
      </rPr>
      <t xml:space="preserve">敗血症與病情惡化預警</t>
    </r>
    <r>
      <rPr>
        <sz val="9"/>
        <color rgb="FF000000"/>
        <rFont val="微軟正黑體"/>
        <family val="0"/>
        <charset val="1"/>
      </rPr>
      <t xml:space="preserve">AI</t>
    </r>
  </si>
  <si>
    <t xml:space="preserve">CAP-056</t>
  </si>
  <si>
    <t xml:space="preserve">健保申報與數位理賠</t>
  </si>
  <si>
    <t xml:space="preserve">OPP-51; OPP-82</t>
  </si>
  <si>
    <t xml:space="preserve">OPP-56</t>
  </si>
  <si>
    <t xml:space="preserve">越南語分診聊天機器人與病人助理</t>
  </si>
  <si>
    <t xml:space="preserve">CAP-057</t>
  </si>
  <si>
    <t xml:space="preserve">現金流、支付與收入週期</t>
  </si>
  <si>
    <t xml:space="preserve">OPP-81; OPP-82</t>
  </si>
  <si>
    <t xml:space="preserve">OPP-57</t>
  </si>
  <si>
    <r>
      <rPr>
        <sz val="9"/>
        <color rgb="FF000000"/>
        <rFont val="Noto Sans CJK SC"/>
        <family val="2"/>
      </rPr>
      <t xml:space="preserve">院內</t>
    </r>
    <r>
      <rPr>
        <sz val="9"/>
        <color rgb="FF000000"/>
        <rFont val="微軟正黑體"/>
        <family val="0"/>
        <charset val="1"/>
      </rPr>
      <t xml:space="preserve">GPU</t>
    </r>
    <r>
      <rPr>
        <sz val="9"/>
        <color rgb="FF000000"/>
        <rFont val="Noto Sans CJK SC"/>
        <family val="2"/>
      </rPr>
      <t xml:space="preserve">與邊緣推論基礎設施</t>
    </r>
  </si>
  <si>
    <t xml:space="preserve">CAP-058</t>
  </si>
  <si>
    <t xml:space="preserve">國際醫療與高價值服務</t>
  </si>
  <si>
    <t xml:space="preserve">OPP-83; OPP-84</t>
  </si>
  <si>
    <t xml:space="preserve">OPP-58</t>
  </si>
  <si>
    <r>
      <rPr>
        <sz val="9"/>
        <color rgb="FF000000"/>
        <rFont val="Noto Sans CJK SC"/>
        <family val="2"/>
      </rPr>
      <t xml:space="preserve">醫院資料湖、去識別化與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訓練資料層</t>
    </r>
  </si>
  <si>
    <t xml:space="preserve">CAP-059</t>
  </si>
  <si>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JV</t>
    </r>
    <r>
      <rPr>
        <sz val="9"/>
        <color rgb="FF000000"/>
        <rFont val="Noto Sans CJK SC"/>
        <family val="2"/>
      </rPr>
      <t xml:space="preserve">財務與風險分配</t>
    </r>
  </si>
  <si>
    <t xml:space="preserve">OPP-01; OPP-03</t>
  </si>
  <si>
    <t xml:space="preserve">OPP-59</t>
  </si>
  <si>
    <r>
      <rPr>
        <sz val="9"/>
        <color rgb="FF000000"/>
        <rFont val="Noto Sans CJK SC"/>
        <family val="2"/>
      </rPr>
      <t xml:space="preserve">醫療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法規登記、在地驗證與模型治理</t>
    </r>
  </si>
  <si>
    <t xml:space="preserve">CAP-060</t>
  </si>
  <si>
    <t xml:space="preserve">效益實現與複製藍圖</t>
  </si>
  <si>
    <t xml:space="preserve">OPP-01; OPP-85</t>
  </si>
  <si>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品質認證與病安體系導入</t>
    </r>
  </si>
  <si>
    <t xml:space="preserve">G</t>
  </si>
  <si>
    <t xml:space="preserve">OPP-61</t>
  </si>
  <si>
    <r>
      <rPr>
        <sz val="9"/>
        <color rgb="FF000000"/>
        <rFont val="微軟正黑體"/>
        <family val="0"/>
        <charset val="1"/>
      </rPr>
      <t xml:space="preserve">ISO 15189</t>
    </r>
    <r>
      <rPr>
        <sz val="9"/>
        <color rgb="FF000000"/>
        <rFont val="Noto Sans CJK SC"/>
        <family val="2"/>
      </rPr>
      <t xml:space="preserve">檢驗室認證輔導</t>
    </r>
  </si>
  <si>
    <t xml:space="preserve">臨床人才培訓、模擬中心與技術移轉</t>
  </si>
  <si>
    <t xml:space="preserve">OPP-63</t>
  </si>
  <si>
    <t xml:space="preserve">開院前臨床安全驗證與試營運</t>
  </si>
  <si>
    <t xml:space="preserve">OPP-64</t>
  </si>
  <si>
    <r>
      <rPr>
        <sz val="9"/>
        <color rgb="FF000000"/>
        <rFont val="Noto Sans CJK SC"/>
        <family val="2"/>
      </rPr>
      <t xml:space="preserve">院內物流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委外</t>
    </r>
  </si>
  <si>
    <t xml:space="preserve">H</t>
  </si>
  <si>
    <t xml:space="preserve">OPP-65</t>
  </si>
  <si>
    <r>
      <rPr>
        <sz val="9"/>
        <color rgb="FF000000"/>
        <rFont val="Noto Sans CJK SC"/>
        <family val="2"/>
      </rPr>
      <t xml:space="preserve">消毒供應外包（區域</t>
    </r>
    <r>
      <rPr>
        <sz val="9"/>
        <color rgb="FF000000"/>
        <rFont val="微軟正黑體"/>
        <family val="0"/>
        <charset val="1"/>
      </rPr>
      <t xml:space="preserve">CSSD</t>
    </r>
    <r>
      <rPr>
        <sz val="9"/>
        <color rgb="FF000000"/>
        <rFont val="Noto Sans CJK SC"/>
        <family val="2"/>
      </rPr>
      <t xml:space="preserve">服務化）</t>
    </r>
  </si>
  <si>
    <t xml:space="preserve">OPP-66</t>
  </si>
  <si>
    <r>
      <rPr>
        <sz val="9"/>
        <color rgb="FF000000"/>
        <rFont val="Noto Sans CJK SC"/>
        <family val="2"/>
      </rPr>
      <t xml:space="preserve">醫材維運與託管服務</t>
    </r>
    <r>
      <rPr>
        <sz val="9"/>
        <color rgb="FF000000"/>
        <rFont val="微軟正黑體"/>
        <family val="0"/>
        <charset val="1"/>
      </rPr>
      <t xml:space="preserve">(MES)</t>
    </r>
  </si>
  <si>
    <t xml:space="preserve">OPP-67</t>
  </si>
  <si>
    <r>
      <rPr>
        <sz val="9"/>
        <color rgb="FF000000"/>
        <rFont val="Noto Sans CJK SC"/>
        <family val="2"/>
      </rPr>
      <t xml:space="preserve">醫院設施管理委外（醫療級</t>
    </r>
    <r>
      <rPr>
        <sz val="9"/>
        <color rgb="FF000000"/>
        <rFont val="微軟正黑體"/>
        <family val="0"/>
        <charset val="1"/>
      </rPr>
      <t xml:space="preserve">FM</t>
    </r>
    <r>
      <rPr>
        <sz val="9"/>
        <color rgb="FF000000"/>
        <rFont val="Noto Sans CJK SC"/>
        <family val="2"/>
      </rPr>
      <t xml:space="preserve">）</t>
    </r>
  </si>
  <si>
    <t xml:space="preserve">OPP-68</t>
  </si>
  <si>
    <t xml:space="preserve">冷鏈與特殊物料物流</t>
  </si>
  <si>
    <t xml:space="preserve">OPP-69</t>
  </si>
  <si>
    <t xml:space="preserve">醫療廢棄物收運處理服務</t>
  </si>
  <si>
    <t xml:space="preserve">OPP-70</t>
  </si>
  <si>
    <t xml:space="preserve">在地備品、維修與汰換服務網</t>
  </si>
  <si>
    <t xml:space="preserve">OPP-71</t>
  </si>
  <si>
    <t xml:space="preserve">洗腎連鎖（衛星洗腎中心）</t>
  </si>
  <si>
    <t xml:space="preserve">I</t>
  </si>
  <si>
    <t xml:space="preserve">OPP-72</t>
  </si>
  <si>
    <r>
      <rPr>
        <sz val="9"/>
        <color rgb="FF000000"/>
        <rFont val="Noto Sans CJK SC"/>
        <family val="2"/>
      </rPr>
      <t xml:space="preserve">日間手術中心</t>
    </r>
    <r>
      <rPr>
        <sz val="9"/>
        <color rgb="FF000000"/>
        <rFont val="微軟正黑體"/>
        <family val="0"/>
        <charset val="1"/>
      </rPr>
      <t xml:space="preserve">(ASC)</t>
    </r>
  </si>
  <si>
    <t xml:space="preserve">OPP-73</t>
  </si>
  <si>
    <t xml:space="preserve">癌症中心合資經營</t>
  </si>
  <si>
    <t xml:space="preserve">OPP-74</t>
  </si>
  <si>
    <r>
      <rPr>
        <sz val="9"/>
        <color rgb="FF000000"/>
        <rFont val="Noto Sans CJK SC"/>
        <family val="2"/>
      </rPr>
      <t xml:space="preserve">生殖醫學</t>
    </r>
    <r>
      <rPr>
        <sz val="9"/>
        <color rgb="FF000000"/>
        <rFont val="微軟正黑體"/>
        <family val="0"/>
        <charset val="1"/>
      </rPr>
      <t xml:space="preserve">(IVF)</t>
    </r>
    <r>
      <rPr>
        <sz val="9"/>
        <color rgb="FF000000"/>
        <rFont val="Noto Sans CJK SC"/>
        <family val="2"/>
      </rPr>
      <t xml:space="preserve">連鎖</t>
    </r>
  </si>
  <si>
    <t xml:space="preserve">OPP-75</t>
  </si>
  <si>
    <t xml:space="preserve">健檢連鎖與行動篩檢營運</t>
  </si>
  <si>
    <t xml:space="preserve">OPP-76</t>
  </si>
  <si>
    <t xml:space="preserve">委外檢驗與區域中心實驗室</t>
  </si>
  <si>
    <t xml:space="preserve">OPP-77</t>
  </si>
  <si>
    <t xml:space="preserve">長照機構與失智照護</t>
  </si>
  <si>
    <t xml:space="preserve">OPP-78</t>
  </si>
  <si>
    <t xml:space="preserve">居家醫療、居家護理與安寧</t>
  </si>
  <si>
    <t xml:space="preserve">OPP-79</t>
  </si>
  <si>
    <t xml:space="preserve">復健與亞急性照護中心</t>
  </si>
  <si>
    <t xml:space="preserve">OPP-80</t>
  </si>
  <si>
    <t xml:space="preserve">遠距醫療與居家遠端監測</t>
  </si>
  <si>
    <t xml:space="preserve">OPP-81</t>
  </si>
  <si>
    <r>
      <rPr>
        <sz val="9"/>
        <color rgb="FF000000"/>
        <rFont val="Noto Sans CJK SC"/>
        <family val="2"/>
      </rPr>
      <t xml:space="preserve">病人</t>
    </r>
    <r>
      <rPr>
        <sz val="9"/>
        <color rgb="FF000000"/>
        <rFont val="微軟正黑體"/>
        <family val="0"/>
        <charset val="1"/>
      </rPr>
      <t xml:space="preserve">App</t>
    </r>
    <r>
      <rPr>
        <sz val="9"/>
        <color rgb="FF000000"/>
        <rFont val="Noto Sans CJK SC"/>
        <family val="2"/>
      </rPr>
      <t xml:space="preserve">、無現金支付與報到機</t>
    </r>
  </si>
  <si>
    <t xml:space="preserve">J</t>
  </si>
  <si>
    <t xml:space="preserve">OPP-82</t>
  </si>
  <si>
    <t xml:space="preserve">健保申報介接與收入循環管理</t>
  </si>
  <si>
    <t xml:space="preserve">OPP-83</t>
  </si>
  <si>
    <t xml:space="preserve">國際醫療與病患回流方案</t>
  </si>
  <si>
    <t xml:space="preserve">OPP-84</t>
  </si>
  <si>
    <t xml:space="preserve">商業健康保險合作與給付方案設計</t>
  </si>
  <si>
    <t xml:space="preserve">OPP-85</t>
  </si>
  <si>
    <t xml:space="preserve">效益實現與第二院區複製藍圖</t>
  </si>
  <si>
    <r>
      <rPr>
        <sz val="9.5"/>
        <color rgb="FF404050"/>
        <rFont val="Noto Sans CJK SC"/>
        <family val="2"/>
      </rPr>
      <t xml:space="preserve">★ 本頁為 </t>
    </r>
    <r>
      <rPr>
        <sz val="9.5"/>
        <color rgb="FF404050"/>
        <rFont val="微軟正黑體"/>
        <family val="0"/>
        <charset val="1"/>
      </rPr>
      <t xml:space="preserve">2026-08 </t>
    </r>
    <r>
      <rPr>
        <sz val="9.5"/>
        <color rgb="FF404050"/>
        <rFont val="Noto Sans CJK SC"/>
        <family val="2"/>
      </rPr>
      <t xml:space="preserve">快照，正式商機內容以主工具（</t>
    </r>
    <r>
      <rPr>
        <sz val="9.5"/>
        <color rgb="FF404050"/>
        <rFont val="微軟正黑體"/>
        <family val="0"/>
        <charset val="1"/>
      </rPr>
      <t xml:space="preserve">PI </t>
    </r>
    <r>
      <rPr>
        <sz val="9.5"/>
        <color rgb="FF404050"/>
        <rFont val="Noto Sans CJK SC"/>
        <family val="2"/>
      </rPr>
      <t xml:space="preserve">維護）為準。一項能力對到越多商機（左表紅字≥</t>
    </r>
    <r>
      <rPr>
        <sz val="9.5"/>
        <color rgb="FF404050"/>
        <rFont val="微軟正黑體"/>
        <family val="0"/>
        <charset val="1"/>
      </rPr>
      <t xml:space="preserve">4</t>
    </r>
    <r>
      <rPr>
        <sz val="9.5"/>
        <color rgb="FF404050"/>
        <rFont val="Noto Sans CJK SC"/>
        <family val="2"/>
      </rPr>
      <t xml:space="preserve">），代表你加入後能參與的生意越多——這正是我們找夥伴的邏輯：一次結盟、多門生意。</t>
    </r>
  </si>
  <si>
    <r>
      <rPr>
        <b val="true"/>
        <sz val="15"/>
        <color rgb="FFFFFFFF"/>
        <rFont val="微軟正黑體"/>
        <family val="0"/>
        <charset val="1"/>
      </rPr>
      <t xml:space="preserve">05 </t>
    </r>
    <r>
      <rPr>
        <b val="true"/>
        <sz val="15"/>
        <color rgb="FFFFFFFF"/>
        <rFont val="Noto Sans CJK SC"/>
        <family val="2"/>
      </rPr>
      <t xml:space="preserve">彙總輸出｜</t>
    </r>
    <r>
      <rPr>
        <b val="true"/>
        <sz val="15"/>
        <color rgb="FFFFFFFF"/>
        <rFont val="微軟正黑體"/>
        <family val="0"/>
        <charset val="1"/>
      </rPr>
      <t xml:space="preserve">Export Row</t>
    </r>
    <r>
      <rPr>
        <b val="true"/>
        <sz val="15"/>
        <color rgb="FFFFFFFF"/>
        <rFont val="Noto Sans CJK SC"/>
        <family val="2"/>
      </rPr>
      <t xml:space="preserve">（</t>
    </r>
    <r>
      <rPr>
        <b val="true"/>
        <sz val="15"/>
        <color rgb="FFFFFFFF"/>
        <rFont val="微軟正黑體"/>
        <family val="0"/>
        <charset val="1"/>
      </rPr>
      <t xml:space="preserve">PI </t>
    </r>
    <r>
      <rPr>
        <b val="true"/>
        <sz val="15"/>
        <color rgb="FFFFFFFF"/>
        <rFont val="Noto Sans CJK SC"/>
        <family val="2"/>
      </rPr>
      <t xml:space="preserve">辦公室用，夥伴不需填）</t>
    </r>
  </si>
  <si>
    <r>
      <rPr>
        <i val="true"/>
        <sz val="9.5"/>
        <color rgb="FF404040"/>
        <rFont val="Noto Sans CJK SC"/>
        <family val="2"/>
      </rPr>
      <t xml:space="preserve">本頁全部是公式，會把前面四張分頁的答案整理成「主工具 </t>
    </r>
    <r>
      <rPr>
        <i val="true"/>
        <sz val="9.5"/>
        <color rgb="FF404040"/>
        <rFont val="微軟正黑體"/>
        <family val="0"/>
        <charset val="1"/>
      </rPr>
      <t xml:space="preserve">04 </t>
    </r>
    <r>
      <rPr>
        <i val="true"/>
        <sz val="9.5"/>
        <color rgb="FF404040"/>
        <rFont val="Noto Sans CJK SC"/>
        <family val="2"/>
      </rPr>
      <t xml:space="preserve">夥伴拼圖」需要的欄位順序。回收本表後，依下方兩個步驟複製貼上，就完成建檔——不需要逐格重打。</t>
    </r>
  </si>
  <si>
    <r>
      <rPr>
        <b val="true"/>
        <sz val="11"/>
        <color rgb="FF1F3864"/>
        <rFont val="Noto Sans CJK SC"/>
        <family val="2"/>
      </rPr>
      <t xml:space="preserve">步驟一：複製 </t>
    </r>
    <r>
      <rPr>
        <b val="true"/>
        <sz val="11"/>
        <color rgb="FF1F3864"/>
        <rFont val="微軟正黑體"/>
        <family val="0"/>
        <charset val="1"/>
      </rPr>
      <t xml:space="preserve">B7:O7</t>
    </r>
    <r>
      <rPr>
        <b val="true"/>
        <sz val="11"/>
        <color rgb="FF1F3864"/>
        <rFont val="Noto Sans CJK SC"/>
        <family val="2"/>
      </rPr>
      <t xml:space="preserve">（共 </t>
    </r>
    <r>
      <rPr>
        <b val="true"/>
        <sz val="11"/>
        <color rgb="FF1F3864"/>
        <rFont val="微軟正黑體"/>
        <family val="0"/>
        <charset val="1"/>
      </rPr>
      <t xml:space="preserve">14 </t>
    </r>
    <r>
      <rPr>
        <b val="true"/>
        <sz val="11"/>
        <color rgb="FF1F3864"/>
        <rFont val="Noto Sans CJK SC"/>
        <family val="2"/>
      </rPr>
      <t xml:space="preserve">欄，從</t>
    </r>
    <r>
      <rPr>
        <b val="true"/>
        <sz val="11"/>
        <color rgb="FF1F3864"/>
        <rFont val="微軟正黑體"/>
        <family val="0"/>
        <charset val="1"/>
      </rPr>
      <t xml:space="preserve">B</t>
    </r>
    <r>
      <rPr>
        <b val="true"/>
        <sz val="11"/>
        <color rgb="FF1F3864"/>
        <rFont val="Noto Sans CJK SC"/>
        <family val="2"/>
      </rPr>
      <t xml:space="preserve">開始、不含</t>
    </r>
    <r>
      <rPr>
        <b val="true"/>
        <sz val="11"/>
        <color rgb="FF1F3864"/>
        <rFont val="微軟正黑體"/>
        <family val="0"/>
        <charset val="1"/>
      </rPr>
      <t xml:space="preserve">A</t>
    </r>
    <r>
      <rPr>
        <b val="true"/>
        <sz val="11"/>
        <color rgb="FF1F3864"/>
        <rFont val="Noto Sans CJK SC"/>
        <family val="2"/>
      </rPr>
      <t xml:space="preserve">）→ 到主工具「</t>
    </r>
    <r>
      <rPr>
        <b val="true"/>
        <sz val="11"/>
        <color rgb="FF1F3864"/>
        <rFont val="微軟正黑體"/>
        <family val="0"/>
        <charset val="1"/>
      </rPr>
      <t xml:space="preserve">04_</t>
    </r>
    <r>
      <rPr>
        <b val="true"/>
        <sz val="11"/>
        <color rgb="FF1F3864"/>
        <rFont val="Noto Sans CJK SC"/>
        <family val="2"/>
      </rPr>
      <t xml:space="preserve">夥伴拼圖</t>
    </r>
    <r>
      <rPr>
        <b val="true"/>
        <sz val="11"/>
        <color rgb="FF1F3864"/>
        <rFont val="微軟正黑體"/>
        <family val="0"/>
        <charset val="1"/>
      </rPr>
      <t xml:space="preserve">_Partners</t>
    </r>
    <r>
      <rPr>
        <b val="true"/>
        <sz val="11"/>
        <color rgb="FF1F3864"/>
        <rFont val="Noto Sans CJK SC"/>
        <family val="2"/>
      </rPr>
      <t xml:space="preserve">」的第一個空白列，在 </t>
    </r>
    <r>
      <rPr>
        <b val="true"/>
        <sz val="11"/>
        <color rgb="FF1F3864"/>
        <rFont val="微軟正黑體"/>
        <family val="0"/>
        <charset val="1"/>
      </rPr>
      <t xml:space="preserve">B </t>
    </r>
    <r>
      <rPr>
        <b val="true"/>
        <sz val="11"/>
        <color rgb="FF1F3864"/>
        <rFont val="Noto Sans CJK SC"/>
        <family val="2"/>
      </rPr>
      <t xml:space="preserve">欄按滑鼠右鍵→「選擇性貼上」→「值」。</t>
    </r>
    <r>
      <rPr>
        <b val="true"/>
        <sz val="11"/>
        <color rgb="FF1F3864"/>
        <rFont val="微軟正黑體"/>
        <family val="0"/>
        <charset val="1"/>
      </rPr>
      <t xml:space="preserve">A</t>
    </r>
    <r>
      <rPr>
        <b val="true"/>
        <sz val="11"/>
        <color rgb="FF1F3864"/>
        <rFont val="Noto Sans CJK SC"/>
        <family val="2"/>
      </rPr>
      <t xml:space="preserve">欄（夥伴</t>
    </r>
    <r>
      <rPr>
        <b val="true"/>
        <sz val="11"/>
        <color rgb="FF1F3864"/>
        <rFont val="微軟正黑體"/>
        <family val="0"/>
        <charset val="1"/>
      </rPr>
      <t xml:space="preserve">ID</t>
    </r>
    <r>
      <rPr>
        <b val="true"/>
        <sz val="11"/>
        <color rgb="FF1F3864"/>
        <rFont val="Noto Sans CJK SC"/>
        <family val="2"/>
      </rPr>
      <t xml:space="preserve">）不用貼、也不用填，</t>
    </r>
    <r>
      <rPr>
        <b val="true"/>
        <sz val="11"/>
        <color rgb="FF1F3864"/>
        <rFont val="微軟正黑體"/>
        <family val="0"/>
        <charset val="1"/>
      </rPr>
      <t xml:space="preserve">B</t>
    </r>
    <r>
      <rPr>
        <b val="true"/>
        <sz val="11"/>
        <color rgb="FF1F3864"/>
        <rFont val="Noto Sans CJK SC"/>
        <family val="2"/>
      </rPr>
      <t xml:space="preserve">欄一有名稱就會自動編號。</t>
    </r>
  </si>
  <si>
    <r>
      <rPr>
        <b val="true"/>
        <sz val="11"/>
        <color rgb="FFC00000"/>
        <rFont val="Noto Sans CJK SC"/>
        <family val="2"/>
      </rPr>
      <t xml:space="preserve">步驟二：再複製 </t>
    </r>
    <r>
      <rPr>
        <b val="true"/>
        <sz val="11"/>
        <color rgb="FFC00000"/>
        <rFont val="微軟正黑體"/>
        <family val="0"/>
        <charset val="1"/>
      </rPr>
      <t xml:space="preserve">Q7:S7</t>
    </r>
    <r>
      <rPr>
        <b val="true"/>
        <sz val="11"/>
        <color rgb="FFC00000"/>
        <rFont val="Noto Sans CJK SC"/>
        <family val="2"/>
      </rPr>
      <t xml:space="preserve">（共 </t>
    </r>
    <r>
      <rPr>
        <b val="true"/>
        <sz val="11"/>
        <color rgb="FFC00000"/>
        <rFont val="微軟正黑體"/>
        <family val="0"/>
        <charset val="1"/>
      </rPr>
      <t xml:space="preserve">3 </t>
    </r>
    <r>
      <rPr>
        <b val="true"/>
        <sz val="11"/>
        <color rgb="FFC00000"/>
        <rFont val="Noto Sans CJK SC"/>
        <family val="2"/>
      </rPr>
      <t xml:space="preserve">欄）→ 貼到同一列的 </t>
    </r>
    <r>
      <rPr>
        <b val="true"/>
        <sz val="11"/>
        <color rgb="FFC00000"/>
        <rFont val="微軟正黑體"/>
        <family val="0"/>
        <charset val="1"/>
      </rPr>
      <t xml:space="preserve">Q </t>
    </r>
    <r>
      <rPr>
        <b val="true"/>
        <sz val="11"/>
        <color rgb="FFC00000"/>
        <rFont val="Noto Sans CJK SC"/>
        <family val="2"/>
      </rPr>
      <t xml:space="preserve">欄。★ </t>
    </r>
    <r>
      <rPr>
        <b val="true"/>
        <sz val="11"/>
        <color rgb="FFC00000"/>
        <rFont val="微軟正黑體"/>
        <family val="0"/>
        <charset val="1"/>
      </rPr>
      <t xml:space="preserve">P </t>
    </r>
    <r>
      <rPr>
        <b val="true"/>
        <sz val="11"/>
        <color rgb="FFC00000"/>
        <rFont val="Noto Sans CJK SC"/>
        <family val="2"/>
      </rPr>
      <t xml:space="preserve">欄（適配分）主工具本身有公式，刻意不輸出，貼上後會自動算出來。</t>
    </r>
    <r>
      <rPr>
        <b val="true"/>
        <sz val="11"/>
        <color rgb="FFC00000"/>
        <rFont val="微軟正黑體"/>
        <family val="0"/>
        <charset val="1"/>
      </rPr>
      <t xml:space="preserve">F</t>
    </r>
    <r>
      <rPr>
        <b val="true"/>
        <sz val="11"/>
        <color rgb="FFC00000"/>
        <rFont val="Noto Sans CJK SC"/>
        <family val="2"/>
      </rPr>
      <t xml:space="preserve">欄（涵蓋領域）貼上後會變成固定文字，仍可正常比對；若想改回跟著</t>
    </r>
    <r>
      <rPr>
        <b val="true"/>
        <sz val="11"/>
        <color rgb="FFC00000"/>
        <rFont val="微軟正黑體"/>
        <family val="0"/>
        <charset val="1"/>
      </rPr>
      <t xml:space="preserve">U-AD</t>
    </r>
    <r>
      <rPr>
        <b val="true"/>
        <sz val="11"/>
        <color rgb="FFC00000"/>
        <rFont val="Noto Sans CJK SC"/>
        <family val="2"/>
      </rPr>
      <t xml:space="preserve">勾選欄連動，清空</t>
    </r>
    <r>
      <rPr>
        <b val="true"/>
        <sz val="11"/>
        <color rgb="FFC00000"/>
        <rFont val="微軟正黑體"/>
        <family val="0"/>
        <charset val="1"/>
      </rPr>
      <t xml:space="preserve">F</t>
    </r>
    <r>
      <rPr>
        <b val="true"/>
        <sz val="11"/>
        <color rgb="FFC00000"/>
        <rFont val="Noto Sans CJK SC"/>
        <family val="2"/>
      </rPr>
      <t xml:space="preserve">欄再勾選</t>
    </r>
    <r>
      <rPr>
        <b val="true"/>
        <sz val="11"/>
        <color rgb="FFC00000"/>
        <rFont val="微軟正黑體"/>
        <family val="0"/>
        <charset val="1"/>
      </rPr>
      <t xml:space="preserve">U-AD</t>
    </r>
    <r>
      <rPr>
        <b val="true"/>
        <sz val="11"/>
        <color rgb="FFC00000"/>
        <rFont val="Noto Sans CJK SC"/>
        <family val="2"/>
      </rPr>
      <t xml:space="preserve">即可。</t>
    </r>
  </si>
  <si>
    <r>
      <rPr>
        <b val="true"/>
        <sz val="9"/>
        <color rgb="FFFFFFFF"/>
        <rFont val="Noto Sans CJK SC"/>
        <family val="2"/>
      </rPr>
      <t xml:space="preserve">夥伴 </t>
    </r>
    <r>
      <rPr>
        <b val="true"/>
        <sz val="9"/>
        <color rgb="FFFFFFFF"/>
        <rFont val="微軟正黑體"/>
        <family val="0"/>
        <charset val="1"/>
      </rPr>
      <t xml:space="preserve">ID</t>
    </r>
  </si>
  <si>
    <r>
      <rPr>
        <b val="true"/>
        <sz val="9"/>
        <color rgb="FFFFFFFF"/>
        <rFont val="Noto Sans CJK SC"/>
        <family val="2"/>
      </rPr>
      <t xml:space="preserve">夥伴</t>
    </r>
    <r>
      <rPr>
        <b val="true"/>
        <sz val="9"/>
        <color rgb="FFFFFFFF"/>
        <rFont val="微軟正黑體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角色</t>
    </r>
    <r>
      <rPr>
        <b val="true"/>
        <sz val="9"/>
        <color rgb="FFFFFFFF"/>
        <rFont val="微軟正黑體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中</t>
    </r>
    <r>
      <rPr>
        <b val="true"/>
        <sz val="9"/>
        <color rgb="FFFFFFFF"/>
        <rFont val="微軟正黑體"/>
        <family val="0"/>
        <charset val="1"/>
      </rPr>
      <t xml:space="preserve">)</t>
    </r>
  </si>
  <si>
    <t xml:space="preserve">Partner (EN)</t>
  </si>
  <si>
    <t xml:space="preserve">類型</t>
  </si>
  <si>
    <t xml:space="preserve">國別</t>
  </si>
  <si>
    <t xml:space="preserve">涵蓋領域</t>
  </si>
  <si>
    <t xml:space="preserve">聯盟定位</t>
  </si>
  <si>
    <t xml:space="preserve">越南據點</t>
  </si>
  <si>
    <t xml:space="preserve">實績</t>
  </si>
  <si>
    <t xml:space="preserve">顧問</t>
  </si>
  <si>
    <t xml:space="preserve">建置</t>
  </si>
  <si>
    <t xml:space="preserve">營運</t>
  </si>
  <si>
    <t xml:space="preserve">財務</t>
  </si>
  <si>
    <t xml:space="preserve">互通</t>
  </si>
  <si>
    <t xml:space="preserve">在地</t>
  </si>
  <si>
    <t xml:space="preserve">適配分</t>
  </si>
  <si>
    <t xml:space="preserve">來源風險</t>
  </si>
  <si>
    <t xml:space="preserve">狀態</t>
  </si>
  <si>
    <t xml:space="preserve">下一步</t>
  </si>
  <si>
    <r>
      <rPr>
        <i val="true"/>
        <sz val="8"/>
        <color rgb="FF808080"/>
        <rFont val="Noto Sans CJK SC"/>
        <family val="2"/>
      </rPr>
      <t xml:space="preserve">留白：</t>
    </r>
    <r>
      <rPr>
        <i val="true"/>
        <sz val="8"/>
        <color rgb="FF808080"/>
        <rFont val="微軟正黑體"/>
        <family val="0"/>
        <charset val="1"/>
      </rPr>
      <t xml:space="preserve">04</t>
    </r>
    <r>
      <rPr>
        <i val="true"/>
        <sz val="8"/>
        <color rgb="FF808080"/>
        <rFont val="Noto Sans CJK SC"/>
        <family val="2"/>
      </rPr>
      <t xml:space="preserve">的</t>
    </r>
    <r>
      <rPr>
        <i val="true"/>
        <sz val="8"/>
        <color rgb="FF808080"/>
        <rFont val="微軟正黑體"/>
        <family val="0"/>
        <charset val="1"/>
      </rPr>
      <t xml:space="preserve">A</t>
    </r>
    <r>
      <rPr>
        <i val="true"/>
        <sz val="8"/>
        <color rgb="FF808080"/>
        <rFont val="Noto Sans CJK SC"/>
        <family val="2"/>
      </rPr>
      <t xml:space="preserve">欄現在自動編號，不用貼這欄（貼</t>
    </r>
    <r>
      <rPr>
        <i val="true"/>
        <sz val="8"/>
        <color rgb="FF808080"/>
        <rFont val="微軟正黑體"/>
        <family val="0"/>
        <charset val="1"/>
      </rPr>
      <t xml:space="preserve">B7</t>
    </r>
    <r>
      <rPr>
        <i val="true"/>
        <sz val="8"/>
        <color rgb="FF808080"/>
        <rFont val="Noto Sans CJK SC"/>
        <family val="2"/>
      </rPr>
      <t xml:space="preserve">起即可跳過）</t>
    </r>
  </si>
  <si>
    <t xml:space="preserve">不輸出：主工具有公式</t>
  </si>
  <si>
    <r>
      <rPr>
        <i val="true"/>
        <sz val="8"/>
        <color rgb="FF808080"/>
        <rFont val="Noto Sans CJK SC"/>
        <family val="2"/>
      </rPr>
      <t xml:space="preserve">留白：由 </t>
    </r>
    <r>
      <rPr>
        <i val="true"/>
        <sz val="8"/>
        <color rgb="FF808080"/>
        <rFont val="微軟正黑體"/>
        <family val="0"/>
        <charset val="1"/>
      </rPr>
      <t xml:space="preserve">PI </t>
    </r>
    <r>
      <rPr>
        <i val="true"/>
        <sz val="8"/>
        <color rgb="FF808080"/>
        <rFont val="Noto Sans CJK SC"/>
        <family val="2"/>
      </rPr>
      <t xml:space="preserve">依 </t>
    </r>
    <r>
      <rPr>
        <i val="true"/>
        <sz val="8"/>
        <color rgb="FF808080"/>
        <rFont val="微軟正黑體"/>
        <family val="0"/>
        <charset val="1"/>
      </rPr>
      <t xml:space="preserve">04 </t>
    </r>
    <r>
      <rPr>
        <i val="true"/>
        <sz val="8"/>
        <color rgb="FF808080"/>
        <rFont val="Noto Sans CJK SC"/>
        <family val="2"/>
      </rPr>
      <t xml:space="preserve">分頁 </t>
    </r>
    <r>
      <rPr>
        <i val="true"/>
        <sz val="8"/>
        <color rgb="FF808080"/>
        <rFont val="微軟正黑體"/>
        <family val="0"/>
        <charset val="1"/>
      </rPr>
      <t xml:space="preserve">C </t>
    </r>
    <r>
      <rPr>
        <i val="true"/>
        <sz val="8"/>
        <color rgb="FF808080"/>
        <rFont val="Noto Sans CJK SC"/>
        <family val="2"/>
      </rPr>
      <t xml:space="preserve">段判定</t>
    </r>
  </si>
  <si>
    <r>
      <rPr>
        <i val="true"/>
        <sz val="8"/>
        <color rgb="FF808080"/>
        <rFont val="Noto Sans CJK SC"/>
        <family val="2"/>
      </rPr>
      <t xml:space="preserve">預設值，</t>
    </r>
    <r>
      <rPr>
        <i val="true"/>
        <sz val="8"/>
        <color rgb="FF808080"/>
        <rFont val="微軟正黑體"/>
        <family val="0"/>
        <charset val="1"/>
      </rPr>
      <t xml:space="preserve">PI </t>
    </r>
    <r>
      <rPr>
        <i val="true"/>
        <sz val="8"/>
        <color rgb="FF808080"/>
        <rFont val="Noto Sans CJK SC"/>
        <family val="2"/>
      </rPr>
      <t xml:space="preserve">可改</t>
    </r>
  </si>
  <si>
    <t xml:space="preserve">送出前的完整性檢查</t>
  </si>
  <si>
    <t xml:space="preserve">七項能力自評都填了嗎</t>
  </si>
  <si>
    <t xml:space="preserve">七項佐證說明都填了嗎</t>
  </si>
  <si>
    <r>
      <rPr>
        <sz val="10"/>
        <color rgb="FF000000"/>
        <rFont val="Noto Sans CJK SC"/>
        <family val="2"/>
      </rPr>
      <t xml:space="preserve">公司法人名稱（中</t>
    </r>
    <r>
      <rPr>
        <sz val="10"/>
        <color rgb="FF000000"/>
        <rFont val="微軟正黑體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英）</t>
    </r>
  </si>
  <si>
    <t xml:space="preserve">夥伴類型與涵蓋領域</t>
  </si>
  <si>
    <r>
      <rPr>
        <sz val="10"/>
        <color rgb="FF000000"/>
        <rFont val="Noto Sans CJK SC"/>
        <family val="2"/>
      </rPr>
      <t xml:space="preserve">聯絡窗口 </t>
    </r>
    <r>
      <rPr>
        <sz val="10"/>
        <color rgb="FF000000"/>
        <rFont val="微軟正黑體"/>
        <family val="0"/>
        <charset val="1"/>
      </rPr>
      <t xml:space="preserve">Email</t>
    </r>
  </si>
  <si>
    <t xml:space="preserve">越南註冊狀態</t>
  </si>
  <si>
    <t xml:space="preserve">至少一筆實績</t>
  </si>
  <si>
    <r>
      <rPr>
        <sz val="9.5"/>
        <color rgb="FF404050"/>
        <rFont val="Noto Sans CJK SC"/>
        <family val="2"/>
      </rPr>
      <t xml:space="preserve">為什麼不是自動連動？
本表是要寄給外部夥伴填的獨立檔案，每一家的檔案路徑都不同；</t>
    </r>
    <r>
      <rPr>
        <sz val="9.5"/>
        <color rgb="FF404050"/>
        <rFont val="微軟正黑體"/>
        <family val="0"/>
        <charset val="1"/>
      </rPr>
      <t xml:space="preserve">Excel </t>
    </r>
    <r>
      <rPr>
        <sz val="9.5"/>
        <color rgb="FF404050"/>
        <rFont val="Noto Sans CJK SC"/>
        <family val="2"/>
      </rPr>
      <t xml:space="preserve">的跨檔連結一旦路徑改變就會失效，而且會把外部檔案的內容帶進主工具，造成版本混亂與資安疑慮。因此設計成「結構化貼上」：由本頁把答案排成主工具需要的順序，</t>
    </r>
    <r>
      <rPr>
        <sz val="9.5"/>
        <color rgb="FF404050"/>
        <rFont val="微軟正黑體"/>
        <family val="0"/>
        <charset val="1"/>
      </rPr>
      <t xml:space="preserve">PI </t>
    </r>
    <r>
      <rPr>
        <sz val="9.5"/>
        <color rgb="FF404050"/>
        <rFont val="Noto Sans CJK SC"/>
        <family val="2"/>
      </rPr>
      <t xml:space="preserve">只要兩次貼上就完成，既不會打錯字，也不會在主工具留下對外部檔案的連結。
★ 貼上後請記得到主工具 </t>
    </r>
    <r>
      <rPr>
        <sz val="9.5"/>
        <color rgb="FF404050"/>
        <rFont val="微軟正黑體"/>
        <family val="0"/>
        <charset val="1"/>
      </rPr>
      <t xml:space="preserve">03_</t>
    </r>
    <r>
      <rPr>
        <sz val="9.5"/>
        <color rgb="FF404050"/>
        <rFont val="Noto Sans CJK SC"/>
        <family val="2"/>
      </rPr>
      <t xml:space="preserve">能力總表，把該夥伴要承接的能力項，拼圖狀態由「缺口</t>
    </r>
    <r>
      <rPr>
        <sz val="9.5"/>
        <color rgb="FF404050"/>
        <rFont val="微軟正黑體"/>
        <family val="0"/>
        <charset val="1"/>
      </rPr>
      <t xml:space="preserve">-</t>
    </r>
    <r>
      <rPr>
        <sz val="9.5"/>
        <color rgb="FF404050"/>
        <rFont val="Noto Sans CJK SC"/>
        <family val="2"/>
      </rPr>
      <t xml:space="preserve">待尋找」改為「夥伴洽談中」。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</si>
</sst>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微軟正黑體"/>
      <family val="0"/>
      <charset val="1"/>
    </font>
    <font>
      <b val="true"/>
      <sz val="15"/>
      <color rgb="FFFFFFFF"/>
      <name val="Noto Sans CJK SC"/>
      <family val="2"/>
    </font>
    <font>
      <i val="true"/>
      <sz val="9.5"/>
      <color rgb="FF404040"/>
      <name val="Noto Sans CJK SC"/>
      <family val="2"/>
    </font>
    <font>
      <b val="true"/>
      <sz val="12"/>
      <color rgb="FF1F3864"/>
      <name val="Noto Sans CJK SC"/>
      <family val="2"/>
    </font>
    <font>
      <b val="true"/>
      <sz val="10"/>
      <color rgb="FF1F3864"/>
      <name val="微軟正黑體"/>
      <family val="0"/>
      <charset val="1"/>
    </font>
    <font>
      <b val="true"/>
      <sz val="10"/>
      <color rgb="FF1F3864"/>
      <name val="Noto Sans CJK SC"/>
      <family val="2"/>
    </font>
    <font>
      <sz val="9.5"/>
      <color rgb="FF404050"/>
      <name val="Noto Sans CJK SC"/>
      <family val="2"/>
    </font>
    <font>
      <sz val="9.5"/>
      <color rgb="FF404050"/>
      <name val="微軟正黑體"/>
      <family val="0"/>
      <charset val="1"/>
    </font>
    <font>
      <b val="true"/>
      <sz val="11"/>
      <color rgb="FFBF8F00"/>
      <name val="微軟正黑體"/>
      <family val="0"/>
      <charset val="1"/>
    </font>
    <font>
      <b val="true"/>
      <sz val="10"/>
      <color rgb="FFC00000"/>
      <name val="Noto Sans CJK SC"/>
      <family val="2"/>
    </font>
    <font>
      <sz val="11"/>
      <color theme="1"/>
      <name val="Noto Sans CJK SC"/>
      <family val="2"/>
    </font>
    <font>
      <sz val="10"/>
      <color rgb="FF000000"/>
      <name val="微軟正黑體"/>
      <family val="0"/>
      <charset val="1"/>
    </font>
    <font>
      <sz val="9"/>
      <color rgb="FF808080"/>
      <name val="Noto Sans CJK SC"/>
      <family val="2"/>
    </font>
    <font>
      <sz val="9"/>
      <color rgb="FF808080"/>
      <name val="微軟正黑體"/>
      <family val="0"/>
      <charset val="1"/>
    </font>
    <font>
      <i val="true"/>
      <sz val="9.5"/>
      <color rgb="FF404040"/>
      <name val="微軟正黑體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微軟正黑體"/>
      <family val="0"/>
      <charset val="1"/>
    </font>
    <font>
      <b val="true"/>
      <sz val="11"/>
      <color rgb="FF1F3864"/>
      <name val="Noto Sans CJK SC"/>
      <family val="2"/>
    </font>
    <font>
      <b val="true"/>
      <sz val="12"/>
      <color rgb="FF2F5597"/>
      <name val="Noto Sans CJK SC"/>
      <family val="2"/>
    </font>
    <font>
      <b val="true"/>
      <sz val="12"/>
      <color rgb="FF548235"/>
      <name val="微軟正黑體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微軟正黑體"/>
      <family val="0"/>
      <charset val="1"/>
    </font>
    <font>
      <b val="true"/>
      <sz val="10"/>
      <color rgb="FFBF8F00"/>
      <name val="微軟正黑體"/>
      <family val="0"/>
      <charset val="1"/>
    </font>
    <font>
      <sz val="9.5"/>
      <color rgb="FF000000"/>
      <name val="Noto Sans CJK SC"/>
      <family val="2"/>
    </font>
    <font>
      <b val="true"/>
      <sz val="10"/>
      <color rgb="FF808080"/>
      <name val="微軟正黑體"/>
      <family val="0"/>
      <charset val="1"/>
    </font>
    <font>
      <sz val="9.5"/>
      <color rgb="FF000000"/>
      <name val="微軟正黑體"/>
      <family val="0"/>
      <charset val="1"/>
    </font>
    <font>
      <sz val="9.5"/>
      <color rgb="FF808080"/>
      <name val="微軟正黑體"/>
      <family val="0"/>
      <charset val="1"/>
    </font>
    <font>
      <b val="true"/>
      <sz val="9.5"/>
      <color rgb="FF000000"/>
      <name val="微軟正黑體"/>
      <family val="0"/>
      <charset val="1"/>
    </font>
    <font>
      <b val="true"/>
      <sz val="9.5"/>
      <color rgb="FF000000"/>
      <name val="Noto Sans CJK SC"/>
      <family val="2"/>
    </font>
    <font>
      <b val="true"/>
      <sz val="12"/>
      <color rgb="FF1F3864"/>
      <name val="微軟正黑體"/>
      <family val="0"/>
      <charset val="1"/>
    </font>
    <font>
      <b val="true"/>
      <sz val="12"/>
      <color rgb="FFC00000"/>
      <name val="微軟正黑體"/>
      <family val="0"/>
      <charset val="1"/>
    </font>
    <font>
      <b val="true"/>
      <sz val="12"/>
      <color rgb="FFC00000"/>
      <name val="Noto Sans CJK SC"/>
      <family val="2"/>
    </font>
    <font>
      <sz val="9.5"/>
      <color rgb="FF5A2A22"/>
      <name val="Noto Sans CJK SC"/>
      <family val="2"/>
    </font>
    <font>
      <sz val="9.5"/>
      <color rgb="FF5A2A22"/>
      <name val="微軟正黑體"/>
      <family val="0"/>
      <charset val="1"/>
    </font>
    <font>
      <b val="true"/>
      <sz val="10"/>
      <color rgb="FF000000"/>
      <name val="Noto Sans CJK SC"/>
      <family val="2"/>
    </font>
    <font>
      <b val="true"/>
      <sz val="11"/>
      <color rgb="FF1F3864"/>
      <name val="微軟正黑體"/>
      <family val="0"/>
      <charset val="1"/>
    </font>
    <font>
      <b val="true"/>
      <sz val="11"/>
      <color rgb="FF7030A0"/>
      <name val="微軟正黑體"/>
      <family val="0"/>
      <charset val="1"/>
    </font>
    <font>
      <b val="true"/>
      <sz val="11"/>
      <color rgb="FF7030A0"/>
      <name val="Noto Sans CJK SC"/>
      <family val="2"/>
    </font>
    <font>
      <b val="true"/>
      <sz val="9"/>
      <color rgb="FF1F3864"/>
      <name val="微軟正黑體"/>
      <family val="0"/>
      <charset val="1"/>
    </font>
    <font>
      <sz val="9"/>
      <color rgb="FF000000"/>
      <name val="Noto Sans CJK SC"/>
      <family val="2"/>
    </font>
    <font>
      <sz val="8.5"/>
      <color rgb="FF404050"/>
      <name val="微軟正黑體"/>
      <family val="0"/>
      <charset val="1"/>
    </font>
    <font>
      <b val="true"/>
      <sz val="9"/>
      <color rgb="FF203864"/>
      <name val="微軟正黑體"/>
      <family val="0"/>
      <charset val="1"/>
    </font>
    <font>
      <b val="true"/>
      <sz val="9"/>
      <color rgb="FF7030A0"/>
      <name val="微軟正黑體"/>
      <family val="0"/>
      <charset val="1"/>
    </font>
    <font>
      <sz val="9"/>
      <color rgb="FF000000"/>
      <name val="微軟正黑體"/>
      <family val="0"/>
      <charset val="1"/>
    </font>
    <font>
      <b val="true"/>
      <sz val="8.5"/>
      <color rgb="FF404050"/>
      <name val="Noto Sans CJK SC"/>
      <family val="2"/>
    </font>
    <font>
      <sz val="8.5"/>
      <color rgb="FF000000"/>
      <name val="微軟正黑體"/>
      <family val="0"/>
      <charset val="1"/>
    </font>
    <font>
      <sz val="8.5"/>
      <color rgb="FF808080"/>
      <name val="微軟正黑體"/>
      <family val="0"/>
      <charset val="1"/>
    </font>
    <font>
      <b val="true"/>
      <sz val="9"/>
      <color rgb="FFC00000"/>
      <name val="微軟正黑體"/>
      <family val="0"/>
      <charset val="1"/>
    </font>
    <font>
      <b val="true"/>
      <sz val="8.5"/>
      <color rgb="FFC00000"/>
      <name val="Noto Sans CJK SC"/>
      <family val="2"/>
    </font>
    <font>
      <b val="true"/>
      <sz val="11"/>
      <color rgb="FFC00000"/>
      <name val="Noto Sans CJK SC"/>
      <family val="2"/>
    </font>
    <font>
      <b val="true"/>
      <sz val="11"/>
      <color rgb="FFC00000"/>
      <name val="微軟正黑體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微軟正黑體"/>
      <family val="0"/>
      <charset val="1"/>
    </font>
    <font>
      <b val="true"/>
      <sz val="9.5"/>
      <color rgb="FF2F5597"/>
      <name val="微軟正黑體"/>
      <family val="0"/>
      <charset val="1"/>
    </font>
    <font>
      <i val="true"/>
      <sz val="8"/>
      <color rgb="FF808080"/>
      <name val="Noto Sans CJK SC"/>
      <family val="2"/>
    </font>
    <font>
      <i val="true"/>
      <sz val="8"/>
      <color rgb="FF808080"/>
      <name val="微軟正黑體"/>
      <family val="0"/>
      <charset val="1"/>
    </font>
    <font>
      <sz val="10"/>
      <color rgb="FF000000"/>
      <name val="Noto Sans CJK SC"/>
      <family val="2"/>
    </font>
    <font>
      <b val="true"/>
      <sz val="10"/>
      <color rgb="FF2F5597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FDF3F3"/>
        <bgColor rgb="FFF2F6FB"/>
      </patternFill>
    </fill>
    <fill>
      <patternFill patternType="solid">
        <fgColor rgb="FFFFF2CC"/>
        <bgColor rgb="FFFDF3F3"/>
      </patternFill>
    </fill>
    <fill>
      <patternFill patternType="solid">
        <fgColor rgb="FFEDEDED"/>
        <bgColor rgb="FFF2F6FB"/>
      </patternFill>
    </fill>
    <fill>
      <patternFill patternType="solid">
        <fgColor rgb="FFD6E4F0"/>
        <bgColor rgb="FFDCEBD0"/>
      </patternFill>
    </fill>
    <fill>
      <patternFill patternType="solid">
        <fgColor rgb="FF7030A0"/>
        <bgColor rgb="FF993366"/>
      </patternFill>
    </fill>
    <fill>
      <patternFill patternType="solid">
        <fgColor rgb="FFBFBFBF"/>
        <bgColor rgb="FF99CCFF"/>
      </patternFill>
    </fill>
    <fill>
      <patternFill patternType="solid">
        <fgColor rgb="FFF2F6FB"/>
        <bgColor rgb="FFFDF3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微軟正黑體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548235"/>
        <sz val="10"/>
      </font>
      <fill>
        <patternFill>
          <bgColor rgb="FFDCEBD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2E747A"/>
      <rgbColor rgb="FFBFBFBF"/>
      <rgbColor rgb="FF808080"/>
      <rgbColor rgb="FF9999FF"/>
      <rgbColor rgb="FF7030A0"/>
      <rgbColor rgb="FFFFF2CC"/>
      <rgbColor rgb="FFF2F6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CEBD0"/>
      <rgbColor rgb="FFFDF3F3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2F5597"/>
      <rgbColor rgb="FF7F7F7F"/>
      <rgbColor rgb="FF1F3864"/>
      <rgbColor rgb="FF339966"/>
      <rgbColor rgb="FF404050"/>
      <rgbColor rgb="FF5A2A22"/>
      <rgbColor rgb="FF993300"/>
      <rgbColor rgb="FF993366"/>
      <rgbColor rgb="FF20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6" min="4" style="0" width="26"/>
    <col collapsed="false" customWidth="true" hidden="false" outlineLevel="0" max="7" min="7" style="0" width="20"/>
    <col collapsed="false" customWidth="true" hidden="false" outlineLevel="0" max="8" min="8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3" t="s">
        <v>2</v>
      </c>
    </row>
    <row r="5" customFormat="false" ht="25.5" hidden="false" customHeight="true" outlineLevel="0" collapsed="false">
      <c r="B5" s="4" t="s">
        <v>3</v>
      </c>
      <c r="C5" s="5" t="s">
        <v>4</v>
      </c>
      <c r="D5" s="5"/>
      <c r="E5" s="5"/>
      <c r="F5" s="5"/>
      <c r="G5" s="5"/>
    </row>
    <row r="6" customFormat="false" ht="25.5" hidden="false" customHeight="true" outlineLevel="0" collapsed="false">
      <c r="B6" s="4" t="s">
        <v>5</v>
      </c>
      <c r="C6" s="5" t="s">
        <v>6</v>
      </c>
      <c r="D6" s="5"/>
      <c r="E6" s="5"/>
      <c r="F6" s="5"/>
      <c r="G6" s="5"/>
    </row>
    <row r="7" customFormat="false" ht="25.5" hidden="false" customHeight="true" outlineLevel="0" collapsed="false">
      <c r="B7" s="4" t="s">
        <v>7</v>
      </c>
      <c r="C7" s="5" t="s">
        <v>8</v>
      </c>
      <c r="D7" s="5"/>
      <c r="E7" s="5"/>
      <c r="F7" s="5"/>
      <c r="G7" s="5"/>
    </row>
    <row r="8" customFormat="false" ht="25.5" hidden="false" customHeight="true" outlineLevel="0" collapsed="false">
      <c r="B8" s="4" t="s">
        <v>9</v>
      </c>
      <c r="C8" s="5" t="s">
        <v>10</v>
      </c>
      <c r="D8" s="5"/>
      <c r="E8" s="5"/>
      <c r="F8" s="5"/>
      <c r="G8" s="5"/>
    </row>
    <row r="9" customFormat="false" ht="25.5" hidden="false" customHeight="true" outlineLevel="0" collapsed="false">
      <c r="B9" s="4" t="s">
        <v>11</v>
      </c>
      <c r="C9" s="5" t="s">
        <v>12</v>
      </c>
      <c r="D9" s="5"/>
      <c r="E9" s="5"/>
      <c r="F9" s="5"/>
      <c r="G9" s="5"/>
    </row>
    <row r="11" customFormat="false" ht="15" hidden="false" customHeight="false" outlineLevel="0" collapsed="false">
      <c r="B11" s="3" t="s">
        <v>13</v>
      </c>
    </row>
    <row r="12" customFormat="false" ht="21.75" hidden="false" customHeight="true" outlineLevel="0" collapsed="false">
      <c r="B12" s="6" t="s">
        <v>14</v>
      </c>
      <c r="C12" s="5" t="s">
        <v>15</v>
      </c>
      <c r="D12" s="5"/>
      <c r="E12" s="5"/>
      <c r="F12" s="5"/>
      <c r="G12" s="5"/>
    </row>
    <row r="13" customFormat="false" ht="21.75" hidden="false" customHeight="true" outlineLevel="0" collapsed="false">
      <c r="B13" s="6" t="s">
        <v>14</v>
      </c>
      <c r="C13" s="5" t="s">
        <v>16</v>
      </c>
      <c r="D13" s="5"/>
      <c r="E13" s="5"/>
      <c r="F13" s="5"/>
      <c r="G13" s="5"/>
    </row>
    <row r="14" customFormat="false" ht="21.75" hidden="false" customHeight="true" outlineLevel="0" collapsed="false">
      <c r="B14" s="6" t="s">
        <v>14</v>
      </c>
      <c r="C14" s="5" t="s">
        <v>17</v>
      </c>
      <c r="D14" s="5"/>
      <c r="E14" s="5"/>
      <c r="F14" s="5"/>
      <c r="G14" s="5"/>
    </row>
    <row r="15" customFormat="false" ht="21.75" hidden="false" customHeight="true" outlineLevel="0" collapsed="false">
      <c r="B15" s="6" t="s">
        <v>14</v>
      </c>
      <c r="C15" s="5" t="s">
        <v>18</v>
      </c>
      <c r="D15" s="5"/>
      <c r="E15" s="5"/>
      <c r="F15" s="5"/>
      <c r="G15" s="5"/>
    </row>
    <row r="17" customFormat="false" ht="30" hidden="false" customHeight="true" outlineLevel="0" collapsed="false">
      <c r="B17" s="7" t="s">
        <v>19</v>
      </c>
      <c r="C17" s="7"/>
      <c r="D17" s="7"/>
      <c r="E17" s="7"/>
      <c r="F17" s="7"/>
      <c r="G17" s="7"/>
    </row>
    <row r="18" customFormat="false" ht="15" hidden="false" customHeight="false" outlineLevel="0" collapsed="false">
      <c r="B18" s="7"/>
      <c r="C18" s="7"/>
      <c r="D18" s="7"/>
      <c r="E18" s="7"/>
      <c r="F18" s="7"/>
      <c r="G18" s="7"/>
    </row>
    <row r="20" customFormat="false" ht="15" hidden="false" customHeight="false" outlineLevel="0" collapsed="false">
      <c r="B20" s="8" t="s">
        <v>20</v>
      </c>
      <c r="C20" s="9" t="s">
        <v>21</v>
      </c>
      <c r="D20" s="8" t="s">
        <v>22</v>
      </c>
      <c r="E20" s="9" t="s">
        <v>23</v>
      </c>
    </row>
  </sheetData>
  <mergeCells count="12">
    <mergeCell ref="A1:H1"/>
    <mergeCell ref="A2:H2"/>
    <mergeCell ref="C5:G5"/>
    <mergeCell ref="C6:G6"/>
    <mergeCell ref="C7:G7"/>
    <mergeCell ref="C8:G8"/>
    <mergeCell ref="C9:G9"/>
    <mergeCell ref="C12:G12"/>
    <mergeCell ref="C13:G13"/>
    <mergeCell ref="C14:G14"/>
    <mergeCell ref="C15:G15"/>
    <mergeCell ref="B17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22"/>
    <col collapsed="false" customWidth="true" hidden="false" outlineLevel="0" max="7" min="7" style="0" width="34"/>
    <col collapsed="false" customWidth="true" hidden="false" outlineLevel="0" max="8" min="8" style="0" width="3"/>
  </cols>
  <sheetData>
    <row r="1" customFormat="false" ht="30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10" t="s">
        <v>26</v>
      </c>
      <c r="B4" s="11"/>
      <c r="C4" s="11"/>
      <c r="D4" s="11"/>
      <c r="E4" s="11"/>
      <c r="F4" s="11"/>
      <c r="G4" s="12" t="s">
        <v>27</v>
      </c>
    </row>
    <row r="5" customFormat="false" ht="24" hidden="false" customHeight="true" outlineLevel="0" collapsed="false">
      <c r="A5" s="10" t="s">
        <v>28</v>
      </c>
      <c r="B5" s="11"/>
      <c r="C5" s="11"/>
      <c r="D5" s="11"/>
      <c r="E5" s="11"/>
      <c r="F5" s="11"/>
      <c r="G5" s="12" t="s">
        <v>29</v>
      </c>
    </row>
    <row r="6" customFormat="false" ht="24" hidden="false" customHeight="true" outlineLevel="0" collapsed="false">
      <c r="A6" s="10" t="s">
        <v>30</v>
      </c>
      <c r="B6" s="11"/>
      <c r="C6" s="11"/>
      <c r="D6" s="11"/>
      <c r="E6" s="11"/>
      <c r="F6" s="11"/>
      <c r="G6" s="12"/>
    </row>
    <row r="7" customFormat="false" ht="24" hidden="false" customHeight="true" outlineLevel="0" collapsed="false">
      <c r="A7" s="10" t="s">
        <v>31</v>
      </c>
      <c r="B7" s="11"/>
      <c r="C7" s="11"/>
      <c r="D7" s="11"/>
      <c r="E7" s="11"/>
      <c r="F7" s="11"/>
      <c r="G7" s="12"/>
    </row>
    <row r="8" customFormat="false" ht="24" hidden="false" customHeight="true" outlineLevel="0" collapsed="false">
      <c r="A8" s="10" t="s">
        <v>32</v>
      </c>
      <c r="B8" s="11"/>
      <c r="C8" s="11"/>
      <c r="D8" s="11"/>
      <c r="E8" s="11"/>
      <c r="F8" s="11"/>
      <c r="G8" s="12"/>
    </row>
    <row r="9" customFormat="false" ht="24" hidden="false" customHeight="true" outlineLevel="0" collapsed="false">
      <c r="A9" s="10" t="s">
        <v>33</v>
      </c>
      <c r="B9" s="11"/>
      <c r="C9" s="11"/>
      <c r="D9" s="11"/>
      <c r="E9" s="11"/>
      <c r="F9" s="11"/>
      <c r="G9" s="12"/>
    </row>
    <row r="10" customFormat="false" ht="24" hidden="false" customHeight="true" outlineLevel="0" collapsed="false">
      <c r="A10" s="10" t="s">
        <v>34</v>
      </c>
      <c r="B10" s="11"/>
      <c r="C10" s="11"/>
      <c r="D10" s="11"/>
      <c r="E10" s="11"/>
      <c r="F10" s="11"/>
      <c r="G10" s="12" t="s">
        <v>35</v>
      </c>
    </row>
    <row r="11" customFormat="false" ht="24" hidden="false" customHeight="true" outlineLevel="0" collapsed="false">
      <c r="A11" s="10" t="s">
        <v>36</v>
      </c>
      <c r="B11" s="11"/>
      <c r="C11" s="11"/>
      <c r="D11" s="11"/>
      <c r="E11" s="11"/>
      <c r="F11" s="11"/>
      <c r="G11" s="12"/>
    </row>
    <row r="12" customFormat="false" ht="24" hidden="false" customHeight="true" outlineLevel="0" collapsed="false">
      <c r="A12" s="10" t="s">
        <v>37</v>
      </c>
      <c r="B12" s="11"/>
      <c r="C12" s="11"/>
      <c r="D12" s="11"/>
      <c r="E12" s="11"/>
      <c r="F12" s="11"/>
      <c r="G12" s="12" t="s">
        <v>38</v>
      </c>
    </row>
    <row r="14" customFormat="false" ht="15" hidden="false" customHeight="false" outlineLevel="0" collapsed="false">
      <c r="A14" s="3" t="s">
        <v>39</v>
      </c>
    </row>
    <row r="15" customFormat="false" ht="24" hidden="false" customHeight="true" outlineLevel="0" collapsed="false">
      <c r="A15" s="10" t="s">
        <v>40</v>
      </c>
      <c r="B15" s="11"/>
      <c r="C15" s="11"/>
      <c r="D15" s="11"/>
      <c r="E15" s="11"/>
      <c r="F15" s="11"/>
      <c r="G15" s="12" t="s">
        <v>41</v>
      </c>
    </row>
    <row r="16" customFormat="false" ht="24" hidden="false" customHeight="true" outlineLevel="0" collapsed="false">
      <c r="A16" s="10" t="s">
        <v>42</v>
      </c>
      <c r="B16" s="11"/>
      <c r="C16" s="11"/>
      <c r="D16" s="11"/>
      <c r="E16" s="11"/>
      <c r="F16" s="11"/>
      <c r="G16" s="12"/>
    </row>
    <row r="17" customFormat="false" ht="24" hidden="false" customHeight="true" outlineLevel="0" collapsed="false">
      <c r="A17" s="10" t="s">
        <v>43</v>
      </c>
      <c r="B17" s="11"/>
      <c r="C17" s="11"/>
      <c r="D17" s="11"/>
      <c r="E17" s="11"/>
      <c r="F17" s="11"/>
      <c r="G17" s="12"/>
    </row>
    <row r="18" customFormat="false" ht="24" hidden="false" customHeight="true" outlineLevel="0" collapsed="false">
      <c r="A18" s="10" t="s">
        <v>44</v>
      </c>
      <c r="B18" s="11"/>
      <c r="C18" s="11"/>
      <c r="D18" s="11"/>
      <c r="E18" s="11"/>
      <c r="F18" s="11"/>
      <c r="G18" s="12" t="s">
        <v>45</v>
      </c>
    </row>
    <row r="20" customFormat="false" ht="15" hidden="false" customHeight="false" outlineLevel="0" collapsed="false">
      <c r="A20" s="3" t="s">
        <v>46</v>
      </c>
    </row>
    <row r="21" customFormat="false" ht="24" hidden="false" customHeight="true" outlineLevel="0" collapsed="false">
      <c r="A21" s="10" t="s">
        <v>47</v>
      </c>
      <c r="B21" s="11"/>
      <c r="C21" s="11"/>
      <c r="D21" s="11"/>
      <c r="E21" s="11"/>
      <c r="F21" s="11"/>
      <c r="G21" s="12" t="s">
        <v>48</v>
      </c>
    </row>
    <row r="22" customFormat="false" ht="24" hidden="false" customHeight="true" outlineLevel="0" collapsed="false">
      <c r="A22" s="10" t="s">
        <v>49</v>
      </c>
      <c r="B22" s="11"/>
      <c r="C22" s="11"/>
      <c r="D22" s="11"/>
      <c r="E22" s="11"/>
      <c r="F22" s="11"/>
      <c r="G22" s="12" t="s">
        <v>50</v>
      </c>
    </row>
    <row r="23" customFormat="false" ht="24" hidden="false" customHeight="true" outlineLevel="0" collapsed="false">
      <c r="A23" s="10" t="s">
        <v>51</v>
      </c>
      <c r="B23" s="11"/>
      <c r="C23" s="11"/>
      <c r="D23" s="11"/>
      <c r="E23" s="11"/>
      <c r="F23" s="11"/>
      <c r="G23" s="13" t="s">
        <v>52</v>
      </c>
    </row>
    <row r="24" customFormat="false" ht="24" hidden="false" customHeight="true" outlineLevel="0" collapsed="false">
      <c r="A24" s="10" t="s">
        <v>53</v>
      </c>
      <c r="B24" s="11"/>
      <c r="C24" s="11"/>
      <c r="D24" s="11"/>
      <c r="E24" s="11"/>
      <c r="F24" s="11"/>
      <c r="G24" s="12" t="s">
        <v>54</v>
      </c>
    </row>
    <row r="25" customFormat="false" ht="24" hidden="false" customHeight="true" outlineLevel="0" collapsed="false">
      <c r="A25" s="10" t="s">
        <v>55</v>
      </c>
      <c r="B25" s="11"/>
      <c r="C25" s="11"/>
      <c r="D25" s="11"/>
      <c r="E25" s="11"/>
      <c r="F25" s="11"/>
      <c r="G25" s="12" t="s">
        <v>56</v>
      </c>
    </row>
  </sheetData>
  <mergeCells count="20">
    <mergeCell ref="A1:H1"/>
    <mergeCell ref="A2:H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5:F15"/>
    <mergeCell ref="B16:F16"/>
    <mergeCell ref="B17:F17"/>
    <mergeCell ref="B18:F18"/>
    <mergeCell ref="B21:F21"/>
    <mergeCell ref="B22:F22"/>
    <mergeCell ref="B23:F23"/>
    <mergeCell ref="B24:F24"/>
    <mergeCell ref="B25:F25"/>
  </mergeCells>
  <dataValidations count="2">
    <dataValidation allowBlank="true" errorStyle="stop" operator="between" showDropDown="false" showErrorMessage="false" showInputMessage="false" sqref="B21" type="list">
      <formula1>"聯盟召集人,政府,臨床營運,參考醫院,設計,EPC / 工程,科技 / 系統整合,雲端,醫材,物流,法律,財務 / PPP,品質 / 認證,教育 / 人力,獨立驗證,支付 / 金流,行銷 / 通路,環保 / 廢棄物,顧問 / PI"</formula1>
      <formula2>0</formula2>
    </dataValidation>
    <dataValidation allowBlank="true" errorStyle="stop" operator="between" showDropDown="false" showErrorMessage="false" showInputMessage="false" sqref="B22" type="list">
      <formula1>"Vietnam,Taiwan,United States,Japan,Korea,Singapore,Europe,TBD / 待確認"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47A"/>
    <pageSetUpPr fitToPage="tru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4" min="3" style="0" width="9"/>
    <col collapsed="false" customWidth="true" hidden="false" outlineLevel="0" max="5" min="5" style="0" width="52"/>
    <col collapsed="false" customWidth="true" hidden="false" outlineLevel="0" max="6" min="6" style="0" width="20"/>
    <col collapsed="false" customWidth="true" hidden="false" outlineLevel="0" max="7" min="7" style="0" width="3"/>
  </cols>
  <sheetData>
    <row r="1" customFormat="false" ht="30" hidden="false" customHeight="true" outlineLevel="0" collapsed="false">
      <c r="A1" s="1" t="s">
        <v>57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58</v>
      </c>
      <c r="B2" s="2"/>
      <c r="C2" s="2"/>
      <c r="D2" s="2"/>
      <c r="E2" s="2"/>
      <c r="F2" s="2"/>
      <c r="G2" s="2"/>
    </row>
    <row r="4" customFormat="false" ht="33.75" hidden="false" customHeight="true" outlineLevel="0" collapsed="false">
      <c r="A4" s="14" t="s">
        <v>59</v>
      </c>
      <c r="B4" s="14" t="s">
        <v>60</v>
      </c>
      <c r="C4" s="14" t="s">
        <v>61</v>
      </c>
      <c r="D4" s="14" t="s">
        <v>62</v>
      </c>
      <c r="E4" s="14" t="s">
        <v>63</v>
      </c>
      <c r="F4" s="14" t="s">
        <v>64</v>
      </c>
    </row>
    <row r="5" customFormat="false" ht="39.75" hidden="false" customHeight="true" outlineLevel="0" collapsed="false">
      <c r="A5" s="15" t="s">
        <v>65</v>
      </c>
      <c r="B5" s="5" t="s">
        <v>66</v>
      </c>
      <c r="C5" s="16"/>
      <c r="D5" s="17"/>
      <c r="E5" s="18"/>
      <c r="F5" s="16"/>
    </row>
    <row r="6" customFormat="false" ht="39.75" hidden="false" customHeight="true" outlineLevel="0" collapsed="false">
      <c r="A6" s="15" t="s">
        <v>67</v>
      </c>
      <c r="B6" s="5" t="s">
        <v>68</v>
      </c>
      <c r="C6" s="16"/>
      <c r="D6" s="17"/>
      <c r="E6" s="18"/>
      <c r="F6" s="16"/>
    </row>
    <row r="7" customFormat="false" ht="39.75" hidden="false" customHeight="true" outlineLevel="0" collapsed="false">
      <c r="A7" s="15" t="s">
        <v>69</v>
      </c>
      <c r="B7" s="5" t="s">
        <v>70</v>
      </c>
      <c r="C7" s="16"/>
      <c r="D7" s="17"/>
      <c r="E7" s="18"/>
      <c r="F7" s="16"/>
    </row>
    <row r="8" customFormat="false" ht="39.75" hidden="false" customHeight="true" outlineLevel="0" collapsed="false">
      <c r="A8" s="15" t="s">
        <v>71</v>
      </c>
      <c r="B8" s="5" t="s">
        <v>72</v>
      </c>
      <c r="C8" s="16"/>
      <c r="D8" s="17"/>
      <c r="E8" s="18"/>
      <c r="F8" s="16"/>
    </row>
    <row r="9" customFormat="false" ht="39.75" hidden="false" customHeight="true" outlineLevel="0" collapsed="false">
      <c r="A9" s="15" t="s">
        <v>73</v>
      </c>
      <c r="B9" s="5" t="s">
        <v>74</v>
      </c>
      <c r="C9" s="16"/>
      <c r="D9" s="17"/>
      <c r="E9" s="18"/>
      <c r="F9" s="16"/>
    </row>
    <row r="10" customFormat="false" ht="39.75" hidden="false" customHeight="true" outlineLevel="0" collapsed="false">
      <c r="A10" s="15" t="s">
        <v>75</v>
      </c>
      <c r="B10" s="5" t="s">
        <v>76</v>
      </c>
      <c r="C10" s="16"/>
      <c r="D10" s="17"/>
      <c r="E10" s="18"/>
      <c r="F10" s="16"/>
    </row>
    <row r="11" customFormat="false" ht="39.75" hidden="false" customHeight="true" outlineLevel="0" collapsed="false">
      <c r="A11" s="15" t="s">
        <v>77</v>
      </c>
      <c r="B11" s="5" t="s">
        <v>78</v>
      </c>
      <c r="C11" s="16"/>
      <c r="D11" s="17"/>
      <c r="E11" s="18"/>
      <c r="F11" s="16"/>
    </row>
    <row r="12" customFormat="false" ht="19.4" hidden="false" customHeight="false" outlineLevel="0" collapsed="false">
      <c r="A12" s="19"/>
      <c r="B12" s="20" t="s">
        <v>79</v>
      </c>
      <c r="C12" s="21" t="str">
        <f aca="false">IF(COUNT(C5:C11)&lt;7,"請填滿7項",ROUND(AVERAGE(C5:C11),1))</f>
        <v>請填滿7項</v>
      </c>
      <c r="D12" s="22" t="str">
        <f aca="false">IF(COUNT(D5:D11)&lt;7,"",ROUND(AVERAGE(D5:D11),1))</f>
        <v/>
      </c>
      <c r="E12" s="23" t="s">
        <v>80</v>
      </c>
      <c r="F12" s="19"/>
    </row>
    <row r="14" customFormat="false" ht="15" hidden="false" customHeight="false" outlineLevel="0" collapsed="false">
      <c r="A14" s="3" t="s">
        <v>81</v>
      </c>
    </row>
    <row r="15" customFormat="false" ht="19.5" hidden="false" customHeight="true" outlineLevel="0" collapsed="false">
      <c r="A15" s="24" t="s">
        <v>82</v>
      </c>
      <c r="B15" s="25" t="s">
        <v>83</v>
      </c>
      <c r="C15" s="25"/>
      <c r="D15" s="25"/>
      <c r="E15" s="25"/>
    </row>
    <row r="16" customFormat="false" ht="19.5" hidden="false" customHeight="true" outlineLevel="0" collapsed="false">
      <c r="A16" s="24" t="s">
        <v>84</v>
      </c>
      <c r="B16" s="25" t="s">
        <v>85</v>
      </c>
      <c r="C16" s="25"/>
      <c r="D16" s="25"/>
      <c r="E16" s="25"/>
    </row>
    <row r="17" customFormat="false" ht="19.5" hidden="false" customHeight="true" outlineLevel="0" collapsed="false">
      <c r="A17" s="24" t="s">
        <v>86</v>
      </c>
      <c r="B17" s="25" t="s">
        <v>87</v>
      </c>
      <c r="C17" s="25"/>
      <c r="D17" s="25"/>
      <c r="E17" s="25"/>
    </row>
    <row r="18" customFormat="false" ht="19.5" hidden="false" customHeight="true" outlineLevel="0" collapsed="false">
      <c r="A18" s="24" t="s">
        <v>88</v>
      </c>
      <c r="B18" s="25" t="s">
        <v>89</v>
      </c>
      <c r="C18" s="25"/>
      <c r="D18" s="25"/>
      <c r="E18" s="25"/>
    </row>
    <row r="19" customFormat="false" ht="19.5" hidden="false" customHeight="true" outlineLevel="0" collapsed="false">
      <c r="A19" s="24" t="s">
        <v>90</v>
      </c>
      <c r="B19" s="25" t="s">
        <v>91</v>
      </c>
      <c r="C19" s="25"/>
      <c r="D19" s="25"/>
      <c r="E19" s="25"/>
    </row>
    <row r="20" customFormat="false" ht="19.5" hidden="false" customHeight="true" outlineLevel="0" collapsed="false">
      <c r="A20" s="24" t="s">
        <v>92</v>
      </c>
      <c r="B20" s="25" t="s">
        <v>93</v>
      </c>
      <c r="C20" s="25"/>
      <c r="D20" s="25"/>
      <c r="E20" s="25"/>
    </row>
  </sheetData>
  <mergeCells count="8">
    <mergeCell ref="A1:G1"/>
    <mergeCell ref="A2:G2"/>
    <mergeCell ref="B15:E15"/>
    <mergeCell ref="B16:E16"/>
    <mergeCell ref="B17:E17"/>
    <mergeCell ref="B18:E18"/>
    <mergeCell ref="B19:E19"/>
    <mergeCell ref="B20:E20"/>
  </mergeCells>
  <dataValidations count="1">
    <dataValidation allowBlank="true" errorStyle="stop" operator="between" showDropDown="false" showErrorMessage="false" showInputMessage="false" sqref="C5:C11" type="list">
      <formula1>"0,1,2,3,4,5"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9" min="8" style="0" width="14"/>
  </cols>
  <sheetData>
    <row r="1" customFormat="false" ht="30" hidden="false" customHeight="true" outlineLevel="0" collapsed="false">
      <c r="A1" s="1" t="s">
        <v>94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95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26" t="s">
        <v>96</v>
      </c>
      <c r="B4" s="14" t="s">
        <v>97</v>
      </c>
      <c r="C4" s="14" t="s">
        <v>98</v>
      </c>
      <c r="D4" s="14" t="s">
        <v>99</v>
      </c>
      <c r="E4" s="14" t="s">
        <v>100</v>
      </c>
      <c r="F4" s="14" t="s">
        <v>101</v>
      </c>
      <c r="G4" s="14" t="s">
        <v>102</v>
      </c>
      <c r="H4" s="14" t="s">
        <v>103</v>
      </c>
      <c r="I4" s="14" t="s">
        <v>104</v>
      </c>
    </row>
    <row r="5" customFormat="false" ht="31.5" hidden="false" customHeight="true" outlineLevel="0" collapsed="false">
      <c r="A5" s="27" t="n">
        <v>1</v>
      </c>
      <c r="B5" s="28"/>
      <c r="C5" s="28"/>
      <c r="D5" s="28"/>
      <c r="E5" s="28"/>
      <c r="F5" s="28"/>
      <c r="G5" s="29"/>
      <c r="H5" s="28"/>
      <c r="I5" s="28"/>
    </row>
    <row r="6" customFormat="false" ht="31.5" hidden="false" customHeight="true" outlineLevel="0" collapsed="false">
      <c r="A6" s="27" t="n">
        <v>2</v>
      </c>
      <c r="B6" s="28"/>
      <c r="C6" s="28"/>
      <c r="D6" s="28"/>
      <c r="E6" s="28"/>
      <c r="F6" s="28"/>
      <c r="G6" s="29"/>
      <c r="H6" s="28"/>
      <c r="I6" s="28"/>
    </row>
    <row r="7" customFormat="false" ht="31.5" hidden="false" customHeight="true" outlineLevel="0" collapsed="false">
      <c r="A7" s="27" t="n">
        <v>3</v>
      </c>
      <c r="B7" s="28"/>
      <c r="C7" s="28"/>
      <c r="D7" s="28"/>
      <c r="E7" s="28"/>
      <c r="F7" s="28"/>
      <c r="G7" s="29"/>
      <c r="H7" s="28"/>
      <c r="I7" s="28"/>
    </row>
    <row r="8" customFormat="false" ht="31.5" hidden="false" customHeight="true" outlineLevel="0" collapsed="false">
      <c r="A8" s="27" t="n">
        <v>4</v>
      </c>
      <c r="B8" s="28"/>
      <c r="C8" s="28"/>
      <c r="D8" s="28"/>
      <c r="E8" s="28"/>
      <c r="F8" s="28"/>
      <c r="G8" s="29"/>
      <c r="H8" s="28"/>
      <c r="I8" s="28"/>
    </row>
    <row r="9" customFormat="false" ht="31.5" hidden="false" customHeight="true" outlineLevel="0" collapsed="false">
      <c r="A9" s="27" t="n">
        <v>5</v>
      </c>
      <c r="B9" s="28"/>
      <c r="C9" s="28"/>
      <c r="D9" s="28"/>
      <c r="E9" s="28"/>
      <c r="F9" s="28"/>
      <c r="G9" s="29"/>
      <c r="H9" s="28"/>
      <c r="I9" s="28"/>
    </row>
    <row r="11" customFormat="false" ht="15" hidden="false" customHeight="false" outlineLevel="0" collapsed="false">
      <c r="A11" s="3" t="s">
        <v>105</v>
      </c>
    </row>
    <row r="12" customFormat="false" ht="24" hidden="false" customHeight="true" outlineLevel="0" collapsed="false">
      <c r="A12" s="26" t="s">
        <v>96</v>
      </c>
      <c r="B12" s="14" t="s">
        <v>106</v>
      </c>
      <c r="C12" s="14" t="s">
        <v>107</v>
      </c>
      <c r="D12" s="14" t="s">
        <v>108</v>
      </c>
      <c r="E12" s="14" t="s">
        <v>109</v>
      </c>
      <c r="F12" s="14" t="s">
        <v>110</v>
      </c>
      <c r="G12" s="14" t="s">
        <v>111</v>
      </c>
    </row>
    <row r="13" customFormat="false" ht="21.75" hidden="false" customHeight="true" outlineLevel="0" collapsed="false">
      <c r="A13" s="30" t="n">
        <v>1</v>
      </c>
      <c r="B13" s="31" t="s">
        <v>112</v>
      </c>
      <c r="C13" s="16"/>
      <c r="D13" s="16"/>
      <c r="E13" s="16"/>
      <c r="F13" s="16"/>
      <c r="G13" s="16"/>
    </row>
    <row r="14" customFormat="false" ht="21.75" hidden="false" customHeight="true" outlineLevel="0" collapsed="false">
      <c r="A14" s="30" t="n">
        <v>2</v>
      </c>
      <c r="B14" s="31" t="s">
        <v>113</v>
      </c>
      <c r="C14" s="16"/>
      <c r="D14" s="16"/>
      <c r="E14" s="16"/>
      <c r="F14" s="16"/>
      <c r="G14" s="16"/>
    </row>
    <row r="15" customFormat="false" ht="21.75" hidden="false" customHeight="true" outlineLevel="0" collapsed="false">
      <c r="A15" s="30" t="n">
        <v>3</v>
      </c>
      <c r="B15" s="31" t="s">
        <v>114</v>
      </c>
      <c r="C15" s="16"/>
      <c r="D15" s="16"/>
      <c r="E15" s="16"/>
      <c r="F15" s="16"/>
      <c r="G15" s="16"/>
    </row>
    <row r="16" customFormat="false" ht="21.75" hidden="false" customHeight="true" outlineLevel="0" collapsed="false">
      <c r="A16" s="30" t="n">
        <v>4</v>
      </c>
      <c r="B16" s="31" t="s">
        <v>115</v>
      </c>
      <c r="C16" s="16"/>
      <c r="D16" s="16"/>
      <c r="E16" s="16"/>
      <c r="F16" s="16"/>
      <c r="G16" s="16"/>
    </row>
    <row r="17" customFormat="false" ht="21.75" hidden="false" customHeight="true" outlineLevel="0" collapsed="false">
      <c r="A17" s="30" t="n">
        <v>5</v>
      </c>
      <c r="B17" s="31" t="s">
        <v>116</v>
      </c>
      <c r="C17" s="16"/>
      <c r="D17" s="16"/>
      <c r="E17" s="16"/>
      <c r="F17" s="16"/>
      <c r="G17" s="16"/>
    </row>
    <row r="18" customFormat="false" ht="21.75" hidden="false" customHeight="true" outlineLevel="0" collapsed="false">
      <c r="A18" s="30" t="n">
        <v>6</v>
      </c>
      <c r="B18" s="31" t="s">
        <v>117</v>
      </c>
      <c r="C18" s="16"/>
      <c r="D18" s="16"/>
      <c r="E18" s="16"/>
      <c r="F18" s="16"/>
      <c r="G18" s="16"/>
    </row>
    <row r="19" customFormat="false" ht="21.75" hidden="false" customHeight="true" outlineLevel="0" collapsed="false">
      <c r="A19" s="30" t="n">
        <v>7</v>
      </c>
      <c r="B19" s="31" t="s">
        <v>118</v>
      </c>
      <c r="C19" s="16"/>
      <c r="D19" s="16"/>
      <c r="E19" s="16"/>
      <c r="F19" s="16"/>
      <c r="G19" s="16"/>
    </row>
    <row r="20" customFormat="false" ht="21.75" hidden="false" customHeight="true" outlineLevel="0" collapsed="false">
      <c r="A20" s="30" t="n">
        <v>8</v>
      </c>
      <c r="B20" s="32" t="s">
        <v>119</v>
      </c>
      <c r="C20" s="16"/>
      <c r="D20" s="16"/>
      <c r="E20" s="16"/>
      <c r="F20" s="16"/>
      <c r="G20" s="16"/>
    </row>
    <row r="21" customFormat="false" ht="21.75" hidden="false" customHeight="true" outlineLevel="0" collapsed="false">
      <c r="A21" s="30" t="n">
        <v>9</v>
      </c>
      <c r="B21" s="32" t="s">
        <v>120</v>
      </c>
      <c r="C21" s="16"/>
      <c r="D21" s="16"/>
      <c r="E21" s="16"/>
      <c r="F21" s="16"/>
      <c r="G21" s="16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9" type="list">
      <formula1>"可查證,需先取得客戶同意,不可揭露"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2"/>
    <col collapsed="false" customWidth="true" hidden="false" outlineLevel="0" max="7" min="7" style="0" width="34"/>
    <col collapsed="false" customWidth="true" hidden="false" outlineLevel="0" max="8" min="8" style="0" width="3"/>
  </cols>
  <sheetData>
    <row r="1" customFormat="false" ht="30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122</v>
      </c>
      <c r="B2" s="2"/>
      <c r="C2" s="2"/>
      <c r="D2" s="2"/>
      <c r="E2" s="2"/>
      <c r="F2" s="2"/>
      <c r="G2" s="2"/>
      <c r="H2" s="2"/>
    </row>
    <row r="4" customFormat="false" ht="19.4" hidden="false" customHeight="false" outlineLevel="0" collapsed="false">
      <c r="A4" s="33" t="s">
        <v>123</v>
      </c>
    </row>
    <row r="5" customFormat="false" ht="24" hidden="false" customHeight="true" outlineLevel="0" collapsed="false">
      <c r="A5" s="10" t="s">
        <v>124</v>
      </c>
      <c r="B5" s="11"/>
      <c r="C5" s="11"/>
      <c r="D5" s="11"/>
      <c r="E5" s="11"/>
      <c r="F5" s="11"/>
      <c r="G5" s="12" t="s">
        <v>48</v>
      </c>
    </row>
    <row r="6" customFormat="false" ht="24" hidden="false" customHeight="true" outlineLevel="0" collapsed="false">
      <c r="A6" s="10" t="s">
        <v>125</v>
      </c>
      <c r="B6" s="11"/>
      <c r="C6" s="11"/>
      <c r="D6" s="11"/>
      <c r="E6" s="11"/>
      <c r="F6" s="11"/>
      <c r="G6" s="12"/>
    </row>
    <row r="7" customFormat="false" ht="24" hidden="false" customHeight="true" outlineLevel="0" collapsed="false">
      <c r="A7" s="10" t="s">
        <v>126</v>
      </c>
      <c r="B7" s="11"/>
      <c r="C7" s="11"/>
      <c r="D7" s="11"/>
      <c r="E7" s="11"/>
      <c r="F7" s="11"/>
      <c r="G7" s="12"/>
    </row>
    <row r="8" customFormat="false" ht="24" hidden="false" customHeight="true" outlineLevel="0" collapsed="false">
      <c r="A8" s="10" t="s">
        <v>127</v>
      </c>
      <c r="B8" s="11"/>
      <c r="C8" s="11"/>
      <c r="D8" s="11"/>
      <c r="E8" s="11"/>
      <c r="F8" s="11"/>
      <c r="G8" s="12" t="s">
        <v>128</v>
      </c>
    </row>
    <row r="9" customFormat="false" ht="24" hidden="false" customHeight="true" outlineLevel="0" collapsed="false">
      <c r="A9" s="10" t="s">
        <v>129</v>
      </c>
      <c r="B9" s="11"/>
      <c r="C9" s="11"/>
      <c r="D9" s="11"/>
      <c r="E9" s="11"/>
      <c r="F9" s="11"/>
      <c r="G9" s="12" t="s">
        <v>130</v>
      </c>
    </row>
    <row r="10" customFormat="false" ht="24" hidden="false" customHeight="true" outlineLevel="0" collapsed="false">
      <c r="A10" s="10" t="s">
        <v>131</v>
      </c>
      <c r="B10" s="11"/>
      <c r="C10" s="11"/>
      <c r="D10" s="11"/>
      <c r="E10" s="11"/>
      <c r="F10" s="11"/>
      <c r="G10" s="12" t="s">
        <v>132</v>
      </c>
    </row>
    <row r="12" customFormat="false" ht="19.4" hidden="false" customHeight="false" outlineLevel="0" collapsed="false">
      <c r="A12" s="33" t="s">
        <v>133</v>
      </c>
    </row>
    <row r="13" customFormat="false" ht="24" hidden="false" customHeight="true" outlineLevel="0" collapsed="false">
      <c r="A13" s="10" t="s">
        <v>134</v>
      </c>
      <c r="B13" s="11"/>
      <c r="C13" s="11"/>
      <c r="D13" s="11"/>
      <c r="E13" s="11"/>
      <c r="F13" s="11"/>
      <c r="G13" s="12" t="s">
        <v>135</v>
      </c>
    </row>
    <row r="14" customFormat="false" ht="24" hidden="false" customHeight="true" outlineLevel="0" collapsed="false">
      <c r="A14" s="10" t="s">
        <v>136</v>
      </c>
      <c r="B14" s="11"/>
      <c r="C14" s="11"/>
      <c r="D14" s="11"/>
      <c r="E14" s="11"/>
      <c r="F14" s="11"/>
      <c r="G14" s="12" t="s">
        <v>137</v>
      </c>
    </row>
    <row r="15" customFormat="false" ht="24" hidden="false" customHeight="true" outlineLevel="0" collapsed="false">
      <c r="A15" s="10" t="s">
        <v>138</v>
      </c>
      <c r="B15" s="11"/>
      <c r="C15" s="11"/>
      <c r="D15" s="11"/>
      <c r="E15" s="11"/>
      <c r="F15" s="11"/>
      <c r="G15" s="12" t="s">
        <v>139</v>
      </c>
    </row>
    <row r="16" customFormat="false" ht="24" hidden="false" customHeight="true" outlineLevel="0" collapsed="false">
      <c r="A16" s="10" t="s">
        <v>140</v>
      </c>
      <c r="B16" s="11"/>
      <c r="C16" s="11"/>
      <c r="D16" s="11"/>
      <c r="E16" s="11"/>
      <c r="F16" s="11"/>
      <c r="G16" s="12"/>
    </row>
    <row r="17" customFormat="false" ht="24" hidden="false" customHeight="true" outlineLevel="0" collapsed="false">
      <c r="A17" s="10" t="s">
        <v>141</v>
      </c>
      <c r="B17" s="11"/>
      <c r="C17" s="11"/>
      <c r="D17" s="11"/>
      <c r="E17" s="11"/>
      <c r="F17" s="11"/>
      <c r="G17" s="12" t="s">
        <v>142</v>
      </c>
    </row>
    <row r="19" customFormat="false" ht="19.4" hidden="false" customHeight="false" outlineLevel="0" collapsed="false">
      <c r="A19" s="34" t="s">
        <v>143</v>
      </c>
    </row>
    <row r="20" customFormat="false" ht="24" hidden="false" customHeight="true" outlineLevel="0" collapsed="false">
      <c r="A20" s="10" t="s">
        <v>144</v>
      </c>
      <c r="B20" s="11"/>
      <c r="C20" s="11"/>
      <c r="D20" s="11"/>
      <c r="E20" s="11"/>
      <c r="F20" s="11"/>
      <c r="G20" s="12" t="s">
        <v>145</v>
      </c>
    </row>
    <row r="21" customFormat="false" ht="24" hidden="false" customHeight="true" outlineLevel="0" collapsed="false">
      <c r="A21" s="10" t="s">
        <v>146</v>
      </c>
      <c r="B21" s="11"/>
      <c r="C21" s="11"/>
      <c r="D21" s="11"/>
      <c r="E21" s="11"/>
      <c r="F21" s="11"/>
      <c r="G21" s="12" t="s">
        <v>147</v>
      </c>
    </row>
    <row r="22" customFormat="false" ht="24" hidden="false" customHeight="true" outlineLevel="0" collapsed="false">
      <c r="A22" s="10" t="s">
        <v>148</v>
      </c>
      <c r="B22" s="11"/>
      <c r="C22" s="11"/>
      <c r="D22" s="11"/>
      <c r="E22" s="11"/>
      <c r="F22" s="11"/>
      <c r="G22" s="12"/>
    </row>
    <row r="23" customFormat="false" ht="24" hidden="false" customHeight="true" outlineLevel="0" collapsed="false">
      <c r="A23" s="10" t="s">
        <v>149</v>
      </c>
      <c r="B23" s="11"/>
      <c r="C23" s="11"/>
      <c r="D23" s="11"/>
      <c r="E23" s="11"/>
      <c r="F23" s="11"/>
      <c r="G23" s="12"/>
    </row>
    <row r="24" customFormat="false" ht="24" hidden="false" customHeight="true" outlineLevel="0" collapsed="false">
      <c r="A24" s="10" t="s">
        <v>150</v>
      </c>
      <c r="B24" s="11"/>
      <c r="C24" s="11"/>
      <c r="D24" s="11"/>
      <c r="E24" s="11"/>
      <c r="F24" s="11"/>
      <c r="G24" s="12" t="s">
        <v>151</v>
      </c>
    </row>
    <row r="25" customFormat="false" ht="24" hidden="false" customHeight="true" outlineLevel="0" collapsed="false">
      <c r="A25" s="10" t="s">
        <v>152</v>
      </c>
      <c r="B25" s="11"/>
      <c r="C25" s="11"/>
      <c r="D25" s="11"/>
      <c r="E25" s="11"/>
      <c r="F25" s="11"/>
      <c r="G25" s="12" t="s">
        <v>153</v>
      </c>
    </row>
    <row r="26" customFormat="false" ht="24" hidden="false" customHeight="true" outlineLevel="0" collapsed="false">
      <c r="A26" s="10" t="s">
        <v>154</v>
      </c>
      <c r="B26" s="11"/>
      <c r="C26" s="11"/>
      <c r="D26" s="11"/>
      <c r="E26" s="11"/>
      <c r="F26" s="11"/>
      <c r="G26" s="13" t="s">
        <v>155</v>
      </c>
    </row>
    <row r="27" customFormat="false" ht="24" hidden="false" customHeight="true" outlineLevel="0" collapsed="false">
      <c r="A27" s="10" t="s">
        <v>156</v>
      </c>
      <c r="B27" s="11"/>
      <c r="C27" s="11"/>
      <c r="D27" s="11"/>
      <c r="E27" s="11"/>
      <c r="F27" s="11"/>
      <c r="G27" s="12" t="s">
        <v>157</v>
      </c>
    </row>
    <row r="28" customFormat="false" ht="24" hidden="false" customHeight="true" outlineLevel="0" collapsed="false">
      <c r="A28" s="10" t="s">
        <v>158</v>
      </c>
      <c r="B28" s="11"/>
      <c r="C28" s="11"/>
      <c r="D28" s="11"/>
      <c r="E28" s="11"/>
      <c r="F28" s="11"/>
      <c r="G28" s="12" t="s">
        <v>159</v>
      </c>
    </row>
    <row r="30" customFormat="false" ht="27.75" hidden="false" customHeight="true" outlineLevel="0" collapsed="false">
      <c r="A30" s="35" t="s">
        <v>160</v>
      </c>
      <c r="B30" s="35"/>
      <c r="C30" s="35"/>
      <c r="D30" s="35"/>
      <c r="E30" s="35"/>
      <c r="F30" s="35"/>
      <c r="G30" s="35"/>
    </row>
    <row r="31" customFormat="false" ht="15" hidden="false" customHeight="false" outlineLevel="0" collapsed="false">
      <c r="A31" s="35"/>
      <c r="B31" s="35"/>
      <c r="C31" s="35"/>
      <c r="D31" s="35"/>
      <c r="E31" s="35"/>
      <c r="F31" s="35"/>
      <c r="G31" s="35"/>
    </row>
    <row r="33" customFormat="false" ht="27.75" hidden="false" customHeight="true" outlineLevel="0" collapsed="false">
      <c r="A33" s="36" t="s">
        <v>161</v>
      </c>
      <c r="B33" s="37" t="s">
        <v>162</v>
      </c>
      <c r="C33" s="9"/>
      <c r="D33" s="37" t="s">
        <v>163</v>
      </c>
      <c r="E33" s="9"/>
      <c r="F33" s="37" t="s">
        <v>164</v>
      </c>
      <c r="G33" s="9"/>
    </row>
  </sheetData>
  <mergeCells count="23">
    <mergeCell ref="A1:H1"/>
    <mergeCell ref="A2:H2"/>
    <mergeCell ref="B5:F5"/>
    <mergeCell ref="B6:F6"/>
    <mergeCell ref="B7:F7"/>
    <mergeCell ref="B8:F8"/>
    <mergeCell ref="B9:F9"/>
    <mergeCell ref="B10:F10"/>
    <mergeCell ref="B13:F13"/>
    <mergeCell ref="B14:F14"/>
    <mergeCell ref="B15:F15"/>
    <mergeCell ref="B16:F16"/>
    <mergeCell ref="B17:F17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A30:G31"/>
  </mergeCells>
  <dataValidations count="1">
    <dataValidation allowBlank="true" errorStyle="stop" operator="between" showDropDown="false" showErrorMessage="false" showInputMessage="false" sqref="B5" type="list">
      <formula1>"Yes / 是,No / 否,TBD / 待確認"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M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3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3"/>
  </cols>
  <sheetData>
    <row r="1" customFormat="false" ht="30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7.15" hidden="false" customHeight="false" outlineLevel="0" collapsed="false">
      <c r="A4" s="38" t="s">
        <v>167</v>
      </c>
      <c r="F4" s="39" t="s">
        <v>168</v>
      </c>
    </row>
    <row r="5" customFormat="false" ht="21.75" hidden="false" customHeight="true" outlineLevel="0" collapsed="false">
      <c r="A5" s="26" t="s">
        <v>169</v>
      </c>
      <c r="B5" s="14" t="s">
        <v>170</v>
      </c>
      <c r="C5" s="14" t="s">
        <v>171</v>
      </c>
      <c r="D5" s="14" t="s">
        <v>172</v>
      </c>
      <c r="F5" s="40" t="s">
        <v>173</v>
      </c>
      <c r="G5" s="40" t="s">
        <v>174</v>
      </c>
      <c r="H5" s="40" t="s">
        <v>175</v>
      </c>
      <c r="I5" s="40" t="s">
        <v>176</v>
      </c>
      <c r="J5" s="40" t="s">
        <v>177</v>
      </c>
    </row>
    <row r="6" customFormat="false" ht="15" hidden="false" customHeight="false" outlineLevel="0" collapsed="false">
      <c r="A6" s="41" t="s">
        <v>178</v>
      </c>
      <c r="B6" s="42" t="s">
        <v>179</v>
      </c>
      <c r="C6" s="43" t="s">
        <v>180</v>
      </c>
      <c r="D6" s="44" t="n">
        <v>1</v>
      </c>
      <c r="F6" s="45" t="s">
        <v>180</v>
      </c>
      <c r="G6" s="42" t="s">
        <v>181</v>
      </c>
      <c r="H6" s="46" t="s">
        <v>182</v>
      </c>
      <c r="I6" s="47" t="s">
        <v>183</v>
      </c>
      <c r="J6" s="48" t="s">
        <v>184</v>
      </c>
    </row>
    <row r="7" customFormat="false" ht="15" hidden="false" customHeight="false" outlineLevel="0" collapsed="false">
      <c r="A7" s="41" t="s">
        <v>185</v>
      </c>
      <c r="B7" s="42" t="s">
        <v>186</v>
      </c>
      <c r="C7" s="43" t="s">
        <v>180</v>
      </c>
      <c r="D7" s="44" t="n">
        <v>1</v>
      </c>
      <c r="F7" s="45" t="s">
        <v>187</v>
      </c>
      <c r="G7" s="42" t="s">
        <v>188</v>
      </c>
      <c r="H7" s="46" t="s">
        <v>182</v>
      </c>
      <c r="I7" s="47" t="s">
        <v>189</v>
      </c>
      <c r="J7" s="48" t="s">
        <v>184</v>
      </c>
    </row>
    <row r="8" customFormat="false" ht="15" hidden="false" customHeight="false" outlineLevel="0" collapsed="false">
      <c r="A8" s="41" t="s">
        <v>190</v>
      </c>
      <c r="B8" s="42" t="s">
        <v>191</v>
      </c>
      <c r="C8" s="43" t="s">
        <v>192</v>
      </c>
      <c r="D8" s="44" t="n">
        <v>3</v>
      </c>
      <c r="F8" s="45" t="s">
        <v>193</v>
      </c>
      <c r="G8" s="42" t="s">
        <v>194</v>
      </c>
      <c r="H8" s="46" t="s">
        <v>182</v>
      </c>
      <c r="I8" s="47" t="s">
        <v>195</v>
      </c>
      <c r="J8" s="48" t="s">
        <v>184</v>
      </c>
    </row>
    <row r="9" customFormat="false" ht="15" hidden="false" customHeight="false" outlineLevel="0" collapsed="false">
      <c r="A9" s="41" t="s">
        <v>196</v>
      </c>
      <c r="B9" s="42" t="s">
        <v>197</v>
      </c>
      <c r="C9" s="43" t="s">
        <v>198</v>
      </c>
      <c r="D9" s="49" t="n">
        <v>4</v>
      </c>
      <c r="F9" s="45" t="s">
        <v>199</v>
      </c>
      <c r="G9" s="42" t="s">
        <v>200</v>
      </c>
      <c r="H9" s="46" t="s">
        <v>182</v>
      </c>
      <c r="I9" s="47" t="s">
        <v>201</v>
      </c>
      <c r="J9" s="48" t="s">
        <v>184</v>
      </c>
    </row>
    <row r="10" customFormat="false" ht="15" hidden="false" customHeight="false" outlineLevel="0" collapsed="false">
      <c r="A10" s="41" t="s">
        <v>202</v>
      </c>
      <c r="B10" s="42" t="s">
        <v>203</v>
      </c>
      <c r="C10" s="43" t="s">
        <v>180</v>
      </c>
      <c r="D10" s="44" t="n">
        <v>1</v>
      </c>
      <c r="F10" s="45" t="s">
        <v>204</v>
      </c>
      <c r="G10" s="42" t="s">
        <v>205</v>
      </c>
      <c r="H10" s="46" t="s">
        <v>206</v>
      </c>
      <c r="I10" s="47" t="s">
        <v>195</v>
      </c>
      <c r="J10" s="48" t="s">
        <v>184</v>
      </c>
    </row>
    <row r="11" customFormat="false" ht="15" hidden="false" customHeight="false" outlineLevel="0" collapsed="false">
      <c r="A11" s="41" t="s">
        <v>207</v>
      </c>
      <c r="B11" s="42" t="s">
        <v>208</v>
      </c>
      <c r="C11" s="43" t="s">
        <v>209</v>
      </c>
      <c r="D11" s="44" t="n">
        <v>3</v>
      </c>
      <c r="F11" s="45" t="s">
        <v>210</v>
      </c>
      <c r="G11" s="42" t="s">
        <v>211</v>
      </c>
      <c r="H11" s="46" t="s">
        <v>182</v>
      </c>
      <c r="I11" s="47" t="s">
        <v>183</v>
      </c>
      <c r="J11" s="48" t="s">
        <v>212</v>
      </c>
    </row>
    <row r="12" customFormat="false" ht="15" hidden="false" customHeight="false" outlineLevel="0" collapsed="false">
      <c r="A12" s="41" t="s">
        <v>213</v>
      </c>
      <c r="B12" s="42" t="s">
        <v>214</v>
      </c>
      <c r="C12" s="43" t="s">
        <v>215</v>
      </c>
      <c r="D12" s="44" t="n">
        <v>2</v>
      </c>
      <c r="F12" s="45" t="s">
        <v>216</v>
      </c>
      <c r="G12" s="42" t="s">
        <v>217</v>
      </c>
      <c r="H12" s="46" t="s">
        <v>206</v>
      </c>
      <c r="I12" s="47" t="s">
        <v>195</v>
      </c>
      <c r="J12" s="48" t="s">
        <v>212</v>
      </c>
    </row>
    <row r="13" customFormat="false" ht="26.85" hidden="false" customHeight="false" outlineLevel="0" collapsed="false">
      <c r="A13" s="41" t="s">
        <v>218</v>
      </c>
      <c r="B13" s="42" t="s">
        <v>219</v>
      </c>
      <c r="C13" s="43" t="s">
        <v>220</v>
      </c>
      <c r="D13" s="49" t="n">
        <v>5</v>
      </c>
      <c r="F13" s="45" t="s">
        <v>221</v>
      </c>
      <c r="G13" s="42" t="s">
        <v>222</v>
      </c>
      <c r="H13" s="46" t="s">
        <v>182</v>
      </c>
      <c r="I13" s="47" t="s">
        <v>201</v>
      </c>
      <c r="J13" s="48" t="s">
        <v>212</v>
      </c>
    </row>
    <row r="14" customFormat="false" ht="26.85" hidden="false" customHeight="false" outlineLevel="0" collapsed="false">
      <c r="A14" s="41" t="s">
        <v>223</v>
      </c>
      <c r="B14" s="42" t="s">
        <v>224</v>
      </c>
      <c r="C14" s="43" t="s">
        <v>225</v>
      </c>
      <c r="D14" s="44" t="n">
        <v>2</v>
      </c>
      <c r="F14" s="45" t="s">
        <v>226</v>
      </c>
      <c r="G14" s="42" t="s">
        <v>227</v>
      </c>
      <c r="H14" s="46" t="s">
        <v>182</v>
      </c>
      <c r="I14" s="47" t="s">
        <v>183</v>
      </c>
      <c r="J14" s="48" t="s">
        <v>212</v>
      </c>
    </row>
    <row r="15" customFormat="false" ht="15" hidden="false" customHeight="false" outlineLevel="0" collapsed="false">
      <c r="A15" s="41" t="s">
        <v>228</v>
      </c>
      <c r="B15" s="42" t="s">
        <v>229</v>
      </c>
      <c r="C15" s="43" t="s">
        <v>230</v>
      </c>
      <c r="D15" s="44" t="n">
        <v>3</v>
      </c>
      <c r="F15" s="45" t="s">
        <v>231</v>
      </c>
      <c r="G15" s="42" t="s">
        <v>232</v>
      </c>
      <c r="H15" s="46" t="s">
        <v>182</v>
      </c>
      <c r="I15" s="47" t="s">
        <v>183</v>
      </c>
      <c r="J15" s="48" t="s">
        <v>212</v>
      </c>
    </row>
    <row r="16" customFormat="false" ht="15" hidden="false" customHeight="false" outlineLevel="0" collapsed="false">
      <c r="A16" s="41" t="s">
        <v>233</v>
      </c>
      <c r="B16" s="42" t="s">
        <v>234</v>
      </c>
      <c r="C16" s="43" t="s">
        <v>235</v>
      </c>
      <c r="D16" s="49" t="n">
        <v>4</v>
      </c>
      <c r="F16" s="45" t="s">
        <v>236</v>
      </c>
      <c r="G16" s="42" t="s">
        <v>237</v>
      </c>
      <c r="H16" s="46" t="s">
        <v>182</v>
      </c>
      <c r="I16" s="47" t="s">
        <v>183</v>
      </c>
      <c r="J16" s="48" t="s">
        <v>212</v>
      </c>
    </row>
    <row r="17" customFormat="false" ht="15" hidden="false" customHeight="false" outlineLevel="0" collapsed="false">
      <c r="A17" s="41" t="s">
        <v>238</v>
      </c>
      <c r="B17" s="42" t="s">
        <v>239</v>
      </c>
      <c r="C17" s="43" t="s">
        <v>187</v>
      </c>
      <c r="D17" s="44" t="n">
        <v>1</v>
      </c>
      <c r="F17" s="45" t="s">
        <v>240</v>
      </c>
      <c r="G17" s="42" t="s">
        <v>241</v>
      </c>
      <c r="H17" s="50" t="s">
        <v>242</v>
      </c>
      <c r="I17" s="47" t="s">
        <v>183</v>
      </c>
      <c r="J17" s="48" t="s">
        <v>212</v>
      </c>
    </row>
    <row r="18" customFormat="false" ht="15" hidden="false" customHeight="false" outlineLevel="0" collapsed="false">
      <c r="A18" s="41" t="s">
        <v>243</v>
      </c>
      <c r="B18" s="42" t="s">
        <v>244</v>
      </c>
      <c r="C18" s="43" t="s">
        <v>245</v>
      </c>
      <c r="D18" s="44" t="n">
        <v>3</v>
      </c>
      <c r="F18" s="45" t="s">
        <v>246</v>
      </c>
      <c r="G18" s="42" t="s">
        <v>247</v>
      </c>
      <c r="H18" s="46" t="s">
        <v>182</v>
      </c>
      <c r="I18" s="47" t="s">
        <v>183</v>
      </c>
      <c r="J18" s="48" t="s">
        <v>212</v>
      </c>
    </row>
    <row r="19" customFormat="false" ht="26.85" hidden="false" customHeight="false" outlineLevel="0" collapsed="false">
      <c r="A19" s="41" t="s">
        <v>248</v>
      </c>
      <c r="B19" s="42" t="s">
        <v>249</v>
      </c>
      <c r="C19" s="43" t="s">
        <v>245</v>
      </c>
      <c r="D19" s="44" t="n">
        <v>3</v>
      </c>
      <c r="F19" s="45" t="s">
        <v>250</v>
      </c>
      <c r="G19" s="42" t="s">
        <v>251</v>
      </c>
      <c r="H19" s="46" t="s">
        <v>206</v>
      </c>
      <c r="I19" s="47" t="s">
        <v>201</v>
      </c>
      <c r="J19" s="48" t="s">
        <v>252</v>
      </c>
    </row>
    <row r="20" customFormat="false" ht="15" hidden="false" customHeight="false" outlineLevel="0" collapsed="false">
      <c r="A20" s="41" t="s">
        <v>253</v>
      </c>
      <c r="B20" s="42" t="s">
        <v>254</v>
      </c>
      <c r="C20" s="43" t="s">
        <v>255</v>
      </c>
      <c r="D20" s="49" t="n">
        <v>4</v>
      </c>
      <c r="F20" s="45" t="s">
        <v>256</v>
      </c>
      <c r="G20" s="42" t="s">
        <v>257</v>
      </c>
      <c r="H20" s="50" t="s">
        <v>242</v>
      </c>
      <c r="I20" s="47" t="s">
        <v>195</v>
      </c>
      <c r="J20" s="48" t="s">
        <v>252</v>
      </c>
    </row>
    <row r="21" customFormat="false" ht="15" hidden="false" customHeight="false" outlineLevel="0" collapsed="false">
      <c r="A21" s="41" t="s">
        <v>258</v>
      </c>
      <c r="B21" s="42" t="s">
        <v>259</v>
      </c>
      <c r="C21" s="43" t="s">
        <v>260</v>
      </c>
      <c r="D21" s="44" t="n">
        <v>3</v>
      </c>
      <c r="F21" s="45" t="s">
        <v>261</v>
      </c>
      <c r="G21" s="42" t="s">
        <v>262</v>
      </c>
      <c r="H21" s="46" t="s">
        <v>182</v>
      </c>
      <c r="I21" s="47" t="s">
        <v>201</v>
      </c>
      <c r="J21" s="48" t="s">
        <v>252</v>
      </c>
    </row>
    <row r="22" customFormat="false" ht="15" hidden="false" customHeight="false" outlineLevel="0" collapsed="false">
      <c r="A22" s="41" t="s">
        <v>263</v>
      </c>
      <c r="B22" s="42" t="s">
        <v>264</v>
      </c>
      <c r="C22" s="43" t="s">
        <v>265</v>
      </c>
      <c r="D22" s="44" t="n">
        <v>3</v>
      </c>
      <c r="F22" s="45" t="s">
        <v>266</v>
      </c>
      <c r="G22" s="42" t="s">
        <v>267</v>
      </c>
      <c r="H22" s="46" t="s">
        <v>182</v>
      </c>
      <c r="I22" s="47" t="s">
        <v>183</v>
      </c>
      <c r="J22" s="48" t="s">
        <v>252</v>
      </c>
    </row>
    <row r="23" customFormat="false" ht="15" hidden="false" customHeight="false" outlineLevel="0" collapsed="false">
      <c r="A23" s="41" t="s">
        <v>268</v>
      </c>
      <c r="B23" s="42" t="s">
        <v>269</v>
      </c>
      <c r="C23" s="43" t="s">
        <v>270</v>
      </c>
      <c r="D23" s="44" t="n">
        <v>3</v>
      </c>
      <c r="F23" s="45" t="s">
        <v>271</v>
      </c>
      <c r="G23" s="42" t="s">
        <v>272</v>
      </c>
      <c r="H23" s="50" t="s">
        <v>242</v>
      </c>
      <c r="I23" s="47" t="s">
        <v>183</v>
      </c>
      <c r="J23" s="48" t="s">
        <v>252</v>
      </c>
    </row>
    <row r="24" customFormat="false" ht="15" hidden="false" customHeight="false" outlineLevel="0" collapsed="false">
      <c r="A24" s="41" t="s">
        <v>273</v>
      </c>
      <c r="B24" s="42" t="s">
        <v>274</v>
      </c>
      <c r="C24" s="43" t="s">
        <v>275</v>
      </c>
      <c r="D24" s="44" t="n">
        <v>2</v>
      </c>
      <c r="F24" s="45" t="s">
        <v>276</v>
      </c>
      <c r="G24" s="42" t="s">
        <v>277</v>
      </c>
      <c r="H24" s="46" t="s">
        <v>182</v>
      </c>
      <c r="I24" s="47" t="s">
        <v>201</v>
      </c>
      <c r="J24" s="48" t="s">
        <v>252</v>
      </c>
    </row>
    <row r="25" customFormat="false" ht="15" hidden="false" customHeight="false" outlineLevel="0" collapsed="false">
      <c r="A25" s="41" t="s">
        <v>278</v>
      </c>
      <c r="B25" s="51" t="s">
        <v>279</v>
      </c>
      <c r="C25" s="43" t="s">
        <v>280</v>
      </c>
      <c r="D25" s="49" t="n">
        <v>4</v>
      </c>
      <c r="F25" s="45" t="s">
        <v>281</v>
      </c>
      <c r="G25" s="42" t="s">
        <v>282</v>
      </c>
      <c r="H25" s="46" t="s">
        <v>182</v>
      </c>
      <c r="I25" s="47" t="s">
        <v>183</v>
      </c>
      <c r="J25" s="48" t="s">
        <v>252</v>
      </c>
    </row>
    <row r="26" customFormat="false" ht="15" hidden="false" customHeight="false" outlineLevel="0" collapsed="false">
      <c r="A26" s="41" t="s">
        <v>283</v>
      </c>
      <c r="B26" s="42" t="s">
        <v>284</v>
      </c>
      <c r="C26" s="43" t="s">
        <v>285</v>
      </c>
      <c r="D26" s="44" t="n">
        <v>1</v>
      </c>
      <c r="F26" s="45" t="s">
        <v>286</v>
      </c>
      <c r="G26" s="42" t="s">
        <v>287</v>
      </c>
      <c r="H26" s="50" t="s">
        <v>242</v>
      </c>
      <c r="I26" s="47" t="s">
        <v>201</v>
      </c>
      <c r="J26" s="48" t="s">
        <v>252</v>
      </c>
    </row>
    <row r="27" customFormat="false" ht="15" hidden="false" customHeight="false" outlineLevel="0" collapsed="false">
      <c r="A27" s="41" t="s">
        <v>288</v>
      </c>
      <c r="B27" s="42" t="s">
        <v>289</v>
      </c>
      <c r="C27" s="43" t="s">
        <v>290</v>
      </c>
      <c r="D27" s="44" t="n">
        <v>3</v>
      </c>
      <c r="F27" s="45" t="s">
        <v>291</v>
      </c>
      <c r="G27" s="42" t="s">
        <v>292</v>
      </c>
      <c r="H27" s="46" t="s">
        <v>182</v>
      </c>
      <c r="I27" s="47" t="s">
        <v>189</v>
      </c>
      <c r="J27" s="48" t="s">
        <v>252</v>
      </c>
    </row>
    <row r="28" customFormat="false" ht="15" hidden="false" customHeight="false" outlineLevel="0" collapsed="false">
      <c r="A28" s="41" t="s">
        <v>293</v>
      </c>
      <c r="B28" s="51" t="s">
        <v>294</v>
      </c>
      <c r="C28" s="43" t="s">
        <v>295</v>
      </c>
      <c r="D28" s="44" t="n">
        <v>1</v>
      </c>
      <c r="F28" s="45" t="s">
        <v>296</v>
      </c>
      <c r="G28" s="42" t="s">
        <v>297</v>
      </c>
      <c r="H28" s="46" t="s">
        <v>182</v>
      </c>
      <c r="I28" s="47" t="s">
        <v>183</v>
      </c>
      <c r="J28" s="48" t="s">
        <v>252</v>
      </c>
    </row>
    <row r="29" customFormat="false" ht="15" hidden="false" customHeight="false" outlineLevel="0" collapsed="false">
      <c r="A29" s="41" t="s">
        <v>298</v>
      </c>
      <c r="B29" s="51" t="s">
        <v>299</v>
      </c>
      <c r="C29" s="43" t="s">
        <v>295</v>
      </c>
      <c r="D29" s="44" t="n">
        <v>1</v>
      </c>
      <c r="F29" s="45" t="s">
        <v>285</v>
      </c>
      <c r="G29" s="42" t="s">
        <v>300</v>
      </c>
      <c r="H29" s="46" t="s">
        <v>182</v>
      </c>
      <c r="I29" s="47" t="s">
        <v>201</v>
      </c>
      <c r="J29" s="48" t="s">
        <v>301</v>
      </c>
    </row>
    <row r="30" customFormat="false" ht="15" hidden="false" customHeight="false" outlineLevel="0" collapsed="false">
      <c r="A30" s="41" t="s">
        <v>302</v>
      </c>
      <c r="B30" s="42" t="s">
        <v>303</v>
      </c>
      <c r="C30" s="43" t="s">
        <v>304</v>
      </c>
      <c r="D30" s="44" t="n">
        <v>2</v>
      </c>
      <c r="F30" s="45" t="s">
        <v>305</v>
      </c>
      <c r="G30" s="42" t="s">
        <v>306</v>
      </c>
      <c r="H30" s="46" t="s">
        <v>182</v>
      </c>
      <c r="I30" s="47" t="s">
        <v>189</v>
      </c>
      <c r="J30" s="48" t="s">
        <v>301</v>
      </c>
    </row>
    <row r="31" customFormat="false" ht="26.85" hidden="false" customHeight="false" outlineLevel="0" collapsed="false">
      <c r="A31" s="41" t="s">
        <v>307</v>
      </c>
      <c r="B31" s="42" t="s">
        <v>308</v>
      </c>
      <c r="C31" s="43" t="s">
        <v>309</v>
      </c>
      <c r="D31" s="49" t="n">
        <v>6</v>
      </c>
      <c r="F31" s="45" t="s">
        <v>295</v>
      </c>
      <c r="G31" s="42" t="s">
        <v>310</v>
      </c>
      <c r="H31" s="50" t="s">
        <v>242</v>
      </c>
      <c r="I31" s="47" t="s">
        <v>201</v>
      </c>
      <c r="J31" s="48" t="s">
        <v>301</v>
      </c>
    </row>
    <row r="32" customFormat="false" ht="20.85" hidden="false" customHeight="false" outlineLevel="0" collapsed="false">
      <c r="A32" s="41" t="s">
        <v>311</v>
      </c>
      <c r="B32" s="42" t="s">
        <v>312</v>
      </c>
      <c r="C32" s="43" t="s">
        <v>313</v>
      </c>
      <c r="D32" s="49" t="n">
        <v>8</v>
      </c>
      <c r="F32" s="45" t="s">
        <v>314</v>
      </c>
      <c r="G32" s="42" t="s">
        <v>315</v>
      </c>
      <c r="H32" s="50" t="s">
        <v>242</v>
      </c>
      <c r="I32" s="47" t="s">
        <v>189</v>
      </c>
      <c r="J32" s="48" t="s">
        <v>301</v>
      </c>
    </row>
    <row r="33" customFormat="false" ht="20.85" hidden="false" customHeight="false" outlineLevel="0" collapsed="false">
      <c r="A33" s="41" t="s">
        <v>316</v>
      </c>
      <c r="B33" s="42" t="s">
        <v>317</v>
      </c>
      <c r="C33" s="43" t="s">
        <v>318</v>
      </c>
      <c r="D33" s="49" t="n">
        <v>6</v>
      </c>
      <c r="F33" s="45" t="s">
        <v>319</v>
      </c>
      <c r="G33" s="42" t="s">
        <v>320</v>
      </c>
      <c r="H33" s="50" t="s">
        <v>242</v>
      </c>
      <c r="I33" s="47" t="s">
        <v>189</v>
      </c>
      <c r="J33" s="48" t="s">
        <v>301</v>
      </c>
    </row>
    <row r="34" customFormat="false" ht="15" hidden="false" customHeight="false" outlineLevel="0" collapsed="false">
      <c r="A34" s="41" t="s">
        <v>321</v>
      </c>
      <c r="B34" s="42" t="s">
        <v>322</v>
      </c>
      <c r="C34" s="43" t="s">
        <v>323</v>
      </c>
      <c r="D34" s="44" t="n">
        <v>3</v>
      </c>
      <c r="F34" s="45" t="s">
        <v>324</v>
      </c>
      <c r="G34" s="42" t="s">
        <v>325</v>
      </c>
      <c r="H34" s="50" t="s">
        <v>242</v>
      </c>
      <c r="I34" s="47" t="s">
        <v>189</v>
      </c>
      <c r="J34" s="48" t="s">
        <v>301</v>
      </c>
    </row>
    <row r="35" customFormat="false" ht="20.85" hidden="false" customHeight="false" outlineLevel="0" collapsed="false">
      <c r="A35" s="41" t="s">
        <v>326</v>
      </c>
      <c r="B35" s="42" t="s">
        <v>327</v>
      </c>
      <c r="C35" s="43" t="s">
        <v>328</v>
      </c>
      <c r="D35" s="49" t="n">
        <v>7</v>
      </c>
      <c r="F35" s="45" t="s">
        <v>329</v>
      </c>
      <c r="G35" s="42" t="s">
        <v>330</v>
      </c>
      <c r="H35" s="46" t="s">
        <v>182</v>
      </c>
      <c r="I35" s="47" t="s">
        <v>189</v>
      </c>
      <c r="J35" s="48" t="s">
        <v>301</v>
      </c>
    </row>
    <row r="36" customFormat="false" ht="15" hidden="false" customHeight="false" outlineLevel="0" collapsed="false">
      <c r="A36" s="41" t="s">
        <v>331</v>
      </c>
      <c r="B36" s="42" t="s">
        <v>332</v>
      </c>
      <c r="C36" s="43" t="s">
        <v>333</v>
      </c>
      <c r="D36" s="44" t="n">
        <v>3</v>
      </c>
      <c r="F36" s="45" t="s">
        <v>334</v>
      </c>
      <c r="G36" s="51" t="s">
        <v>335</v>
      </c>
      <c r="H36" s="46" t="s">
        <v>182</v>
      </c>
      <c r="I36" s="47" t="s">
        <v>183</v>
      </c>
      <c r="J36" s="48" t="s">
        <v>336</v>
      </c>
    </row>
    <row r="37" customFormat="false" ht="20.85" hidden="false" customHeight="false" outlineLevel="0" collapsed="false">
      <c r="A37" s="41" t="s">
        <v>337</v>
      </c>
      <c r="B37" s="42" t="s">
        <v>338</v>
      </c>
      <c r="C37" s="43" t="s">
        <v>339</v>
      </c>
      <c r="D37" s="49" t="n">
        <v>9</v>
      </c>
      <c r="F37" s="45" t="s">
        <v>340</v>
      </c>
      <c r="G37" s="51" t="s">
        <v>341</v>
      </c>
      <c r="H37" s="46" t="s">
        <v>182</v>
      </c>
      <c r="I37" s="47" t="s">
        <v>189</v>
      </c>
      <c r="J37" s="48" t="s">
        <v>336</v>
      </c>
    </row>
    <row r="38" customFormat="false" ht="15" hidden="false" customHeight="false" outlineLevel="0" collapsed="false">
      <c r="A38" s="41" t="s">
        <v>342</v>
      </c>
      <c r="B38" s="51" t="s">
        <v>343</v>
      </c>
      <c r="C38" s="43" t="s">
        <v>344</v>
      </c>
      <c r="D38" s="44" t="n">
        <v>3</v>
      </c>
      <c r="F38" s="45" t="s">
        <v>345</v>
      </c>
      <c r="G38" s="51" t="s">
        <v>346</v>
      </c>
      <c r="H38" s="46" t="s">
        <v>182</v>
      </c>
      <c r="I38" s="47" t="s">
        <v>189</v>
      </c>
      <c r="J38" s="48" t="s">
        <v>336</v>
      </c>
    </row>
    <row r="39" customFormat="false" ht="15" hidden="false" customHeight="false" outlineLevel="0" collapsed="false">
      <c r="A39" s="41" t="s">
        <v>347</v>
      </c>
      <c r="B39" s="51" t="s">
        <v>348</v>
      </c>
      <c r="C39" s="43" t="s">
        <v>349</v>
      </c>
      <c r="D39" s="49" t="n">
        <v>4</v>
      </c>
      <c r="F39" s="45" t="s">
        <v>350</v>
      </c>
      <c r="G39" s="42" t="s">
        <v>351</v>
      </c>
      <c r="H39" s="50" t="s">
        <v>242</v>
      </c>
      <c r="I39" s="47" t="s">
        <v>189</v>
      </c>
      <c r="J39" s="48" t="s">
        <v>336</v>
      </c>
    </row>
    <row r="40" customFormat="false" ht="15" hidden="false" customHeight="false" outlineLevel="0" collapsed="false">
      <c r="A40" s="41" t="s">
        <v>352</v>
      </c>
      <c r="B40" s="42" t="s">
        <v>353</v>
      </c>
      <c r="C40" s="43" t="s">
        <v>350</v>
      </c>
      <c r="D40" s="44" t="n">
        <v>1</v>
      </c>
      <c r="F40" s="45" t="s">
        <v>354</v>
      </c>
      <c r="G40" s="42" t="s">
        <v>355</v>
      </c>
      <c r="H40" s="50" t="s">
        <v>242</v>
      </c>
      <c r="I40" s="47" t="s">
        <v>189</v>
      </c>
      <c r="J40" s="48" t="s">
        <v>336</v>
      </c>
    </row>
    <row r="41" customFormat="false" ht="15" hidden="false" customHeight="false" outlineLevel="0" collapsed="false">
      <c r="A41" s="41" t="s">
        <v>356</v>
      </c>
      <c r="B41" s="42" t="s">
        <v>357</v>
      </c>
      <c r="C41" s="43" t="s">
        <v>358</v>
      </c>
      <c r="D41" s="49" t="n">
        <v>4</v>
      </c>
      <c r="F41" s="45" t="s">
        <v>359</v>
      </c>
      <c r="G41" s="42" t="s">
        <v>360</v>
      </c>
      <c r="H41" s="46" t="s">
        <v>182</v>
      </c>
      <c r="I41" s="47" t="s">
        <v>183</v>
      </c>
      <c r="J41" s="48" t="s">
        <v>336</v>
      </c>
    </row>
    <row r="42" customFormat="false" ht="15" hidden="false" customHeight="false" outlineLevel="0" collapsed="false">
      <c r="A42" s="41" t="s">
        <v>361</v>
      </c>
      <c r="B42" s="42" t="s">
        <v>362</v>
      </c>
      <c r="C42" s="43" t="s">
        <v>363</v>
      </c>
      <c r="D42" s="49" t="n">
        <v>4</v>
      </c>
      <c r="F42" s="45" t="s">
        <v>364</v>
      </c>
      <c r="G42" s="42" t="s">
        <v>365</v>
      </c>
      <c r="H42" s="50" t="s">
        <v>242</v>
      </c>
      <c r="I42" s="47" t="s">
        <v>189</v>
      </c>
      <c r="J42" s="48" t="s">
        <v>336</v>
      </c>
    </row>
    <row r="43" customFormat="false" ht="15" hidden="false" customHeight="false" outlineLevel="0" collapsed="false">
      <c r="A43" s="41" t="s">
        <v>366</v>
      </c>
      <c r="B43" s="42" t="s">
        <v>367</v>
      </c>
      <c r="C43" s="43" t="s">
        <v>368</v>
      </c>
      <c r="D43" s="44" t="n">
        <v>3</v>
      </c>
      <c r="F43" s="45" t="s">
        <v>369</v>
      </c>
      <c r="G43" s="42" t="s">
        <v>370</v>
      </c>
      <c r="H43" s="50" t="s">
        <v>242</v>
      </c>
      <c r="I43" s="47" t="s">
        <v>189</v>
      </c>
      <c r="J43" s="48" t="s">
        <v>336</v>
      </c>
    </row>
    <row r="44" customFormat="false" ht="26.85" hidden="false" customHeight="false" outlineLevel="0" collapsed="false">
      <c r="A44" s="41" t="s">
        <v>371</v>
      </c>
      <c r="B44" s="42" t="s">
        <v>372</v>
      </c>
      <c r="C44" s="43" t="s">
        <v>373</v>
      </c>
      <c r="D44" s="44" t="n">
        <v>3</v>
      </c>
      <c r="F44" s="45" t="s">
        <v>374</v>
      </c>
      <c r="G44" s="42" t="s">
        <v>375</v>
      </c>
      <c r="H44" s="50" t="s">
        <v>242</v>
      </c>
      <c r="I44" s="47" t="s">
        <v>189</v>
      </c>
      <c r="J44" s="48" t="s">
        <v>336</v>
      </c>
    </row>
    <row r="45" customFormat="false" ht="15" hidden="false" customHeight="false" outlineLevel="0" collapsed="false">
      <c r="A45" s="41" t="s">
        <v>376</v>
      </c>
      <c r="B45" s="42" t="s">
        <v>377</v>
      </c>
      <c r="C45" s="43" t="s">
        <v>378</v>
      </c>
      <c r="D45" s="44" t="n">
        <v>2</v>
      </c>
      <c r="F45" s="45" t="s">
        <v>379</v>
      </c>
      <c r="G45" s="42" t="s">
        <v>380</v>
      </c>
      <c r="H45" s="46" t="s">
        <v>182</v>
      </c>
      <c r="I45" s="47" t="s">
        <v>183</v>
      </c>
      <c r="J45" s="48" t="s">
        <v>336</v>
      </c>
    </row>
    <row r="46" customFormat="false" ht="15" hidden="false" customHeight="false" outlineLevel="0" collapsed="false">
      <c r="A46" s="41" t="s">
        <v>381</v>
      </c>
      <c r="B46" s="42" t="s">
        <v>382</v>
      </c>
      <c r="C46" s="43" t="s">
        <v>383</v>
      </c>
      <c r="D46" s="44" t="n">
        <v>1</v>
      </c>
      <c r="F46" s="45" t="s">
        <v>384</v>
      </c>
      <c r="G46" s="42" t="s">
        <v>385</v>
      </c>
      <c r="H46" s="46" t="s">
        <v>182</v>
      </c>
      <c r="I46" s="47" t="s">
        <v>386</v>
      </c>
      <c r="J46" s="48" t="s">
        <v>336</v>
      </c>
    </row>
    <row r="47" customFormat="false" ht="15" hidden="false" customHeight="false" outlineLevel="0" collapsed="false">
      <c r="A47" s="41" t="s">
        <v>387</v>
      </c>
      <c r="B47" s="42" t="s">
        <v>388</v>
      </c>
      <c r="C47" s="43" t="s">
        <v>389</v>
      </c>
      <c r="D47" s="44" t="n">
        <v>2</v>
      </c>
      <c r="F47" s="45" t="s">
        <v>390</v>
      </c>
      <c r="G47" s="42" t="s">
        <v>391</v>
      </c>
      <c r="H47" s="50" t="s">
        <v>242</v>
      </c>
      <c r="I47" s="47" t="s">
        <v>189</v>
      </c>
      <c r="J47" s="48" t="s">
        <v>336</v>
      </c>
    </row>
    <row r="48" customFormat="false" ht="15" hidden="false" customHeight="false" outlineLevel="0" collapsed="false">
      <c r="A48" s="41" t="s">
        <v>392</v>
      </c>
      <c r="B48" s="42" t="s">
        <v>393</v>
      </c>
      <c r="C48" s="43" t="s">
        <v>383</v>
      </c>
      <c r="D48" s="44" t="n">
        <v>1</v>
      </c>
      <c r="F48" s="45" t="s">
        <v>394</v>
      </c>
      <c r="G48" s="42" t="s">
        <v>395</v>
      </c>
      <c r="H48" s="46" t="s">
        <v>182</v>
      </c>
      <c r="I48" s="47" t="s">
        <v>189</v>
      </c>
      <c r="J48" s="48" t="s">
        <v>396</v>
      </c>
    </row>
    <row r="49" customFormat="false" ht="26.85" hidden="false" customHeight="false" outlineLevel="0" collapsed="false">
      <c r="A49" s="41" t="s">
        <v>397</v>
      </c>
      <c r="B49" s="42" t="s">
        <v>398</v>
      </c>
      <c r="C49" s="43" t="s">
        <v>399</v>
      </c>
      <c r="D49" s="44" t="n">
        <v>2</v>
      </c>
      <c r="F49" s="45" t="s">
        <v>400</v>
      </c>
      <c r="G49" s="42" t="s">
        <v>401</v>
      </c>
      <c r="H49" s="46" t="s">
        <v>182</v>
      </c>
      <c r="I49" s="47" t="s">
        <v>189</v>
      </c>
      <c r="J49" s="48" t="s">
        <v>396</v>
      </c>
    </row>
    <row r="50" customFormat="false" ht="15" hidden="false" customHeight="false" outlineLevel="0" collapsed="false">
      <c r="A50" s="41" t="s">
        <v>402</v>
      </c>
      <c r="B50" s="42" t="s">
        <v>403</v>
      </c>
      <c r="C50" s="43" t="s">
        <v>404</v>
      </c>
      <c r="D50" s="44" t="n">
        <v>2</v>
      </c>
      <c r="F50" s="45" t="s">
        <v>405</v>
      </c>
      <c r="G50" s="42" t="s">
        <v>406</v>
      </c>
      <c r="H50" s="46" t="s">
        <v>182</v>
      </c>
      <c r="I50" s="47" t="s">
        <v>189</v>
      </c>
      <c r="J50" s="48" t="s">
        <v>396</v>
      </c>
    </row>
    <row r="51" customFormat="false" ht="15" hidden="false" customHeight="false" outlineLevel="0" collapsed="false">
      <c r="A51" s="41" t="s">
        <v>407</v>
      </c>
      <c r="B51" s="42" t="s">
        <v>408</v>
      </c>
      <c r="C51" s="43" t="s">
        <v>409</v>
      </c>
      <c r="D51" s="44" t="n">
        <v>1</v>
      </c>
      <c r="F51" s="45" t="s">
        <v>410</v>
      </c>
      <c r="G51" s="42" t="s">
        <v>411</v>
      </c>
      <c r="H51" s="50" t="s">
        <v>242</v>
      </c>
      <c r="I51" s="47" t="s">
        <v>189</v>
      </c>
      <c r="J51" s="48" t="s">
        <v>396</v>
      </c>
    </row>
    <row r="52" customFormat="false" ht="15" hidden="false" customHeight="false" outlineLevel="0" collapsed="false">
      <c r="A52" s="41" t="s">
        <v>412</v>
      </c>
      <c r="B52" s="42" t="s">
        <v>413</v>
      </c>
      <c r="C52" s="43" t="s">
        <v>409</v>
      </c>
      <c r="D52" s="44" t="n">
        <v>1</v>
      </c>
      <c r="F52" s="45" t="s">
        <v>414</v>
      </c>
      <c r="G52" s="42" t="s">
        <v>415</v>
      </c>
      <c r="H52" s="50" t="s">
        <v>242</v>
      </c>
      <c r="I52" s="47" t="s">
        <v>189</v>
      </c>
      <c r="J52" s="48" t="s">
        <v>396</v>
      </c>
    </row>
    <row r="53" customFormat="false" ht="15" hidden="false" customHeight="false" outlineLevel="0" collapsed="false">
      <c r="A53" s="41" t="s">
        <v>416</v>
      </c>
      <c r="B53" s="42" t="s">
        <v>417</v>
      </c>
      <c r="C53" s="43" t="s">
        <v>418</v>
      </c>
      <c r="D53" s="44" t="n">
        <v>2</v>
      </c>
      <c r="F53" s="45" t="s">
        <v>419</v>
      </c>
      <c r="G53" s="42" t="s">
        <v>420</v>
      </c>
      <c r="H53" s="50" t="s">
        <v>242</v>
      </c>
      <c r="I53" s="47" t="s">
        <v>183</v>
      </c>
      <c r="J53" s="48" t="s">
        <v>396</v>
      </c>
    </row>
    <row r="54" customFormat="false" ht="15" hidden="false" customHeight="false" outlineLevel="0" collapsed="false">
      <c r="A54" s="41" t="s">
        <v>421</v>
      </c>
      <c r="B54" s="42" t="s">
        <v>422</v>
      </c>
      <c r="C54" s="43" t="s">
        <v>418</v>
      </c>
      <c r="D54" s="44" t="n">
        <v>2</v>
      </c>
      <c r="F54" s="45" t="s">
        <v>423</v>
      </c>
      <c r="G54" s="42" t="s">
        <v>424</v>
      </c>
      <c r="H54" s="50" t="s">
        <v>242</v>
      </c>
      <c r="I54" s="47" t="s">
        <v>189</v>
      </c>
      <c r="J54" s="48" t="s">
        <v>396</v>
      </c>
    </row>
    <row r="55" customFormat="false" ht="15" hidden="false" customHeight="false" outlineLevel="0" collapsed="false">
      <c r="A55" s="41" t="s">
        <v>425</v>
      </c>
      <c r="B55" s="42" t="s">
        <v>426</v>
      </c>
      <c r="C55" s="43" t="s">
        <v>427</v>
      </c>
      <c r="D55" s="44" t="n">
        <v>2</v>
      </c>
      <c r="F55" s="45" t="s">
        <v>428</v>
      </c>
      <c r="G55" s="42" t="s">
        <v>429</v>
      </c>
      <c r="H55" s="50" t="s">
        <v>242</v>
      </c>
      <c r="I55" s="47" t="s">
        <v>189</v>
      </c>
      <c r="J55" s="48" t="s">
        <v>396</v>
      </c>
    </row>
    <row r="56" customFormat="false" ht="15" hidden="false" customHeight="false" outlineLevel="0" collapsed="false">
      <c r="A56" s="41" t="s">
        <v>430</v>
      </c>
      <c r="B56" s="42" t="s">
        <v>431</v>
      </c>
      <c r="C56" s="43" t="s">
        <v>427</v>
      </c>
      <c r="D56" s="44" t="n">
        <v>2</v>
      </c>
      <c r="F56" s="45" t="s">
        <v>432</v>
      </c>
      <c r="G56" s="42" t="s">
        <v>433</v>
      </c>
      <c r="H56" s="50" t="s">
        <v>242</v>
      </c>
      <c r="I56" s="47" t="s">
        <v>189</v>
      </c>
      <c r="J56" s="48" t="s">
        <v>396</v>
      </c>
    </row>
    <row r="57" customFormat="false" ht="15" hidden="false" customHeight="false" outlineLevel="0" collapsed="false">
      <c r="A57" s="41" t="s">
        <v>434</v>
      </c>
      <c r="B57" s="42" t="s">
        <v>435</v>
      </c>
      <c r="C57" s="43" t="s">
        <v>436</v>
      </c>
      <c r="D57" s="44" t="n">
        <v>2</v>
      </c>
      <c r="F57" s="45" t="s">
        <v>437</v>
      </c>
      <c r="G57" s="42" t="s">
        <v>438</v>
      </c>
      <c r="H57" s="50" t="s">
        <v>242</v>
      </c>
      <c r="I57" s="47" t="s">
        <v>189</v>
      </c>
      <c r="J57" s="48" t="s">
        <v>396</v>
      </c>
    </row>
    <row r="58" customFormat="false" ht="15" hidden="false" customHeight="false" outlineLevel="0" collapsed="false">
      <c r="A58" s="41" t="s">
        <v>439</v>
      </c>
      <c r="B58" s="51" t="s">
        <v>440</v>
      </c>
      <c r="C58" s="43" t="s">
        <v>441</v>
      </c>
      <c r="D58" s="49" t="n">
        <v>5</v>
      </c>
      <c r="F58" s="45" t="s">
        <v>442</v>
      </c>
      <c r="G58" s="42" t="s">
        <v>443</v>
      </c>
      <c r="H58" s="50" t="s">
        <v>242</v>
      </c>
      <c r="I58" s="47" t="s">
        <v>189</v>
      </c>
      <c r="J58" s="48" t="s">
        <v>396</v>
      </c>
    </row>
    <row r="59" customFormat="false" ht="15" hidden="false" customHeight="false" outlineLevel="0" collapsed="false">
      <c r="A59" s="41" t="s">
        <v>444</v>
      </c>
      <c r="B59" s="42" t="s">
        <v>445</v>
      </c>
      <c r="C59" s="43" t="s">
        <v>446</v>
      </c>
      <c r="D59" s="44" t="n">
        <v>2</v>
      </c>
      <c r="F59" s="45" t="s">
        <v>447</v>
      </c>
      <c r="G59" s="42" t="s">
        <v>448</v>
      </c>
      <c r="H59" s="50" t="s">
        <v>242</v>
      </c>
      <c r="I59" s="47" t="s">
        <v>189</v>
      </c>
      <c r="J59" s="48" t="s">
        <v>396</v>
      </c>
    </row>
    <row r="60" customFormat="false" ht="15" hidden="false" customHeight="false" outlineLevel="0" collapsed="false">
      <c r="A60" s="41" t="s">
        <v>449</v>
      </c>
      <c r="B60" s="42" t="s">
        <v>450</v>
      </c>
      <c r="C60" s="43" t="s">
        <v>451</v>
      </c>
      <c r="D60" s="49" t="n">
        <v>5</v>
      </c>
      <c r="F60" s="45" t="s">
        <v>452</v>
      </c>
      <c r="G60" s="42" t="s">
        <v>453</v>
      </c>
      <c r="H60" s="50" t="s">
        <v>242</v>
      </c>
      <c r="I60" s="47" t="s">
        <v>189</v>
      </c>
      <c r="J60" s="48" t="s">
        <v>396</v>
      </c>
    </row>
    <row r="61" customFormat="false" ht="15" hidden="false" customHeight="false" outlineLevel="0" collapsed="false">
      <c r="A61" s="41" t="s">
        <v>454</v>
      </c>
      <c r="B61" s="42" t="s">
        <v>455</v>
      </c>
      <c r="C61" s="43" t="s">
        <v>456</v>
      </c>
      <c r="D61" s="44" t="n">
        <v>2</v>
      </c>
      <c r="F61" s="45" t="s">
        <v>457</v>
      </c>
      <c r="G61" s="42" t="s">
        <v>458</v>
      </c>
      <c r="H61" s="50" t="s">
        <v>242</v>
      </c>
      <c r="I61" s="47" t="s">
        <v>189</v>
      </c>
      <c r="J61" s="48" t="s">
        <v>396</v>
      </c>
    </row>
    <row r="62" customFormat="false" ht="15" hidden="false" customHeight="false" outlineLevel="0" collapsed="false">
      <c r="A62" s="41" t="s">
        <v>459</v>
      </c>
      <c r="B62" s="42" t="s">
        <v>460</v>
      </c>
      <c r="C62" s="43" t="s">
        <v>461</v>
      </c>
      <c r="D62" s="44" t="n">
        <v>2</v>
      </c>
      <c r="F62" s="45" t="s">
        <v>462</v>
      </c>
      <c r="G62" s="42" t="s">
        <v>463</v>
      </c>
      <c r="H62" s="46" t="s">
        <v>182</v>
      </c>
      <c r="I62" s="47" t="s">
        <v>189</v>
      </c>
      <c r="J62" s="48" t="s">
        <v>396</v>
      </c>
    </row>
    <row r="63" customFormat="false" ht="26.85" hidden="false" customHeight="false" outlineLevel="0" collapsed="false">
      <c r="A63" s="41" t="s">
        <v>464</v>
      </c>
      <c r="B63" s="42" t="s">
        <v>465</v>
      </c>
      <c r="C63" s="43" t="s">
        <v>466</v>
      </c>
      <c r="D63" s="44" t="n">
        <v>2</v>
      </c>
      <c r="F63" s="45" t="s">
        <v>467</v>
      </c>
      <c r="G63" s="42" t="s">
        <v>468</v>
      </c>
      <c r="H63" s="46" t="s">
        <v>182</v>
      </c>
      <c r="I63" s="47" t="s">
        <v>183</v>
      </c>
      <c r="J63" s="48" t="s">
        <v>396</v>
      </c>
    </row>
    <row r="64" customFormat="false" ht="26.85" hidden="false" customHeight="false" outlineLevel="0" collapsed="false">
      <c r="A64" s="41" t="s">
        <v>469</v>
      </c>
      <c r="B64" s="51" t="s">
        <v>470</v>
      </c>
      <c r="C64" s="43" t="s">
        <v>471</v>
      </c>
      <c r="D64" s="44" t="n">
        <v>2</v>
      </c>
      <c r="F64" s="45" t="s">
        <v>472</v>
      </c>
      <c r="G64" s="42" t="s">
        <v>473</v>
      </c>
      <c r="H64" s="50" t="s">
        <v>242</v>
      </c>
      <c r="I64" s="47" t="s">
        <v>189</v>
      </c>
      <c r="J64" s="48" t="s">
        <v>396</v>
      </c>
    </row>
    <row r="65" customFormat="false" ht="15" hidden="false" customHeight="false" outlineLevel="0" collapsed="false">
      <c r="A65" s="41" t="s">
        <v>474</v>
      </c>
      <c r="B65" s="42" t="s">
        <v>475</v>
      </c>
      <c r="C65" s="43" t="s">
        <v>476</v>
      </c>
      <c r="D65" s="44" t="n">
        <v>2</v>
      </c>
      <c r="F65" s="45" t="s">
        <v>383</v>
      </c>
      <c r="G65" s="51" t="s">
        <v>477</v>
      </c>
      <c r="H65" s="46" t="s">
        <v>182</v>
      </c>
      <c r="I65" s="47" t="s">
        <v>189</v>
      </c>
      <c r="J65" s="48" t="s">
        <v>478</v>
      </c>
    </row>
    <row r="66" customFormat="false" ht="15" hidden="false" customHeight="false" outlineLevel="0" collapsed="false">
      <c r="F66" s="45" t="s">
        <v>479</v>
      </c>
      <c r="G66" s="51" t="s">
        <v>480</v>
      </c>
      <c r="H66" s="50" t="s">
        <v>242</v>
      </c>
      <c r="I66" s="47" t="s">
        <v>189</v>
      </c>
      <c r="J66" s="48" t="s">
        <v>478</v>
      </c>
    </row>
    <row r="67" customFormat="false" ht="26.85" hidden="false" customHeight="false" outlineLevel="0" collapsed="false">
      <c r="F67" s="45" t="s">
        <v>409</v>
      </c>
      <c r="G67" s="42" t="s">
        <v>481</v>
      </c>
      <c r="H67" s="46" t="s">
        <v>182</v>
      </c>
      <c r="I67" s="47" t="s">
        <v>189</v>
      </c>
      <c r="J67" s="48" t="s">
        <v>478</v>
      </c>
    </row>
    <row r="68" customFormat="false" ht="15" hidden="false" customHeight="false" outlineLevel="0" collapsed="false">
      <c r="F68" s="45" t="s">
        <v>482</v>
      </c>
      <c r="G68" s="42" t="s">
        <v>483</v>
      </c>
      <c r="H68" s="50" t="s">
        <v>242</v>
      </c>
      <c r="I68" s="47" t="s">
        <v>189</v>
      </c>
      <c r="J68" s="48" t="s">
        <v>478</v>
      </c>
    </row>
    <row r="69" customFormat="false" ht="15" hidden="false" customHeight="false" outlineLevel="0" collapsed="false">
      <c r="F69" s="45" t="s">
        <v>484</v>
      </c>
      <c r="G69" s="42" t="s">
        <v>485</v>
      </c>
      <c r="H69" s="50" t="s">
        <v>242</v>
      </c>
      <c r="I69" s="47" t="s">
        <v>183</v>
      </c>
      <c r="J69" s="48" t="s">
        <v>486</v>
      </c>
    </row>
    <row r="70" customFormat="false" ht="26.85" hidden="false" customHeight="false" outlineLevel="0" collapsed="false">
      <c r="F70" s="45" t="s">
        <v>487</v>
      </c>
      <c r="G70" s="42" t="s">
        <v>488</v>
      </c>
      <c r="H70" s="50" t="s">
        <v>242</v>
      </c>
      <c r="I70" s="47" t="s">
        <v>183</v>
      </c>
      <c r="J70" s="48" t="s">
        <v>486</v>
      </c>
    </row>
    <row r="71" customFormat="false" ht="15" hidden="false" customHeight="false" outlineLevel="0" collapsed="false">
      <c r="F71" s="45" t="s">
        <v>489</v>
      </c>
      <c r="G71" s="42" t="s">
        <v>490</v>
      </c>
      <c r="H71" s="50" t="s">
        <v>242</v>
      </c>
      <c r="I71" s="47" t="s">
        <v>183</v>
      </c>
      <c r="J71" s="48" t="s">
        <v>486</v>
      </c>
    </row>
    <row r="72" customFormat="false" ht="15" hidden="false" customHeight="false" outlineLevel="0" collapsed="false">
      <c r="F72" s="45" t="s">
        <v>491</v>
      </c>
      <c r="G72" s="42" t="s">
        <v>492</v>
      </c>
      <c r="H72" s="50" t="s">
        <v>242</v>
      </c>
      <c r="I72" s="47" t="s">
        <v>183</v>
      </c>
      <c r="J72" s="48" t="s">
        <v>486</v>
      </c>
    </row>
    <row r="73" customFormat="false" ht="15" hidden="false" customHeight="false" outlineLevel="0" collapsed="false">
      <c r="F73" s="45" t="s">
        <v>493</v>
      </c>
      <c r="G73" s="42" t="s">
        <v>494</v>
      </c>
      <c r="H73" s="46" t="s">
        <v>182</v>
      </c>
      <c r="I73" s="47" t="s">
        <v>189</v>
      </c>
      <c r="J73" s="48" t="s">
        <v>486</v>
      </c>
    </row>
    <row r="74" customFormat="false" ht="15" hidden="false" customHeight="false" outlineLevel="0" collapsed="false">
      <c r="F74" s="45" t="s">
        <v>495</v>
      </c>
      <c r="G74" s="42" t="s">
        <v>496</v>
      </c>
      <c r="H74" s="46" t="s">
        <v>182</v>
      </c>
      <c r="I74" s="47" t="s">
        <v>183</v>
      </c>
      <c r="J74" s="48" t="s">
        <v>486</v>
      </c>
    </row>
    <row r="75" customFormat="false" ht="15" hidden="false" customHeight="false" outlineLevel="0" collapsed="false">
      <c r="F75" s="45" t="s">
        <v>497</v>
      </c>
      <c r="G75" s="42" t="s">
        <v>498</v>
      </c>
      <c r="H75" s="46" t="s">
        <v>182</v>
      </c>
      <c r="I75" s="47" t="s">
        <v>189</v>
      </c>
      <c r="J75" s="48" t="s">
        <v>486</v>
      </c>
    </row>
    <row r="76" customFormat="false" ht="15" hidden="false" customHeight="false" outlineLevel="0" collapsed="false">
      <c r="F76" s="45" t="s">
        <v>499</v>
      </c>
      <c r="G76" s="42" t="s">
        <v>500</v>
      </c>
      <c r="H76" s="50" t="s">
        <v>242</v>
      </c>
      <c r="I76" s="47" t="s">
        <v>183</v>
      </c>
      <c r="J76" s="48" t="s">
        <v>501</v>
      </c>
    </row>
    <row r="77" customFormat="false" ht="15" hidden="false" customHeight="false" outlineLevel="0" collapsed="false">
      <c r="F77" s="45" t="s">
        <v>502</v>
      </c>
      <c r="G77" s="42" t="s">
        <v>503</v>
      </c>
      <c r="H77" s="50" t="s">
        <v>242</v>
      </c>
      <c r="I77" s="47" t="s">
        <v>201</v>
      </c>
      <c r="J77" s="48" t="s">
        <v>501</v>
      </c>
    </row>
    <row r="78" customFormat="false" ht="15" hidden="false" customHeight="false" outlineLevel="0" collapsed="false">
      <c r="F78" s="45" t="s">
        <v>504</v>
      </c>
      <c r="G78" s="42" t="s">
        <v>505</v>
      </c>
      <c r="H78" s="50" t="s">
        <v>242</v>
      </c>
      <c r="I78" s="47" t="s">
        <v>195</v>
      </c>
      <c r="J78" s="48" t="s">
        <v>501</v>
      </c>
    </row>
    <row r="79" customFormat="false" ht="15" hidden="false" customHeight="false" outlineLevel="0" collapsed="false">
      <c r="F79" s="45" t="s">
        <v>506</v>
      </c>
      <c r="G79" s="42" t="s">
        <v>507</v>
      </c>
      <c r="H79" s="46" t="s">
        <v>182</v>
      </c>
      <c r="I79" s="47" t="s">
        <v>201</v>
      </c>
      <c r="J79" s="48" t="s">
        <v>501</v>
      </c>
    </row>
    <row r="80" customFormat="false" ht="15" hidden="false" customHeight="false" outlineLevel="0" collapsed="false">
      <c r="F80" s="45" t="s">
        <v>508</v>
      </c>
      <c r="G80" s="42" t="s">
        <v>509</v>
      </c>
      <c r="H80" s="46" t="s">
        <v>182</v>
      </c>
      <c r="I80" s="47" t="s">
        <v>201</v>
      </c>
      <c r="J80" s="48" t="s">
        <v>501</v>
      </c>
    </row>
    <row r="81" customFormat="false" ht="15" hidden="false" customHeight="false" outlineLevel="0" collapsed="false">
      <c r="F81" s="45" t="s">
        <v>510</v>
      </c>
      <c r="G81" s="42" t="s">
        <v>511</v>
      </c>
      <c r="H81" s="46" t="s">
        <v>182</v>
      </c>
      <c r="I81" s="47" t="s">
        <v>201</v>
      </c>
      <c r="J81" s="48" t="s">
        <v>501</v>
      </c>
    </row>
    <row r="82" customFormat="false" ht="15" hidden="false" customHeight="false" outlineLevel="0" collapsed="false">
      <c r="F82" s="45" t="s">
        <v>512</v>
      </c>
      <c r="G82" s="42" t="s">
        <v>513</v>
      </c>
      <c r="H82" s="50" t="s">
        <v>242</v>
      </c>
      <c r="I82" s="47" t="s">
        <v>201</v>
      </c>
      <c r="J82" s="48" t="s">
        <v>501</v>
      </c>
    </row>
    <row r="83" customFormat="false" ht="15" hidden="false" customHeight="false" outlineLevel="0" collapsed="false">
      <c r="F83" s="45" t="s">
        <v>514</v>
      </c>
      <c r="G83" s="42" t="s">
        <v>515</v>
      </c>
      <c r="H83" s="50" t="s">
        <v>242</v>
      </c>
      <c r="I83" s="47" t="s">
        <v>189</v>
      </c>
      <c r="J83" s="48" t="s">
        <v>501</v>
      </c>
    </row>
    <row r="84" customFormat="false" ht="15" hidden="false" customHeight="false" outlineLevel="0" collapsed="false">
      <c r="F84" s="45" t="s">
        <v>516</v>
      </c>
      <c r="G84" s="42" t="s">
        <v>517</v>
      </c>
      <c r="H84" s="50" t="s">
        <v>242</v>
      </c>
      <c r="I84" s="47" t="s">
        <v>183</v>
      </c>
      <c r="J84" s="48" t="s">
        <v>501</v>
      </c>
    </row>
    <row r="85" customFormat="false" ht="15" hidden="false" customHeight="false" outlineLevel="0" collapsed="false">
      <c r="F85" s="45" t="s">
        <v>518</v>
      </c>
      <c r="G85" s="42" t="s">
        <v>519</v>
      </c>
      <c r="H85" s="46" t="s">
        <v>182</v>
      </c>
      <c r="I85" s="47" t="s">
        <v>189</v>
      </c>
      <c r="J85" s="48" t="s">
        <v>501</v>
      </c>
    </row>
    <row r="86" customFormat="false" ht="15" hidden="false" customHeight="false" outlineLevel="0" collapsed="false">
      <c r="F86" s="45" t="s">
        <v>520</v>
      </c>
      <c r="G86" s="42" t="s">
        <v>521</v>
      </c>
      <c r="H86" s="46" t="s">
        <v>182</v>
      </c>
      <c r="I86" s="47" t="s">
        <v>189</v>
      </c>
      <c r="J86" s="48" t="s">
        <v>522</v>
      </c>
    </row>
    <row r="87" customFormat="false" ht="15" hidden="false" customHeight="false" outlineLevel="0" collapsed="false">
      <c r="F87" s="45" t="s">
        <v>523</v>
      </c>
      <c r="G87" s="42" t="s">
        <v>524</v>
      </c>
      <c r="H87" s="46" t="s">
        <v>182</v>
      </c>
      <c r="I87" s="47" t="s">
        <v>189</v>
      </c>
      <c r="J87" s="48" t="s">
        <v>522</v>
      </c>
    </row>
    <row r="88" customFormat="false" ht="15" hidden="false" customHeight="false" outlineLevel="0" collapsed="false">
      <c r="F88" s="45" t="s">
        <v>525</v>
      </c>
      <c r="G88" s="42" t="s">
        <v>526</v>
      </c>
      <c r="H88" s="46" t="s">
        <v>182</v>
      </c>
      <c r="I88" s="47" t="s">
        <v>183</v>
      </c>
      <c r="J88" s="48" t="s">
        <v>522</v>
      </c>
    </row>
    <row r="89" customFormat="false" ht="15" hidden="false" customHeight="false" outlineLevel="0" collapsed="false">
      <c r="F89" s="45" t="s">
        <v>527</v>
      </c>
      <c r="G89" s="42" t="s">
        <v>528</v>
      </c>
      <c r="H89" s="50" t="s">
        <v>242</v>
      </c>
      <c r="I89" s="47" t="s">
        <v>189</v>
      </c>
      <c r="J89" s="48" t="s">
        <v>522</v>
      </c>
    </row>
    <row r="90" customFormat="false" ht="15" hidden="false" customHeight="false" outlineLevel="0" collapsed="false">
      <c r="F90" s="45" t="s">
        <v>529</v>
      </c>
      <c r="G90" s="42" t="s">
        <v>530</v>
      </c>
      <c r="H90" s="50" t="s">
        <v>242</v>
      </c>
      <c r="I90" s="47" t="s">
        <v>189</v>
      </c>
      <c r="J90" s="48" t="s">
        <v>522</v>
      </c>
    </row>
    <row r="92" customFormat="false" ht="15" hidden="false" customHeight="true" outlineLevel="0" collapsed="false">
      <c r="A92" s="52" t="s">
        <v>531</v>
      </c>
      <c r="B92" s="52"/>
      <c r="C92" s="52"/>
      <c r="D92" s="52"/>
      <c r="E92" s="52"/>
      <c r="F92" s="52"/>
      <c r="G92" s="52"/>
      <c r="H92" s="52"/>
      <c r="I92" s="52"/>
      <c r="J92" s="52"/>
    </row>
    <row r="93" customFormat="false" ht="15" hidden="false" customHeight="fals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</row>
  </sheetData>
  <mergeCells count="3">
    <mergeCell ref="A1:M1"/>
    <mergeCell ref="A2:M2"/>
    <mergeCell ref="A92:J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T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15" min="9" style="0" width="6"/>
    <col collapsed="false" customWidth="true" hidden="false" outlineLevel="0" max="16" min="16" style="0" width="8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19" min="19" style="0" width="22"/>
    <col collapsed="false" customWidth="true" hidden="false" outlineLevel="0" max="20" min="20" style="0" width="3"/>
  </cols>
  <sheetData>
    <row r="1" customFormat="false" ht="30" hidden="false" customHeight="true" outlineLevel="0" collapsed="false">
      <c r="A1" s="1" t="s">
        <v>532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0" hidden="false" customHeight="true" outlineLevel="0" collapsed="false">
      <c r="A2" s="2" t="s">
        <v>533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1.75" hidden="false" customHeight="true" outlineLevel="0" collapsed="false">
      <c r="A4" s="53" t="s">
        <v>534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</row>
    <row r="5" customFormat="false" ht="21.75" hidden="false" customHeight="true" outlineLevel="0" collapsed="false">
      <c r="A5" s="54" t="s">
        <v>535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</row>
    <row r="6" customFormat="false" ht="30" hidden="false" customHeight="true" outlineLevel="0" collapsed="false">
      <c r="A6" s="55" t="s">
        <v>536</v>
      </c>
      <c r="B6" s="55" t="s">
        <v>537</v>
      </c>
      <c r="C6" s="56" t="s">
        <v>538</v>
      </c>
      <c r="D6" s="55" t="s">
        <v>539</v>
      </c>
      <c r="E6" s="55" t="s">
        <v>540</v>
      </c>
      <c r="F6" s="55" t="s">
        <v>541</v>
      </c>
      <c r="G6" s="55" t="s">
        <v>542</v>
      </c>
      <c r="H6" s="55" t="s">
        <v>543</v>
      </c>
      <c r="I6" s="55" t="s">
        <v>544</v>
      </c>
      <c r="J6" s="55" t="s">
        <v>545</v>
      </c>
      <c r="K6" s="55" t="s">
        <v>546</v>
      </c>
      <c r="L6" s="55" t="s">
        <v>547</v>
      </c>
      <c r="M6" s="55" t="s">
        <v>548</v>
      </c>
      <c r="N6" s="55" t="s">
        <v>549</v>
      </c>
      <c r="O6" s="55" t="s">
        <v>550</v>
      </c>
      <c r="P6" s="57" t="s">
        <v>551</v>
      </c>
      <c r="Q6" s="55" t="s">
        <v>552</v>
      </c>
      <c r="R6" s="55" t="s">
        <v>553</v>
      </c>
      <c r="S6" s="55" t="s">
        <v>554</v>
      </c>
    </row>
    <row r="7" customFormat="false" ht="42" hidden="false" customHeight="true" outlineLevel="0" collapsed="false">
      <c r="A7" s="58" t="str">
        <f aca="false">""</f>
        <v/>
      </c>
      <c r="B7" s="59" t="str">
        <f aca="false">IF('01_公司基本資料_Company'!$B$4="","",'01_公司基本資料_Company'!$B$4)</f>
        <v/>
      </c>
      <c r="C7" s="59" t="str">
        <f aca="false">IF('01_公司基本資料_Company'!$B$5="","",'01_公司基本資料_Company'!$B$5)</f>
        <v/>
      </c>
      <c r="D7" s="59" t="str">
        <f aca="false">IF('01_公司基本資料_Company'!$B$21="","",'01_公司基本資料_Company'!$B$21)</f>
        <v/>
      </c>
      <c r="E7" s="59" t="str">
        <f aca="false">IF('01_公司基本資料_Company'!$B$22="","",'01_公司基本資料_Company'!$B$22)</f>
        <v/>
      </c>
      <c r="F7" s="60" t="str">
        <f aca="false">IF('01_公司基本資料_Company'!$B$23="","",'01_公司基本資料_Company'!$B$23)</f>
        <v/>
      </c>
      <c r="G7" s="60" t="str">
        <f aca="false">IF('01_公司基本資料_Company'!$B$25="","",'01_公司基本資料_Company'!$B$25)</f>
        <v/>
      </c>
      <c r="H7" s="59" t="str">
        <f aca="false">IF('04_越南落地與來源_Vietnam'!$B$5="","",'04_越南落地與來源_Vietnam'!$B$5)</f>
        <v/>
      </c>
      <c r="I7" s="59" t="str">
        <f aca="false">IF(AND('02_能力自評_SelfAssessment'!$C$5="",'02_能力自評_SelfAssessment'!$D$5=""),"",IF('02_能力自評_SelfAssessment'!$D$5="",'02_能力自評_SelfAssessment'!$C$5,'02_能力自評_SelfAssessment'!$D$5))</f>
        <v/>
      </c>
      <c r="J7" s="59" t="str">
        <f aca="false">IF(AND('02_能力自評_SelfAssessment'!$C$6="",'02_能力自評_SelfAssessment'!$D$6=""),"",IF('02_能力自評_SelfAssessment'!$D$6="",'02_能力自評_SelfAssessment'!$C$6,'02_能力自評_SelfAssessment'!$D$6))</f>
        <v/>
      </c>
      <c r="K7" s="59" t="str">
        <f aca="false">IF(AND('02_能力自評_SelfAssessment'!$C$7="",'02_能力自評_SelfAssessment'!$D$7=""),"",IF('02_能力自評_SelfAssessment'!$D$7="",'02_能力自評_SelfAssessment'!$C$7,'02_能力自評_SelfAssessment'!$D$7))</f>
        <v/>
      </c>
      <c r="L7" s="59" t="str">
        <f aca="false">IF(AND('02_能力自評_SelfAssessment'!$C$8="",'02_能力自評_SelfAssessment'!$D$8=""),"",IF('02_能力自評_SelfAssessment'!$D$8="",'02_能力自評_SelfAssessment'!$C$8,'02_能力自評_SelfAssessment'!$D$8))</f>
        <v/>
      </c>
      <c r="M7" s="59" t="str">
        <f aca="false">IF(AND('02_能力自評_SelfAssessment'!$C$9="",'02_能力自評_SelfAssessment'!$D$9=""),"",IF('02_能力自評_SelfAssessment'!$D$9="",'02_能力自評_SelfAssessment'!$C$9,'02_能力自評_SelfAssessment'!$D$9))</f>
        <v/>
      </c>
      <c r="N7" s="59" t="str">
        <f aca="false">IF(AND('02_能力自評_SelfAssessment'!$C$10="",'02_能力自評_SelfAssessment'!$D$10=""),"",IF('02_能力自評_SelfAssessment'!$D$10="",'02_能力自評_SelfAssessment'!$C$10,'02_能力自評_SelfAssessment'!$D$10))</f>
        <v/>
      </c>
      <c r="O7" s="59" t="str">
        <f aca="false">IF(AND('02_能力自評_SelfAssessment'!$C$11="",'02_能力自評_SelfAssessment'!$D$11=""),"",IF('02_能力自評_SelfAssessment'!$D$11="",'02_能力自評_SelfAssessment'!$C$11,'02_能力自評_SelfAssessment'!$D$11))</f>
        <v/>
      </c>
      <c r="P7" s="61" t="str">
        <f aca="false">"←主工具自動算"</f>
        <v>←主工具自動算</v>
      </c>
      <c r="Q7" s="58" t="str">
        <f aca="false">""</f>
        <v/>
      </c>
      <c r="R7" s="58" t="str">
        <f aca="false">"Due diligence / 審查中"</f>
        <v>Due diligence / 審查中</v>
      </c>
      <c r="S7" s="60" t="str">
        <f aca="false">IF('01_公司基本資料_Company'!$B$24="","（PI 填）","洽談承接："&amp;'01_公司基本資料_Company'!$B$24)</f>
        <v>（PI 填）</v>
      </c>
    </row>
    <row r="8" customFormat="false" ht="30" hidden="false" customHeight="true" outlineLevel="0" collapsed="false">
      <c r="A8" s="62" t="s">
        <v>555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2" t="s">
        <v>556</v>
      </c>
      <c r="Q8" s="62" t="s">
        <v>557</v>
      </c>
      <c r="R8" s="62" t="s">
        <v>558</v>
      </c>
      <c r="S8" s="63"/>
    </row>
    <row r="9" customFormat="false" ht="15" hidden="false" customHeight="false" outlineLevel="0" collapsed="false">
      <c r="A9" s="3" t="s">
        <v>559</v>
      </c>
    </row>
    <row r="10" customFormat="false" ht="19.5" hidden="false" customHeight="true" outlineLevel="0" collapsed="false">
      <c r="A10" s="64" t="s">
        <v>560</v>
      </c>
      <c r="B10" s="64"/>
      <c r="C10" s="64"/>
      <c r="D10" s="64"/>
      <c r="E10" s="64"/>
      <c r="F10" s="65" t="str">
        <f aca="false">IF(COUNT('02_能力自評_SelfAssessment'!$C$5:$C$11)=7,"✓ 已填滿","✗ 尚缺 "&amp;(7-COUNT('02_能力自評_SelfAssessment'!$C$5:$C$11))&amp;" 項")</f>
        <v>✗ 尚缺 7 項</v>
      </c>
      <c r="G10" s="65"/>
      <c r="H10" s="65"/>
      <c r="I10" s="65"/>
      <c r="J10" s="65"/>
      <c r="K10" s="65"/>
    </row>
    <row r="11" customFormat="false" ht="19.5" hidden="false" customHeight="true" outlineLevel="0" collapsed="false">
      <c r="A11" s="64" t="s">
        <v>561</v>
      </c>
      <c r="B11" s="64"/>
      <c r="C11" s="64"/>
      <c r="D11" s="64"/>
      <c r="E11" s="64"/>
      <c r="F11" s="65" t="str">
        <f aca="false">IF(COUNTA('02_能力自評_SelfAssessment'!$E$5:$E$11)=7,"✓ 已填滿","✗ 尚缺 "&amp;(7-COUNTA('02_能力自評_SelfAssessment'!$E$5:$E$11))&amp;" 項（無佐證以 0 分計）")</f>
        <v>✗ 尚缺 7 項（無佐證以 0 分計）</v>
      </c>
      <c r="G11" s="65"/>
      <c r="H11" s="65"/>
      <c r="I11" s="65"/>
      <c r="J11" s="65"/>
      <c r="K11" s="65"/>
    </row>
    <row r="12" customFormat="false" ht="19.5" hidden="false" customHeight="true" outlineLevel="0" collapsed="false">
      <c r="A12" s="64" t="s">
        <v>562</v>
      </c>
      <c r="B12" s="64"/>
      <c r="C12" s="64"/>
      <c r="D12" s="64"/>
      <c r="E12" s="64"/>
      <c r="F12" s="65" t="str">
        <f aca="false">IF(AND('01_公司基本資料_Company'!$B$4&lt;&gt;"",'01_公司基本資料_Company'!$B$5&lt;&gt;""),"✓ 已填","✗ 未填")</f>
        <v>✗ 未填</v>
      </c>
      <c r="G12" s="65"/>
      <c r="H12" s="65"/>
      <c r="I12" s="65"/>
      <c r="J12" s="65"/>
      <c r="K12" s="65"/>
    </row>
    <row r="13" customFormat="false" ht="19.5" hidden="false" customHeight="true" outlineLevel="0" collapsed="false">
      <c r="A13" s="64" t="s">
        <v>563</v>
      </c>
      <c r="B13" s="64"/>
      <c r="C13" s="64"/>
      <c r="D13" s="64"/>
      <c r="E13" s="64"/>
      <c r="F13" s="65" t="str">
        <f aca="false">IF(AND('01_公司基本資料_Company'!$B$21&lt;&gt;"",'01_公司基本資料_Company'!$B$23&lt;&gt;""),"✓ 已填","✗ 未填")</f>
        <v>✗ 未填</v>
      </c>
      <c r="G13" s="65"/>
      <c r="H13" s="65"/>
      <c r="I13" s="65"/>
      <c r="J13" s="65"/>
      <c r="K13" s="65"/>
    </row>
    <row r="14" customFormat="false" ht="19.5" hidden="false" customHeight="true" outlineLevel="0" collapsed="false">
      <c r="A14" s="64" t="s">
        <v>564</v>
      </c>
      <c r="B14" s="64"/>
      <c r="C14" s="64"/>
      <c r="D14" s="64"/>
      <c r="E14" s="64"/>
      <c r="F14" s="65" t="str">
        <f aca="false">IF('01_公司基本資料_Company'!$B$16&lt;&gt;"","✓ 已填","✗ 未填")</f>
        <v>✗ 未填</v>
      </c>
      <c r="G14" s="65"/>
      <c r="H14" s="65"/>
      <c r="I14" s="65"/>
      <c r="J14" s="65"/>
      <c r="K14" s="65"/>
    </row>
    <row r="15" customFormat="false" ht="19.5" hidden="false" customHeight="true" outlineLevel="0" collapsed="false">
      <c r="A15" s="64" t="s">
        <v>565</v>
      </c>
      <c r="B15" s="64"/>
      <c r="C15" s="64"/>
      <c r="D15" s="64"/>
      <c r="E15" s="64"/>
      <c r="F15" s="65" t="str">
        <f aca="false">IF('04_越南落地與來源_Vietnam'!$B$5&lt;&gt;"","✓ 已填","✗ 未填")</f>
        <v>✗ 未填</v>
      </c>
      <c r="G15" s="65"/>
      <c r="H15" s="65"/>
      <c r="I15" s="65"/>
      <c r="J15" s="65"/>
      <c r="K15" s="65"/>
    </row>
    <row r="16" customFormat="false" ht="19.5" hidden="false" customHeight="true" outlineLevel="0" collapsed="false">
      <c r="A16" s="64" t="s">
        <v>566</v>
      </c>
      <c r="B16" s="64"/>
      <c r="C16" s="64"/>
      <c r="D16" s="64"/>
      <c r="E16" s="64"/>
      <c r="F16" s="65" t="str">
        <f aca="false">IF(COUNTA('03_實績證照_Track'!$B$5:$B$9)&gt;0,"✓ 已填","✗ 未填")</f>
        <v>✗ 未填</v>
      </c>
      <c r="G16" s="65"/>
      <c r="H16" s="65"/>
      <c r="I16" s="65"/>
      <c r="J16" s="65"/>
      <c r="K16" s="65"/>
    </row>
    <row r="18" customFormat="false" ht="25.5" hidden="false" customHeight="true" outlineLevel="0" collapsed="false">
      <c r="A18" s="66" t="s">
        <v>567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</row>
    <row r="19" customFormat="false" ht="15" hidden="false" customHeight="false" outlineLevel="0" collapsed="false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</row>
    <row r="20" customFormat="false" ht="15" hidden="false" customHeight="false" outlineLevel="0" collapsed="false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</row>
  </sheetData>
  <mergeCells count="19">
    <mergeCell ref="A1:T1"/>
    <mergeCell ref="A2:T2"/>
    <mergeCell ref="A4:S4"/>
    <mergeCell ref="A5:S5"/>
    <mergeCell ref="A10:E10"/>
    <mergeCell ref="F10:K10"/>
    <mergeCell ref="A11:E11"/>
    <mergeCell ref="F11:K11"/>
    <mergeCell ref="A12:E12"/>
    <mergeCell ref="F12:K12"/>
    <mergeCell ref="A13:E13"/>
    <mergeCell ref="F13:K13"/>
    <mergeCell ref="A14:E14"/>
    <mergeCell ref="F14:K14"/>
    <mergeCell ref="A15:E15"/>
    <mergeCell ref="F15:K15"/>
    <mergeCell ref="A16:E16"/>
    <mergeCell ref="F16:K16"/>
    <mergeCell ref="A18:S20"/>
  </mergeCells>
  <conditionalFormatting sqref="F10:K16">
    <cfRule type="expression" priority="2" aboveAverage="0" equalAverage="0" bottom="0" percent="0" rank="0" text="" dxfId="0">
      <formula>LEFT($F10,1)="✗"</formula>
    </cfRule>
    <cfRule type="expression" priority="3" aboveAverage="0" equalAverage="0" bottom="0" percent="0" rank="0" text="" dxfId="1">
      <formula>LEFT($F10,1)="✓"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2026-08-13T07:25:51Z</dcterms:created>
  <dc:creator>openpyxl</dc:creator>
  <dc:description/>
  <dc:language>en-US</dc:language>
  <cp:lastModifiedBy/>
  <dcterms:modified xsi:type="dcterms:W3CDTF">2026-08-13T07:25:51Z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