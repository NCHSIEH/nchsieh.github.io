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說明_ReadMe" sheetId="1" state="visible" r:id="rId3"/>
    <sheet name="00_儀表板_Dashboard" sheetId="2" state="visible" r:id="rId4"/>
    <sheet name="01_風險登錄冊_Register" sheetId="3" state="visible" r:id="rId5"/>
    <sheet name="02_情境參數_Scenario" sheetId="4" state="visible" r:id="rId6"/>
    <sheet name="_選單_Lists" sheetId="5" state="visible" r:id="rId7"/>
  </sheets>
  <definedNames>
    <definedName function="false" hidden="true" localSheetId="2" name="_xlnm._FilterDatabase" vbProcedure="false">01_風險登錄冊_Register!$A$4:$Q$54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<sst xmlns="http://schemas.openxmlformats.org/spreadsheetml/2006/main" count="141" uniqueCount="107">
  <si>
    <r>
      <rPr>
        <b val="true"/>
        <sz val="15"/>
        <color rgb="FF1F3864"/>
        <rFont val="Arial"/>
        <family val="0"/>
        <charset val="1"/>
      </rPr>
      <t xml:space="preserve">VMH-EcoMap-25 </t>
    </r>
    <r>
      <rPr>
        <b val="true"/>
        <sz val="15"/>
        <color rgb="FF1F3864"/>
        <rFont val="Noto Sans CJK SC"/>
        <family val="2"/>
      </rPr>
      <t xml:space="preserve">風險登錄與情境模擬｜使用說明</t>
    </r>
  </si>
  <si>
    <r>
      <rPr>
        <sz val="10"/>
        <color rgb="FF6B7280"/>
        <rFont val="Arial"/>
        <family val="0"/>
        <charset val="1"/>
      </rPr>
      <t xml:space="preserve">P3 </t>
    </r>
    <r>
      <rPr>
        <sz val="10"/>
        <color rgb="FF6B7280"/>
        <rFont val="Noto Sans CJK SC"/>
        <family val="2"/>
      </rPr>
      <t xml:space="preserve">執行交付工具・依 </t>
    </r>
    <r>
      <rPr>
        <sz val="10"/>
        <color rgb="FF6B7280"/>
        <rFont val="Arial"/>
        <family val="0"/>
        <charset val="1"/>
      </rPr>
      <t xml:space="preserve">ISO 31000 </t>
    </r>
    <r>
      <rPr>
        <sz val="10"/>
        <color rgb="FF6B7280"/>
        <rFont val="Noto Sans CJK SC"/>
        <family val="2"/>
      </rPr>
      <t xml:space="preserve">框架・情境模擬在 </t>
    </r>
    <r>
      <rPr>
        <sz val="10"/>
        <color rgb="FF6B7280"/>
        <rFont val="Arial"/>
        <family val="0"/>
        <charset val="1"/>
      </rPr>
      <t xml:space="preserve">HTML </t>
    </r>
    <r>
      <rPr>
        <sz val="10"/>
        <color rgb="FF6B7280"/>
        <rFont val="Noto Sans CJK SC"/>
        <family val="2"/>
      </rPr>
      <t xml:space="preserve">版執行</t>
    </r>
  </si>
  <si>
    <t xml:space="preserve">■ 這個工具在回答什麼</t>
  </si>
  <si>
    <t xml:space="preserve">什麼會出事？多大機率、多痛？誰負責盯？全部加起來的曝險是多少？
風險管理不是悲觀，是把「可能出事的地方」變成有人負責、有期限、有處理計畫的清單——跟願望和運氣脫鉤。</t>
  </si>
  <si>
    <t xml:space="preserve">■ 評分錨定（避免每個人打的分不一樣）</t>
  </si>
  <si>
    <r>
      <rPr>
        <sz val="10"/>
        <rFont val="Noto Sans CJK SC"/>
        <family val="2"/>
      </rPr>
      <t xml:space="preserve">機率 </t>
    </r>
    <r>
      <rPr>
        <sz val="10"/>
        <rFont val="Arial"/>
        <family val="0"/>
        <charset val="1"/>
      </rPr>
      <t xml:space="preserve">1–5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＝五年一遇</t>
    </r>
    <r>
      <rPr>
        <sz val="10"/>
        <rFont val="Arial"/>
        <family val="0"/>
        <charset val="1"/>
      </rPr>
      <t xml:space="preserve">(&lt;5%)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＝偶爾</t>
    </r>
    <r>
      <rPr>
        <sz val="10"/>
        <rFont val="Arial"/>
        <family val="0"/>
        <charset val="1"/>
      </rPr>
      <t xml:space="preserve">(5-20%)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＝可能</t>
    </r>
    <r>
      <rPr>
        <sz val="10"/>
        <rFont val="Arial"/>
        <family val="0"/>
        <charset val="1"/>
      </rPr>
      <t xml:space="preserve">(20-50%)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＝很可能</t>
    </r>
    <r>
      <rPr>
        <sz val="10"/>
        <rFont val="Arial"/>
        <family val="0"/>
        <charset val="1"/>
      </rPr>
      <t xml:space="preserve">(50-80%)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＝幾乎確定</t>
    </r>
    <r>
      <rPr>
        <sz val="10"/>
        <rFont val="Arial"/>
        <family val="0"/>
        <charset val="1"/>
      </rPr>
      <t xml:space="preserve">(&gt;80%)</t>
    </r>
    <r>
      <rPr>
        <sz val="10"/>
        <rFont val="Noto Sans CJK SC"/>
        <family val="2"/>
      </rPr>
      <t xml:space="preserve">。
衝擊 </t>
    </r>
    <r>
      <rPr>
        <sz val="10"/>
        <rFont val="Arial"/>
        <family val="0"/>
        <charset val="1"/>
      </rPr>
      <t xml:space="preserve">1–5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＝可吸收</t>
    </r>
    <r>
      <rPr>
        <sz val="10"/>
        <rFont val="Arial"/>
        <family val="0"/>
        <charset val="1"/>
      </rPr>
      <t xml:space="preserve">(&lt;10 </t>
    </r>
    <r>
      <rPr>
        <sz val="10"/>
        <rFont val="Noto Sans CJK SC"/>
        <family val="2"/>
      </rPr>
      <t xml:space="preserve">千</t>
    </r>
    <r>
      <rPr>
        <sz val="10"/>
        <rFont val="Arial"/>
        <family val="0"/>
        <charset val="1"/>
      </rPr>
      <t xml:space="preserve">USD)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＝有感</t>
    </r>
    <r>
      <rPr>
        <sz val="10"/>
        <rFont val="Arial"/>
        <family val="0"/>
        <charset val="1"/>
      </rPr>
      <t xml:space="preserve">(10-50)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＝傷毛利</t>
    </r>
    <r>
      <rPr>
        <sz val="10"/>
        <rFont val="Arial"/>
        <family val="0"/>
        <charset val="1"/>
      </rPr>
      <t xml:space="preserve">(50-150)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＝傷本案存亡</t>
    </r>
    <r>
      <rPr>
        <sz val="10"/>
        <rFont val="Arial"/>
        <family val="0"/>
        <charset val="1"/>
      </rPr>
      <t xml:space="preserve">(150-400)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＝傷公司</t>
    </r>
    <r>
      <rPr>
        <sz val="10"/>
        <rFont val="Arial"/>
        <family val="0"/>
        <charset val="1"/>
      </rPr>
      <t xml:space="preserve">(&gt;400)</t>
    </r>
    <r>
      <rPr>
        <sz val="10"/>
        <rFont val="Noto Sans CJK SC"/>
        <family val="2"/>
      </rPr>
      <t xml:space="preserve">。
曝險期望值 ＝ 機率中值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衝擊金額——這是排序用的，不是預測值。</t>
    </r>
  </si>
  <si>
    <t xml:space="preserve">■ 三點估計（給情境模擬用）</t>
  </si>
  <si>
    <r>
      <rPr>
        <sz val="10"/>
        <rFont val="Noto Sans CJK SC"/>
        <family val="2"/>
      </rPr>
      <t xml:space="preserve">每個要進模擬的風險，填「最樂觀／最可能／最悲觀」三個金額。
</t>
    </r>
    <r>
      <rPr>
        <sz val="10"/>
        <rFont val="Arial"/>
        <family val="0"/>
        <charset val="1"/>
      </rPr>
      <t xml:space="preserve">HTML </t>
    </r>
    <r>
      <rPr>
        <sz val="10"/>
        <rFont val="Noto Sans CJK SC"/>
        <family val="2"/>
      </rPr>
      <t xml:space="preserve">版會用三角分布抽樣一萬次，跑出全案毛利的 </t>
    </r>
    <r>
      <rPr>
        <sz val="10"/>
        <rFont val="Arial"/>
        <family val="0"/>
        <charset val="1"/>
      </rPr>
      <t xml:space="preserve">P10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P50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P90 </t>
    </r>
    <r>
      <rPr>
        <sz val="10"/>
        <rFont val="Noto Sans CJK SC"/>
        <family val="2"/>
      </rPr>
      <t xml:space="preserve">分布——
</t>
    </r>
    <r>
      <rPr>
        <sz val="10"/>
        <rFont val="Arial"/>
        <family val="0"/>
        <charset val="1"/>
      </rPr>
      <t xml:space="preserve">P10</t>
    </r>
    <r>
      <rPr>
        <sz val="10"/>
        <rFont val="Noto Sans CJK SC"/>
        <family val="2"/>
      </rPr>
      <t xml:space="preserve">（悲觀情境）如果低於 </t>
    </r>
    <r>
      <rPr>
        <sz val="10"/>
        <rFont val="Arial"/>
        <family val="0"/>
        <charset val="1"/>
      </rPr>
      <t xml:space="preserve">21 </t>
    </r>
    <r>
      <rPr>
        <sz val="10"/>
        <rFont val="Noto Sans CJK SC"/>
        <family val="2"/>
      </rPr>
      <t xml:space="preserve">號的走人價底線，代表這一案沒有容錯空間。</t>
    </r>
  </si>
  <si>
    <t xml:space="preserve">■ 每月風險例行（併入交付會議）</t>
  </si>
  <si>
    <r>
      <rPr>
        <sz val="10"/>
        <rFont val="Noto Sans CJK SC"/>
        <family val="2"/>
      </rPr>
      <t xml:space="preserve">① 逐條看前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大風險：機率或衝擊變了就改分數，處理動作有沒有做。
② 新風險當場登錄——會議裡說出口的擔心，不落帳就會消失。
③ 已關閉的風險改狀態留檔，這是下一案的檢查清單來源。</t>
    </r>
  </si>
  <si>
    <t xml:space="preserve">■ 與其他工具的銜接</t>
  </si>
  <si>
    <r>
      <rPr>
        <sz val="10"/>
        <rFont val="Noto Sans CJK SC"/>
        <family val="2"/>
      </rPr>
      <t xml:space="preserve">風險掛在案件</t>
    </r>
    <r>
      <rPr>
        <sz val="10"/>
        <rFont val="Arial"/>
        <family val="0"/>
        <charset val="1"/>
      </rPr>
      <t xml:space="preserve">ID </t>
    </r>
    <r>
      <rPr>
        <sz val="10"/>
        <rFont val="Noto Sans CJK SC"/>
        <family val="2"/>
      </rPr>
      <t xml:space="preserve">下（全聯盟層級的風險填「聯盟」）。
評估出的風險準備建議值，回填 </t>
    </r>
    <r>
      <rPr>
        <sz val="10"/>
        <rFont val="Arial"/>
        <family val="0"/>
        <charset val="1"/>
      </rPr>
      <t xml:space="preserve">21 </t>
    </r>
    <r>
      <rPr>
        <sz val="10"/>
        <rFont val="Noto Sans CJK SC"/>
        <family val="2"/>
      </rPr>
      <t xml:space="preserve">號「風險準備率」參數——取代拍腦袋的 </t>
    </r>
    <r>
      <rPr>
        <sz val="10"/>
        <rFont val="Arial"/>
        <family val="0"/>
        <charset val="1"/>
      </rPr>
      <t xml:space="preserve">5%</t>
    </r>
    <r>
      <rPr>
        <sz val="10"/>
        <rFont val="Noto Sans CJK SC"/>
        <family val="2"/>
      </rPr>
      <t xml:space="preserve">。
匯率、關稅、延誤三個情境參數與 </t>
    </r>
    <r>
      <rPr>
        <sz val="10"/>
        <rFont val="Arial"/>
        <family val="0"/>
        <charset val="1"/>
      </rPr>
      <t xml:space="preserve">21 </t>
    </r>
    <r>
      <rPr>
        <sz val="10"/>
        <rFont val="Noto Sans CJK SC"/>
        <family val="2"/>
      </rPr>
      <t xml:space="preserve">號敏感度頁共用同一套定義。</t>
    </r>
  </si>
  <si>
    <r>
      <rPr>
        <b val="true"/>
        <sz val="15"/>
        <color rgb="FF1F3864"/>
        <rFont val="Noto Sans CJK SC"/>
        <family val="2"/>
      </rPr>
      <t xml:space="preserve">儀表板｜</t>
    </r>
    <r>
      <rPr>
        <b val="true"/>
        <sz val="15"/>
        <color rgb="FF1F3864"/>
        <rFont val="Arial"/>
        <family val="0"/>
        <charset val="1"/>
      </rPr>
      <t xml:space="preserve">Dashboard</t>
    </r>
    <r>
      <rPr>
        <b val="true"/>
        <sz val="15"/>
        <color rgb="FF1F3864"/>
        <rFont val="Noto Sans CJK SC"/>
        <family val="2"/>
      </rPr>
      <t xml:space="preserve">（自動；矩陣圖與模擬請開 </t>
    </r>
    <r>
      <rPr>
        <b val="true"/>
        <sz val="15"/>
        <color rgb="FF1F3864"/>
        <rFont val="Arial"/>
        <family val="0"/>
        <charset val="1"/>
      </rPr>
      <t xml:space="preserve">HTML </t>
    </r>
    <r>
      <rPr>
        <b val="true"/>
        <sz val="15"/>
        <color rgb="FF1F3864"/>
        <rFont val="Noto Sans CJK SC"/>
        <family val="2"/>
      </rPr>
      <t xml:space="preserve">版）</t>
    </r>
  </si>
  <si>
    <t xml:space="preserve">❓這頁在回答：整體曝險多大？該建議多少風險準備？</t>
  </si>
  <si>
    <t xml:space="preserve">開放風險數</t>
  </si>
  <si>
    <r>
      <rPr>
        <sz val="10"/>
        <rFont val="Noto Sans CJK SC"/>
        <family val="2"/>
      </rPr>
      <t xml:space="preserve">紅區風險數（分數≥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）</t>
    </r>
  </si>
  <si>
    <r>
      <rPr>
        <sz val="9"/>
        <color rgb="FF6B7280"/>
        <rFont val="Noto Sans CJK SC"/>
        <family val="2"/>
      </rPr>
      <t xml:space="preserve">機率</t>
    </r>
    <r>
      <rPr>
        <sz val="9"/>
        <color rgb="FF6B7280"/>
        <rFont val="Arial"/>
        <family val="0"/>
        <charset val="1"/>
      </rPr>
      <t xml:space="preserve">×</t>
    </r>
    <r>
      <rPr>
        <sz val="9"/>
        <color rgb="FF6B7280"/>
        <rFont val="Noto Sans CJK SC"/>
        <family val="2"/>
      </rPr>
      <t xml:space="preserve">衝擊≥</t>
    </r>
    <r>
      <rPr>
        <sz val="9"/>
        <color rgb="FF6B7280"/>
        <rFont val="Arial"/>
        <family val="0"/>
        <charset val="1"/>
      </rPr>
      <t xml:space="preserve">12</t>
    </r>
    <r>
      <rPr>
        <sz val="9"/>
        <color rgb="FF6B7280"/>
        <rFont val="Noto Sans CJK SC"/>
        <family val="2"/>
      </rPr>
      <t xml:space="preserve">：本週就要有動作</t>
    </r>
  </si>
  <si>
    <r>
      <rPr>
        <sz val="10"/>
        <rFont val="Noto Sans CJK SC"/>
        <family val="2"/>
      </rPr>
      <t xml:space="preserve">總曝險期望值（千</t>
    </r>
    <r>
      <rPr>
        <sz val="10"/>
        <rFont val="Arial"/>
        <family val="0"/>
        <charset val="1"/>
      </rPr>
      <t xml:space="preserve">USD</t>
    </r>
    <r>
      <rPr>
        <sz val="10"/>
        <rFont val="Noto Sans CJK SC"/>
        <family val="2"/>
      </rPr>
      <t xml:space="preserve">）</t>
    </r>
  </si>
  <si>
    <t xml:space="preserve">排序用的期望值加總，不是預測值</t>
  </si>
  <si>
    <t xml:space="preserve">逾期未複查</t>
  </si>
  <si>
    <t xml:space="preserve">風險清單不複查就是裝飾品</t>
  </si>
  <si>
    <t xml:space="preserve">建議風險準備率</t>
  </si>
  <si>
    <r>
      <rPr>
        <sz val="9"/>
        <color rgb="FF6B7280"/>
        <rFont val="Noto Sans CJK SC"/>
        <family val="2"/>
      </rPr>
      <t xml:space="preserve">本案曝險期望值 </t>
    </r>
    <r>
      <rPr>
        <sz val="9"/>
        <color rgb="FF6B7280"/>
        <rFont val="Arial"/>
        <family val="0"/>
        <charset val="1"/>
      </rPr>
      <t xml:space="preserve">÷ </t>
    </r>
    <r>
      <rPr>
        <sz val="9"/>
        <color rgb="FF6B7280"/>
        <rFont val="Noto Sans CJK SC"/>
        <family val="2"/>
      </rPr>
      <t xml:space="preserve">成本預算——回填 </t>
    </r>
    <r>
      <rPr>
        <sz val="9"/>
        <color rgb="FF6B7280"/>
        <rFont val="Arial"/>
        <family val="0"/>
        <charset val="1"/>
      </rPr>
      <t xml:space="preserve">21 </t>
    </r>
    <r>
      <rPr>
        <sz val="9"/>
        <color rgb="FF6B7280"/>
        <rFont val="Noto Sans CJK SC"/>
        <family val="2"/>
      </rPr>
      <t xml:space="preserve">號的「風險準備率」</t>
    </r>
  </si>
  <si>
    <r>
      <rPr>
        <sz val="9"/>
        <color rgb="FF6B7280"/>
        <rFont val="Arial"/>
        <family val="0"/>
        <charset val="1"/>
      </rPr>
      <t xml:space="preserve">5×5 </t>
    </r>
    <r>
      <rPr>
        <sz val="9"/>
        <color rgb="FF6B7280"/>
        <rFont val="Noto Sans CJK SC"/>
        <family val="2"/>
      </rPr>
      <t xml:space="preserve">矩陣圖、曝險排行、蒙地卡羅模擬（</t>
    </r>
    <r>
      <rPr>
        <sz val="9"/>
        <color rgb="FF6B7280"/>
        <rFont val="Arial"/>
        <family val="0"/>
        <charset val="1"/>
      </rPr>
      <t xml:space="preserve">P10/P50/P90</t>
    </r>
    <r>
      <rPr>
        <sz val="9"/>
        <color rgb="FF6B7280"/>
        <rFont val="Noto Sans CJK SC"/>
        <family val="2"/>
      </rPr>
      <t xml:space="preserve">）請開 </t>
    </r>
    <r>
      <rPr>
        <sz val="9"/>
        <color rgb="FF6B7280"/>
        <rFont val="Arial"/>
        <family val="0"/>
        <charset val="1"/>
      </rPr>
      <t xml:space="preserve">HTML </t>
    </r>
    <r>
      <rPr>
        <sz val="9"/>
        <color rgb="FF6B7280"/>
        <rFont val="Noto Sans CJK SC"/>
        <family val="2"/>
      </rPr>
      <t xml:space="preserve">版 </t>
    </r>
    <r>
      <rPr>
        <sz val="9"/>
        <color rgb="FF6B7280"/>
        <rFont val="Arial"/>
        <family val="0"/>
        <charset val="1"/>
      </rPr>
      <t xml:space="preserve">tools/risk.html——</t>
    </r>
    <r>
      <rPr>
        <sz val="9"/>
        <color rgb="FF6B7280"/>
        <rFont val="Noto Sans CJK SC"/>
        <family val="2"/>
      </rPr>
      <t xml:space="preserve">模擬在您的瀏覽器內執行一萬次抽樣，資料不上傳。</t>
    </r>
  </si>
  <si>
    <r>
      <rPr>
        <b val="true"/>
        <sz val="15"/>
        <color rgb="FF1F3864"/>
        <rFont val="Noto Sans CJK SC"/>
        <family val="2"/>
      </rPr>
      <t xml:space="preserve">風險登錄冊｜</t>
    </r>
    <r>
      <rPr>
        <b val="true"/>
        <sz val="15"/>
        <color rgb="FF1F3864"/>
        <rFont val="Arial"/>
        <family val="0"/>
        <charset val="1"/>
      </rPr>
      <t xml:space="preserve">Risk Register</t>
    </r>
  </si>
  <si>
    <t xml:space="preserve">❓這頁在回答：什麼會出事、多大機率、多痛、誰負責？</t>
  </si>
  <si>
    <t xml:space="preserve">圖例：</t>
  </si>
  <si>
    <t xml:space="preserve">　要填　</t>
  </si>
  <si>
    <t xml:space="preserve">　自動　</t>
  </si>
  <si>
    <t xml:space="preserve">（範例為虛構，參考後換成真實風險）</t>
  </si>
  <si>
    <r>
      <rPr>
        <b val="true"/>
        <sz val="10"/>
        <color rgb="FFFFFFFF"/>
        <rFont val="Noto Sans CJK SC"/>
        <family val="2"/>
      </rPr>
      <t xml:space="preserve">風險</t>
    </r>
    <r>
      <rPr>
        <b val="true"/>
        <sz val="10"/>
        <color rgb="FFFFFFFF"/>
        <rFont val="Arial"/>
        <family val="0"/>
        <charset val="1"/>
      </rPr>
      <t xml:space="preserve">ID</t>
    </r>
  </si>
  <si>
    <r>
      <rPr>
        <b val="true"/>
        <sz val="10"/>
        <color rgb="FFFFFFFF"/>
        <rFont val="Noto Sans CJK SC"/>
        <family val="2"/>
      </rPr>
      <t xml:space="preserve">案件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</si>
  <si>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風險描述</t>
  </si>
  <si>
    <t xml:space="preserve">類別</t>
  </si>
  <si>
    <r>
      <rPr>
        <b val="true"/>
        <sz val="10"/>
        <color rgb="FFFFFFFF"/>
        <rFont val="Noto Sans CJK SC"/>
        <family val="2"/>
      </rPr>
      <t xml:space="preserve">機率</t>
    </r>
    <r>
      <rPr>
        <b val="true"/>
        <sz val="10"/>
        <color rgb="FFFFFFFF"/>
        <rFont val="Arial"/>
        <family val="0"/>
        <charset val="1"/>
      </rPr>
      <t xml:space="preserve">(1-5)</t>
    </r>
  </si>
  <si>
    <r>
      <rPr>
        <b val="true"/>
        <sz val="10"/>
        <color rgb="FFFFFFFF"/>
        <rFont val="Noto Sans CJK SC"/>
        <family val="2"/>
      </rPr>
      <t xml:space="preserve">衝擊</t>
    </r>
    <r>
      <rPr>
        <b val="true"/>
        <sz val="10"/>
        <color rgb="FFFFFFFF"/>
        <rFont val="Arial"/>
        <family val="0"/>
        <charset val="1"/>
      </rPr>
      <t xml:space="preserve">(1-5)</t>
    </r>
  </si>
  <si>
    <t xml:space="preserve">風險分數</t>
  </si>
  <si>
    <r>
      <rPr>
        <b val="true"/>
        <sz val="10"/>
        <color rgb="FFFFFFFF"/>
        <rFont val="Noto Sans CJK SC"/>
        <family val="2"/>
      </rPr>
      <t xml:space="preserve">衝擊金額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千</t>
    </r>
    <r>
      <rPr>
        <b val="true"/>
        <sz val="10"/>
        <color rgb="FFFFFFFF"/>
        <rFont val="Arial"/>
        <family val="0"/>
        <charset val="1"/>
      </rPr>
      <t xml:space="preserve">USD)</t>
    </r>
  </si>
  <si>
    <t xml:space="preserve">曝險期望值</t>
  </si>
  <si>
    <t xml:space="preserve">處理策略</t>
  </si>
  <si>
    <t xml:space="preserve">處理動作</t>
  </si>
  <si>
    <t xml:space="preserve">負責人</t>
  </si>
  <si>
    <t xml:space="preserve">複查日</t>
  </si>
  <si>
    <t xml:space="preserve">狀態</t>
  </si>
  <si>
    <r>
      <rPr>
        <b val="true"/>
        <sz val="10"/>
        <color rgb="FFFFFFFF"/>
        <rFont val="Noto Sans CJK SC"/>
        <family val="2"/>
      </rPr>
      <t xml:space="preserve">最樂觀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千</t>
    </r>
    <r>
      <rPr>
        <b val="true"/>
        <sz val="10"/>
        <color rgb="FFFFFFFF"/>
        <rFont val="Arial"/>
        <family val="0"/>
        <charset val="1"/>
      </rPr>
      <t xml:space="preserve">USD)</t>
    </r>
  </si>
  <si>
    <r>
      <rPr>
        <b val="true"/>
        <sz val="10"/>
        <color rgb="FFFFFFFF"/>
        <rFont val="Noto Sans CJK SC"/>
        <family val="2"/>
      </rPr>
      <t xml:space="preserve">最可能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千</t>
    </r>
    <r>
      <rPr>
        <b val="true"/>
        <sz val="10"/>
        <color rgb="FFFFFFFF"/>
        <rFont val="Arial"/>
        <family val="0"/>
        <charset val="1"/>
      </rPr>
      <t xml:space="preserve">USD)</t>
    </r>
  </si>
  <si>
    <r>
      <rPr>
        <b val="true"/>
        <sz val="10"/>
        <color rgb="FFFFFFFF"/>
        <rFont val="Noto Sans CJK SC"/>
        <family val="2"/>
      </rPr>
      <t xml:space="preserve">最悲觀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千</t>
    </r>
    <r>
      <rPr>
        <b val="true"/>
        <sz val="10"/>
        <color rgb="FFFFFFFF"/>
        <rFont val="Arial"/>
        <family val="0"/>
        <charset val="1"/>
      </rPr>
      <t xml:space="preserve">USD)</t>
    </r>
  </si>
  <si>
    <t xml:space="preserve">R-001</t>
  </si>
  <si>
    <t xml:space="preserve">P-002</t>
  </si>
  <si>
    <t xml:space="preserve">設備海運延誤導致工期順延</t>
  </si>
  <si>
    <t xml:space="preserve">時程</t>
  </si>
  <si>
    <t xml:space="preserve">減輕</t>
  </si>
  <si>
    <r>
      <rPr>
        <sz val="10"/>
        <rFont val="Noto Sans CJK SC"/>
        <family val="2"/>
      </rPr>
      <t xml:space="preserve">提前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週訂艙；合約列不可抗力條款</t>
    </r>
  </si>
  <si>
    <t xml:space="preserve">林</t>
  </si>
  <si>
    <t xml:space="preserve">2026-09-30</t>
  </si>
  <si>
    <t xml:space="preserve">開放</t>
  </si>
  <si>
    <t xml:space="preserve">R-002</t>
  </si>
  <si>
    <r>
      <rPr>
        <sz val="10"/>
        <rFont val="Arial"/>
        <family val="0"/>
        <charset val="1"/>
      </rPr>
      <t xml:space="preserve">VND </t>
    </r>
    <r>
      <rPr>
        <sz val="10"/>
        <rFont val="Noto Sans CJK SC"/>
        <family val="2"/>
      </rPr>
      <t xml:space="preserve">貶值推高在地施工成本</t>
    </r>
  </si>
  <si>
    <t xml:space="preserve">財務</t>
  </si>
  <si>
    <t xml:space="preserve">移轉</t>
  </si>
  <si>
    <r>
      <rPr>
        <sz val="10"/>
        <rFont val="Noto Sans CJK SC"/>
        <family val="2"/>
      </rPr>
      <t xml:space="preserve">在地合約以 </t>
    </r>
    <r>
      <rPr>
        <sz val="10"/>
        <rFont val="Arial"/>
        <family val="0"/>
        <charset val="1"/>
      </rPr>
      <t xml:space="preserve">VND </t>
    </r>
    <r>
      <rPr>
        <sz val="10"/>
        <rFont val="Noto Sans CJK SC"/>
        <family val="2"/>
      </rPr>
      <t xml:space="preserve">計價鎖總價</t>
    </r>
  </si>
  <si>
    <t xml:space="preserve">陳</t>
  </si>
  <si>
    <t xml:space="preserve">R-003</t>
  </si>
  <si>
    <t xml:space="preserve">醫院機房土建交付延遲</t>
  </si>
  <si>
    <t xml:space="preserve">合約明訂前置條件與延誤責任歸屬</t>
  </si>
  <si>
    <t xml:space="preserve">2026-08-31</t>
  </si>
  <si>
    <t xml:space="preserve">R-004</t>
  </si>
  <si>
    <t xml:space="preserve">驗收標準認定分歧</t>
  </si>
  <si>
    <t xml:space="preserve">範疇</t>
  </si>
  <si>
    <r>
      <rPr>
        <sz val="10"/>
        <rFont val="Arial"/>
        <family val="0"/>
        <charset val="1"/>
      </rPr>
      <t xml:space="preserve">SAT </t>
    </r>
    <r>
      <rPr>
        <sz val="10"/>
        <rFont val="Noto Sans CJK SC"/>
        <family val="2"/>
      </rPr>
      <t xml:space="preserve">測試腳本開工前雙方簽認</t>
    </r>
  </si>
  <si>
    <t xml:space="preserve">王</t>
  </si>
  <si>
    <t xml:space="preserve">2026-10-15</t>
  </si>
  <si>
    <t xml:space="preserve">R-005</t>
  </si>
  <si>
    <t xml:space="preserve">聯盟</t>
  </si>
  <si>
    <t xml:space="preserve">關鍵夥伴（唯一來源）退出</t>
  </si>
  <si>
    <r>
      <rPr>
        <sz val="10"/>
        <rFont val="Arial"/>
        <family val="0"/>
        <charset val="1"/>
      </rPr>
      <t xml:space="preserve">22 </t>
    </r>
    <r>
      <rPr>
        <sz val="10"/>
        <rFont val="Noto Sans CJK SC"/>
        <family val="2"/>
      </rPr>
      <t xml:space="preserve">號體檢的第二來源計畫</t>
    </r>
  </si>
  <si>
    <t xml:space="preserve">總座</t>
  </si>
  <si>
    <t xml:space="preserve">2026-12-31</t>
  </si>
  <si>
    <t xml:space="preserve">R-006</t>
  </si>
  <si>
    <t xml:space="preserve">保固期電網品質造成設備損壞爭議</t>
  </si>
  <si>
    <t xml:space="preserve">品質</t>
  </si>
  <si>
    <t xml:space="preserve">合約排除電網因素；裝電力品質記錄器</t>
  </si>
  <si>
    <t xml:space="preserve">2026-11-30</t>
  </si>
  <si>
    <r>
      <rPr>
        <b val="true"/>
        <sz val="15"/>
        <color rgb="FF1F3864"/>
        <rFont val="Noto Sans CJK SC"/>
        <family val="2"/>
      </rPr>
      <t xml:space="preserve">情境參數｜</t>
    </r>
    <r>
      <rPr>
        <b val="true"/>
        <sz val="15"/>
        <color rgb="FF1F3864"/>
        <rFont val="Arial"/>
        <family val="0"/>
        <charset val="1"/>
      </rPr>
      <t xml:space="preserve">Scenario</t>
    </r>
    <r>
      <rPr>
        <b val="true"/>
        <sz val="15"/>
        <color rgb="FF1F3864"/>
        <rFont val="Noto Sans CJK SC"/>
        <family val="2"/>
      </rPr>
      <t xml:space="preserve">（與 </t>
    </r>
    <r>
      <rPr>
        <b val="true"/>
        <sz val="15"/>
        <color rgb="FF1F3864"/>
        <rFont val="Arial"/>
        <family val="0"/>
        <charset val="1"/>
      </rPr>
      <t xml:space="preserve">21 </t>
    </r>
    <r>
      <rPr>
        <b val="true"/>
        <sz val="15"/>
        <color rgb="FF1F3864"/>
        <rFont val="Noto Sans CJK SC"/>
        <family val="2"/>
      </rPr>
      <t xml:space="preserve">號敏感度頁共用定義）</t>
    </r>
  </si>
  <si>
    <r>
      <rPr>
        <sz val="10"/>
        <color rgb="FF6B7280"/>
        <rFont val="Noto Sans CJK SC"/>
        <family val="2"/>
      </rPr>
      <t xml:space="preserve">❓模擬的基準：本案的報價與成本（自 </t>
    </r>
    <r>
      <rPr>
        <sz val="10"/>
        <color rgb="FF6B7280"/>
        <rFont val="Arial"/>
        <family val="0"/>
        <charset val="1"/>
      </rPr>
      <t xml:space="preserve">21 </t>
    </r>
    <r>
      <rPr>
        <sz val="10"/>
        <color rgb="FF6B7280"/>
        <rFont val="Noto Sans CJK SC"/>
        <family val="2"/>
      </rPr>
      <t xml:space="preserve">號帶入）</t>
    </r>
  </si>
  <si>
    <r>
      <rPr>
        <sz val="10"/>
        <rFont val="Noto Sans CJK SC"/>
        <family val="2"/>
      </rPr>
      <t xml:space="preserve">案件</t>
    </r>
    <r>
      <rPr>
        <sz val="10"/>
        <rFont val="Arial"/>
        <family val="0"/>
        <charset val="1"/>
      </rPr>
      <t xml:space="preserve">ID</t>
    </r>
  </si>
  <si>
    <r>
      <rPr>
        <sz val="10"/>
        <rFont val="Noto Sans CJK SC"/>
        <family val="2"/>
      </rPr>
      <t xml:space="preserve">報價（千</t>
    </r>
    <r>
      <rPr>
        <sz val="10"/>
        <rFont val="Arial"/>
        <family val="0"/>
        <charset val="1"/>
      </rPr>
      <t xml:space="preserve">USD</t>
    </r>
    <r>
      <rPr>
        <sz val="10"/>
        <rFont val="Noto Sans CJK SC"/>
        <family val="2"/>
      </rPr>
      <t xml:space="preserve">）</t>
    </r>
  </si>
  <si>
    <r>
      <rPr>
        <sz val="9"/>
        <color rgb="FF6B7280"/>
        <rFont val="Noto Sans CJK SC"/>
        <family val="2"/>
      </rPr>
      <t xml:space="preserve">自 </t>
    </r>
    <r>
      <rPr>
        <sz val="9"/>
        <color rgb="FF6B7280"/>
        <rFont val="Arial"/>
        <family val="0"/>
        <charset val="1"/>
      </rPr>
      <t xml:space="preserve">21 </t>
    </r>
    <r>
      <rPr>
        <sz val="9"/>
        <color rgb="FF6B7280"/>
        <rFont val="Noto Sans CJK SC"/>
        <family val="2"/>
      </rPr>
      <t xml:space="preserve">號報價與毛利頁</t>
    </r>
  </si>
  <si>
    <r>
      <rPr>
        <sz val="10"/>
        <rFont val="Noto Sans CJK SC"/>
        <family val="2"/>
      </rPr>
      <t xml:space="preserve">基準總成本（千</t>
    </r>
    <r>
      <rPr>
        <sz val="10"/>
        <rFont val="Arial"/>
        <family val="0"/>
        <charset val="1"/>
      </rPr>
      <t xml:space="preserve">USD</t>
    </r>
    <r>
      <rPr>
        <sz val="10"/>
        <rFont val="Noto Sans CJK SC"/>
        <family val="2"/>
      </rPr>
      <t xml:space="preserve">）</t>
    </r>
  </si>
  <si>
    <r>
      <rPr>
        <sz val="9"/>
        <color rgb="FF6B7280"/>
        <rFont val="Noto Sans CJK SC"/>
        <family val="2"/>
      </rPr>
      <t xml:space="preserve">自 </t>
    </r>
    <r>
      <rPr>
        <sz val="9"/>
        <color rgb="FF6B7280"/>
        <rFont val="Arial"/>
        <family val="0"/>
        <charset val="1"/>
      </rPr>
      <t xml:space="preserve">21 </t>
    </r>
    <r>
      <rPr>
        <sz val="9"/>
        <color rgb="FF6B7280"/>
        <rFont val="Noto Sans CJK SC"/>
        <family val="2"/>
      </rPr>
      <t xml:space="preserve">號總成本</t>
    </r>
  </si>
  <si>
    <r>
      <rPr>
        <sz val="10"/>
        <rFont val="Noto Sans CJK SC"/>
        <family val="2"/>
      </rPr>
      <t xml:space="preserve">基準毛利（千</t>
    </r>
    <r>
      <rPr>
        <sz val="10"/>
        <rFont val="Arial"/>
        <family val="0"/>
        <charset val="1"/>
      </rPr>
      <t xml:space="preserve">USD</t>
    </r>
    <r>
      <rPr>
        <sz val="10"/>
        <rFont val="Noto Sans CJK SC"/>
        <family val="2"/>
      </rPr>
      <t xml:space="preserve">）</t>
    </r>
  </si>
  <si>
    <t xml:space="preserve">報價 − 總成本</t>
  </si>
  <si>
    <r>
      <rPr>
        <sz val="9"/>
        <color rgb="FF6B7280"/>
        <rFont val="Noto Sans CJK SC"/>
        <family val="2"/>
      </rPr>
      <t xml:space="preserve">模擬邏輯：毛利分布 ＝ 基準毛利 − </t>
    </r>
    <r>
      <rPr>
        <sz val="9"/>
        <color rgb="FF6B7280"/>
        <rFont val="Arial"/>
        <family val="0"/>
        <charset val="1"/>
      </rPr>
      <t xml:space="preserve">Σ(</t>
    </r>
    <r>
      <rPr>
        <sz val="9"/>
        <color rgb="FF6B7280"/>
        <rFont val="Noto Sans CJK SC"/>
        <family val="2"/>
      </rPr>
      <t xml:space="preserve">各開放風險的三角分布抽樣值</t>
    </r>
    <r>
      <rPr>
        <sz val="9"/>
        <color rgb="FF6B7280"/>
        <rFont val="Arial"/>
        <family val="0"/>
        <charset val="1"/>
      </rPr>
      <t xml:space="preserve">×</t>
    </r>
    <r>
      <rPr>
        <sz val="9"/>
        <color rgb="FF6B7280"/>
        <rFont val="Noto Sans CJK SC"/>
        <family val="2"/>
      </rPr>
      <t xml:space="preserve">發生與否</t>
    </r>
    <r>
      <rPr>
        <sz val="9"/>
        <color rgb="FF6B7280"/>
        <rFont val="Arial"/>
        <family val="0"/>
        <charset val="1"/>
      </rPr>
      <t xml:space="preserve">)</t>
    </r>
    <r>
      <rPr>
        <sz val="9"/>
        <color rgb="FF6B7280"/>
        <rFont val="Noto Sans CJK SC"/>
        <family val="2"/>
      </rPr>
      <t xml:space="preserve">。
每個風險依機率決定「發生／不發生」，發生時的損失金額從（最樂觀</t>
    </r>
    <r>
      <rPr>
        <sz val="9"/>
        <color rgb="FF6B7280"/>
        <rFont val="Arial"/>
        <family val="0"/>
        <charset val="1"/>
      </rPr>
      <t xml:space="preserve">,</t>
    </r>
    <r>
      <rPr>
        <sz val="9"/>
        <color rgb="FF6B7280"/>
        <rFont val="Noto Sans CJK SC"/>
        <family val="2"/>
      </rPr>
      <t xml:space="preserve">最可能</t>
    </r>
    <r>
      <rPr>
        <sz val="9"/>
        <color rgb="FF6B7280"/>
        <rFont val="Arial"/>
        <family val="0"/>
        <charset val="1"/>
      </rPr>
      <t xml:space="preserve">,</t>
    </r>
    <r>
      <rPr>
        <sz val="9"/>
        <color rgb="FF6B7280"/>
        <rFont val="Noto Sans CJK SC"/>
        <family val="2"/>
      </rPr>
      <t xml:space="preserve">最悲觀）三角分布抽出。
這頁只存參數；抽樣運算在 </t>
    </r>
    <r>
      <rPr>
        <sz val="9"/>
        <color rgb="FF6B7280"/>
        <rFont val="Arial"/>
        <family val="0"/>
        <charset val="1"/>
      </rPr>
      <t xml:space="preserve">HTML </t>
    </r>
    <r>
      <rPr>
        <sz val="9"/>
        <color rgb="FF6B7280"/>
        <rFont val="Noto Sans CJK SC"/>
        <family val="2"/>
      </rPr>
      <t xml:space="preserve">版做，</t>
    </r>
    <r>
      <rPr>
        <sz val="9"/>
        <color rgb="FF6B7280"/>
        <rFont val="Arial"/>
        <family val="0"/>
        <charset val="1"/>
      </rPr>
      <t xml:space="preserve">Excel </t>
    </r>
    <r>
      <rPr>
        <sz val="9"/>
        <color rgb="FF6B7280"/>
        <rFont val="Noto Sans CJK SC"/>
        <family val="2"/>
      </rPr>
      <t xml:space="preserve">保持輕巧。</t>
    </r>
  </si>
  <si>
    <t xml:space="preserve">機率分數</t>
  </si>
  <si>
    <t xml:space="preserve">中值機率</t>
  </si>
  <si>
    <t xml:space="preserve">說明</t>
  </si>
  <si>
    <r>
      <rPr>
        <sz val="10"/>
        <rFont val="Noto Sans CJK SC"/>
        <family val="2"/>
      </rPr>
      <t xml:space="preserve">五年一遇 </t>
    </r>
    <r>
      <rPr>
        <sz val="10"/>
        <rFont val="Arial"/>
        <family val="0"/>
        <charset val="1"/>
      </rPr>
      <t xml:space="preserve">&lt;5%</t>
    </r>
  </si>
  <si>
    <t xml:space="preserve">規避</t>
  </si>
  <si>
    <r>
      <rPr>
        <sz val="10"/>
        <rFont val="Noto Sans CJK SC"/>
        <family val="2"/>
      </rPr>
      <t xml:space="preserve">偶爾 </t>
    </r>
    <r>
      <rPr>
        <sz val="10"/>
        <rFont val="Arial"/>
        <family val="0"/>
        <charset val="1"/>
      </rPr>
      <t xml:space="preserve">5-20%</t>
    </r>
  </si>
  <si>
    <t xml:space="preserve">已關閉</t>
  </si>
  <si>
    <r>
      <rPr>
        <sz val="10"/>
        <rFont val="Noto Sans CJK SC"/>
        <family val="2"/>
      </rPr>
      <t xml:space="preserve">可能 </t>
    </r>
    <r>
      <rPr>
        <sz val="10"/>
        <rFont val="Arial"/>
        <family val="0"/>
        <charset val="1"/>
      </rPr>
      <t xml:space="preserve">20-50%</t>
    </r>
  </si>
  <si>
    <t xml:space="preserve">已發生</t>
  </si>
  <si>
    <r>
      <rPr>
        <sz val="10"/>
        <rFont val="Noto Sans CJK SC"/>
        <family val="2"/>
      </rPr>
      <t xml:space="preserve">很可能 </t>
    </r>
    <r>
      <rPr>
        <sz val="10"/>
        <rFont val="Arial"/>
        <family val="0"/>
        <charset val="1"/>
      </rPr>
      <t xml:space="preserve">50-80%</t>
    </r>
  </si>
  <si>
    <t xml:space="preserve">承受</t>
  </si>
  <si>
    <r>
      <rPr>
        <sz val="10"/>
        <rFont val="Noto Sans CJK SC"/>
        <family val="2"/>
      </rPr>
      <t xml:space="preserve">幾乎確定 </t>
    </r>
    <r>
      <rPr>
        <sz val="10"/>
        <rFont val="Arial"/>
        <family val="0"/>
        <charset val="1"/>
      </rPr>
      <t xml:space="preserve">&gt;80%</t>
    </r>
  </si>
  <si>
    <t xml:space="preserve">法規</t>
  </si>
  <si>
    <t xml:space="preserve">其他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</si>
</sst>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b val="true"/>
      <sz val="15"/>
      <color rgb="FF1F3864"/>
      <name val="Noto Sans CJK SC"/>
      <family val="2"/>
    </font>
    <font>
      <sz val="10"/>
      <color rgb="FF6B7280"/>
      <name val="Arial"/>
      <family val="0"/>
      <charset val="1"/>
    </font>
    <font>
      <sz val="10"/>
      <color rgb="FF6B7280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9"/>
      <color rgb="FF6B7280"/>
      <name val="Arial"/>
      <family val="0"/>
      <charset val="1"/>
    </font>
    <font>
      <sz val="9"/>
      <color rgb="FF6B7280"/>
      <name val="Noto Sans CJK SC"/>
      <family val="2"/>
    </font>
    <font>
      <sz val="9"/>
      <name val="Noto Sans CJK SC"/>
      <family val="2"/>
    </font>
    <font>
      <sz val="9"/>
      <color rgb="FF55607A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1F4F9"/>
        <bgColor rgb="FFFFF9E3"/>
      </patternFill>
    </fill>
    <fill>
      <patternFill patternType="solid">
        <fgColor rgb="FFFFF9E3"/>
        <bgColor rgb="FFFF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0EA"/>
      </left>
      <right style="thin">
        <color rgb="FFD9E0EA"/>
      </right>
      <top style="thin">
        <color rgb="FFD9E0EA"/>
      </top>
      <bottom style="thin">
        <color rgb="FFD9E0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0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9E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1F4F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55607A"/>
      <rgbColor rgb="FF9999FF"/>
      <rgbColor rgb="FF993366"/>
      <rgbColor rgb="FFFFF9E3"/>
      <rgbColor rgb="FFF1F4F9"/>
      <rgbColor rgb="FF660066"/>
      <rgbColor rgb="FFFF8080"/>
      <rgbColor rgb="FF0066CC"/>
      <rgbColor rgb="FFD9E0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4"/>
  </cols>
  <sheetData>
    <row r="1" customFormat="false" ht="23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</row>
    <row r="5" customFormat="false" ht="45" hidden="false" customHeight="true" outlineLevel="0" collapsed="false">
      <c r="B5" s="4" t="s">
        <v>3</v>
      </c>
    </row>
    <row r="7" customFormat="false" ht="15" hidden="false" customHeight="false" outlineLevel="0" collapsed="false">
      <c r="B7" s="3" t="s">
        <v>4</v>
      </c>
    </row>
    <row r="8" customFormat="false" ht="60" hidden="false" customHeight="true" outlineLevel="0" collapsed="false">
      <c r="B8" s="4" t="s">
        <v>5</v>
      </c>
    </row>
    <row r="10" customFormat="false" ht="15" hidden="false" customHeight="false" outlineLevel="0" collapsed="false">
      <c r="B10" s="3" t="s">
        <v>6</v>
      </c>
    </row>
    <row r="11" customFormat="false" ht="60" hidden="false" customHeight="true" outlineLevel="0" collapsed="false">
      <c r="B11" s="4" t="s">
        <v>7</v>
      </c>
    </row>
    <row r="13" customFormat="false" ht="15" hidden="false" customHeight="false" outlineLevel="0" collapsed="false">
      <c r="B13" s="3" t="s">
        <v>8</v>
      </c>
    </row>
    <row r="14" customFormat="false" ht="60" hidden="false" customHeight="true" outlineLevel="0" collapsed="false">
      <c r="B14" s="4" t="s">
        <v>9</v>
      </c>
    </row>
    <row r="16" customFormat="false" ht="15" hidden="false" customHeight="false" outlineLevel="0" collapsed="false">
      <c r="B16" s="3" t="s">
        <v>10</v>
      </c>
    </row>
    <row r="17" customFormat="false" ht="60" hidden="false" customHeight="true" outlineLevel="0" collapsed="false">
      <c r="B17" s="4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52"/>
    <col collapsed="false" customWidth="true" hidden="false" outlineLevel="0" max="5" min="5" style="0" width="13"/>
  </cols>
  <sheetData>
    <row r="1" customFormat="false" ht="23.1" hidden="false" customHeight="false" outlineLevel="0" collapsed="false">
      <c r="A1" s="5" t="s">
        <v>12</v>
      </c>
    </row>
    <row r="2" customFormat="false" ht="15" hidden="false" customHeight="false" outlineLevel="0" collapsed="false">
      <c r="A2" s="6" t="s">
        <v>13</v>
      </c>
    </row>
    <row r="5" customFormat="false" ht="15" hidden="false" customHeight="false" outlineLevel="0" collapsed="false">
      <c r="B5" s="7" t="s">
        <v>14</v>
      </c>
      <c r="C5" s="8" t="n">
        <f aca="false">COUNTIFS(01_風險登錄冊_Register!$N$5:$N$54,"開放")</f>
        <v>6</v>
      </c>
      <c r="D5" s="9"/>
    </row>
    <row r="6" customFormat="false" ht="15" hidden="false" customHeight="false" outlineLevel="0" collapsed="false">
      <c r="B6" s="7" t="s">
        <v>15</v>
      </c>
      <c r="C6" s="8" t="n">
        <f aca="false">COUNTIFS(01_風險登錄冊_Register!$G$5:$G$54,"&gt;=12",01_風險登錄冊_Register!$N$5:$N$54,"開放")</f>
        <v>1</v>
      </c>
      <c r="D6" s="10" t="s">
        <v>16</v>
      </c>
    </row>
    <row r="7" customFormat="false" ht="15" hidden="false" customHeight="false" outlineLevel="0" collapsed="false">
      <c r="B7" s="7" t="s">
        <v>17</v>
      </c>
      <c r="C7" s="8" t="n">
        <f aca="false">SUMIFS(01_風險登錄冊_Register!$I$5:$I$54,01_風險登錄冊_Register!$N$5:$N$54,"開放")</f>
        <v>209.9</v>
      </c>
      <c r="D7" s="10" t="s">
        <v>18</v>
      </c>
    </row>
    <row r="8" customFormat="false" ht="15" hidden="false" customHeight="false" outlineLevel="0" collapsed="false">
      <c r="B8" s="7" t="s">
        <v>19</v>
      </c>
      <c r="C8" s="8" t="n">
        <f aca="true">COUNTIFS(01_風險登錄冊_Register!$M$5:$M$54,"&lt;"&amp;TODAY(),01_風險登錄冊_Register!$N$5:$N$54,"開放",01_風險登錄冊_Register!$M$5:$M$54,"&lt;&gt;")</f>
        <v>0</v>
      </c>
      <c r="D8" s="10" t="s">
        <v>20</v>
      </c>
    </row>
    <row r="9" customFormat="false" ht="15" hidden="false" customHeight="false" outlineLevel="0" collapsed="false">
      <c r="B9" s="7" t="s">
        <v>21</v>
      </c>
      <c r="C9" s="11" t="n">
        <f aca="false">IFERROR(SUMIFS(01_風險登錄冊_Register!$I$5:$I$54,01_風險登錄冊_Register!$N$5:$N$54,"開放",01_風險登錄冊_Register!$B$5:$B$54,"P-002")/745,"")</f>
        <v>0.217315436241611</v>
      </c>
      <c r="D9" s="10" t="s">
        <v>22</v>
      </c>
    </row>
    <row r="11" customFormat="false" ht="15" hidden="false" customHeight="true" outlineLevel="0" collapsed="false">
      <c r="B11" s="12" t="s">
        <v>23</v>
      </c>
      <c r="C11" s="12"/>
      <c r="D11" s="12"/>
      <c r="E11" s="12"/>
    </row>
    <row r="12" customFormat="false" ht="15" hidden="false" customHeight="false" outlineLevel="0" collapsed="false">
      <c r="B12" s="12"/>
      <c r="C12" s="12"/>
      <c r="D12" s="12"/>
      <c r="E12" s="12"/>
    </row>
  </sheetData>
  <mergeCells count="1">
    <mergeCell ref="B11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34"/>
    <col collapsed="false" customWidth="true" hidden="false" outlineLevel="0" max="4" min="4" style="0" width="11"/>
    <col collapsed="false" customWidth="true" hidden="false" outlineLevel="0" max="6" min="5" style="0" width="10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30"/>
    <col collapsed="false" customWidth="true" hidden="false" outlineLevel="0" max="12" min="12" style="0" width="9"/>
    <col collapsed="false" customWidth="true" hidden="false" outlineLevel="0" max="13" min="13" style="0" width="11"/>
    <col collapsed="false" customWidth="true" hidden="false" outlineLevel="0" max="14" min="14" style="0" width="9"/>
    <col collapsed="false" customWidth="true" hidden="false" outlineLevel="0" max="17" min="15" style="0" width="11"/>
  </cols>
  <sheetData>
    <row r="1" customFormat="false" ht="23.1" hidden="false" customHeight="false" outlineLevel="0" collapsed="false">
      <c r="A1" s="5" t="s">
        <v>24</v>
      </c>
    </row>
    <row r="2" customFormat="false" ht="15" hidden="false" customHeight="false" outlineLevel="0" collapsed="false">
      <c r="A2" s="6" t="s">
        <v>25</v>
      </c>
    </row>
    <row r="3" customFormat="false" ht="15" hidden="false" customHeight="false" outlineLevel="0" collapsed="false">
      <c r="A3" s="3" t="s">
        <v>26</v>
      </c>
      <c r="B3" s="13" t="s">
        <v>27</v>
      </c>
      <c r="C3" s="14" t="s">
        <v>28</v>
      </c>
      <c r="D3" s="15" t="s">
        <v>29</v>
      </c>
    </row>
    <row r="4" customFormat="false" ht="30" hidden="false" customHeight="true" outlineLevel="0" collapsed="false">
      <c r="A4" s="16" t="s">
        <v>30</v>
      </c>
      <c r="B4" s="16" t="s">
        <v>31</v>
      </c>
      <c r="C4" s="16" t="s">
        <v>32</v>
      </c>
      <c r="D4" s="16" t="s">
        <v>33</v>
      </c>
      <c r="E4" s="16" t="s">
        <v>34</v>
      </c>
      <c r="F4" s="16" t="s">
        <v>35</v>
      </c>
      <c r="G4" s="16" t="s">
        <v>36</v>
      </c>
      <c r="H4" s="16" t="s">
        <v>37</v>
      </c>
      <c r="I4" s="16" t="s">
        <v>38</v>
      </c>
      <c r="J4" s="16" t="s">
        <v>39</v>
      </c>
      <c r="K4" s="16" t="s">
        <v>40</v>
      </c>
      <c r="L4" s="16" t="s">
        <v>41</v>
      </c>
      <c r="M4" s="16" t="s">
        <v>42</v>
      </c>
      <c r="N4" s="16" t="s">
        <v>43</v>
      </c>
      <c r="O4" s="16" t="s">
        <v>44</v>
      </c>
      <c r="P4" s="16" t="s">
        <v>45</v>
      </c>
      <c r="Q4" s="16" t="s">
        <v>46</v>
      </c>
    </row>
    <row r="5" customFormat="false" ht="15" hidden="false" customHeight="false" outlineLevel="0" collapsed="false">
      <c r="A5" s="17" t="s">
        <v>47</v>
      </c>
      <c r="B5" s="17" t="s">
        <v>48</v>
      </c>
      <c r="C5" s="18" t="s">
        <v>49</v>
      </c>
      <c r="D5" s="19" t="s">
        <v>50</v>
      </c>
      <c r="E5" s="17" t="n">
        <v>3</v>
      </c>
      <c r="F5" s="17" t="n">
        <v>3</v>
      </c>
      <c r="G5" s="20" t="n">
        <f aca="false">IF(OR($E5="",$F5=""),"",$E5*$F5)</f>
        <v>9</v>
      </c>
      <c r="H5" s="21" t="n">
        <v>80</v>
      </c>
      <c r="I5" s="22" t="n">
        <f aca="false">IF(OR($E5="",$H5=""),"",ROUND($H5*INDEX(_選單_Lists!$B$2:$B$6,MATCH($E5,_選單_Lists!$A$2:$A$6,0)),1))</f>
        <v>28</v>
      </c>
      <c r="J5" s="19" t="s">
        <v>51</v>
      </c>
      <c r="K5" s="18" t="s">
        <v>52</v>
      </c>
      <c r="L5" s="19" t="s">
        <v>53</v>
      </c>
      <c r="M5" s="17" t="s">
        <v>54</v>
      </c>
      <c r="N5" s="19" t="s">
        <v>55</v>
      </c>
      <c r="O5" s="21" t="n">
        <v>20</v>
      </c>
      <c r="P5" s="21" t="n">
        <v>60</v>
      </c>
      <c r="Q5" s="21" t="n">
        <v>150</v>
      </c>
    </row>
    <row r="6" customFormat="false" ht="15" hidden="false" customHeight="false" outlineLevel="0" collapsed="false">
      <c r="A6" s="17" t="s">
        <v>56</v>
      </c>
      <c r="B6" s="17" t="s">
        <v>48</v>
      </c>
      <c r="C6" s="23" t="s">
        <v>57</v>
      </c>
      <c r="D6" s="19" t="s">
        <v>58</v>
      </c>
      <c r="E6" s="19" t="n">
        <v>3</v>
      </c>
      <c r="F6" s="19" t="n">
        <v>2</v>
      </c>
      <c r="G6" s="20" t="n">
        <f aca="false">IF(OR($E6="",$F6=""),"",$E6*$F6)</f>
        <v>6</v>
      </c>
      <c r="H6" s="21" t="n">
        <v>45</v>
      </c>
      <c r="I6" s="22" t="n">
        <f aca="false">IF(OR($E6="",$H6=""),"",ROUND($H6*INDEX(_選單_Lists!$B$2:$B$6,MATCH($E6,_選單_Lists!$A$2:$A$6,0)),1))</f>
        <v>15.8</v>
      </c>
      <c r="J6" s="19" t="s">
        <v>59</v>
      </c>
      <c r="K6" s="18" t="s">
        <v>60</v>
      </c>
      <c r="L6" s="19" t="s">
        <v>61</v>
      </c>
      <c r="M6" s="17" t="s">
        <v>54</v>
      </c>
      <c r="N6" s="19" t="s">
        <v>55</v>
      </c>
      <c r="O6" s="21" t="n">
        <v>0</v>
      </c>
      <c r="P6" s="21" t="n">
        <v>30</v>
      </c>
      <c r="Q6" s="21" t="n">
        <v>90</v>
      </c>
    </row>
    <row r="7" customFormat="false" ht="15" hidden="false" customHeight="false" outlineLevel="0" collapsed="false">
      <c r="A7" s="17" t="s">
        <v>62</v>
      </c>
      <c r="B7" s="17" t="s">
        <v>48</v>
      </c>
      <c r="C7" s="18" t="s">
        <v>63</v>
      </c>
      <c r="D7" s="19" t="s">
        <v>50</v>
      </c>
      <c r="E7" s="19" t="n">
        <v>4</v>
      </c>
      <c r="F7" s="19" t="n">
        <v>3</v>
      </c>
      <c r="G7" s="20" t="n">
        <f aca="false">IF(OR($E7="",$F7=""),"",$E7*$F7)</f>
        <v>12</v>
      </c>
      <c r="H7" s="21" t="n">
        <v>100</v>
      </c>
      <c r="I7" s="22" t="n">
        <f aca="false">IF(OR($E7="",$H7=""),"",ROUND($H7*INDEX(_選單_Lists!$B$2:$B$6,MATCH($E7,_選單_Lists!$A$2:$A$6,0)),1))</f>
        <v>65</v>
      </c>
      <c r="J7" s="19" t="s">
        <v>59</v>
      </c>
      <c r="K7" s="18" t="s">
        <v>64</v>
      </c>
      <c r="L7" s="19" t="s">
        <v>53</v>
      </c>
      <c r="M7" s="17" t="s">
        <v>65</v>
      </c>
      <c r="N7" s="19" t="s">
        <v>55</v>
      </c>
      <c r="O7" s="21" t="n">
        <v>30</v>
      </c>
      <c r="P7" s="21" t="n">
        <v>90</v>
      </c>
      <c r="Q7" s="21" t="n">
        <v>200</v>
      </c>
    </row>
    <row r="8" customFormat="false" ht="15" hidden="false" customHeight="false" outlineLevel="0" collapsed="false">
      <c r="A8" s="17" t="s">
        <v>66</v>
      </c>
      <c r="B8" s="17" t="s">
        <v>48</v>
      </c>
      <c r="C8" s="18" t="s">
        <v>67</v>
      </c>
      <c r="D8" s="19" t="s">
        <v>68</v>
      </c>
      <c r="E8" s="19" t="n">
        <v>2</v>
      </c>
      <c r="F8" s="19" t="n">
        <v>4</v>
      </c>
      <c r="G8" s="20" t="n">
        <f aca="false">IF(OR($E8="",$F8=""),"",$E8*$F8)</f>
        <v>8</v>
      </c>
      <c r="H8" s="21" t="n">
        <v>180</v>
      </c>
      <c r="I8" s="22" t="n">
        <f aca="false">IF(OR($E8="",$H8=""),"",ROUND($H8*INDEX(_選單_Lists!$B$2:$B$6,MATCH($E8,_選單_Lists!$A$2:$A$6,0)),1))</f>
        <v>21.6</v>
      </c>
      <c r="J8" s="19" t="s">
        <v>51</v>
      </c>
      <c r="K8" s="23" t="s">
        <v>69</v>
      </c>
      <c r="L8" s="19" t="s">
        <v>70</v>
      </c>
      <c r="M8" s="17" t="s">
        <v>71</v>
      </c>
      <c r="N8" s="19" t="s">
        <v>55</v>
      </c>
      <c r="O8" s="21" t="n">
        <v>0</v>
      </c>
      <c r="P8" s="21" t="n">
        <v>80</v>
      </c>
      <c r="Q8" s="21" t="n">
        <v>300</v>
      </c>
    </row>
    <row r="9" customFormat="false" ht="15" hidden="false" customHeight="false" outlineLevel="0" collapsed="false">
      <c r="A9" s="17" t="s">
        <v>72</v>
      </c>
      <c r="B9" s="19" t="s">
        <v>73</v>
      </c>
      <c r="C9" s="18" t="s">
        <v>74</v>
      </c>
      <c r="D9" s="19" t="s">
        <v>73</v>
      </c>
      <c r="E9" s="19" t="n">
        <v>2</v>
      </c>
      <c r="F9" s="19" t="n">
        <v>5</v>
      </c>
      <c r="G9" s="20" t="n">
        <f aca="false">IF(OR($E9="",$F9=""),"",$E9*$F9)</f>
        <v>10</v>
      </c>
      <c r="H9" s="21" t="n">
        <v>400</v>
      </c>
      <c r="I9" s="22" t="n">
        <f aca="false">IF(OR($E9="",$H9=""),"",ROUND($H9*INDEX(_選單_Lists!$B$2:$B$6,MATCH($E9,_選單_Lists!$A$2:$A$6,0)),1))</f>
        <v>48</v>
      </c>
      <c r="J9" s="19" t="s">
        <v>51</v>
      </c>
      <c r="K9" s="23" t="s">
        <v>75</v>
      </c>
      <c r="L9" s="19" t="s">
        <v>76</v>
      </c>
      <c r="M9" s="17" t="s">
        <v>77</v>
      </c>
      <c r="N9" s="19" t="s">
        <v>55</v>
      </c>
      <c r="O9" s="21" t="n">
        <v>0</v>
      </c>
      <c r="P9" s="21" t="n">
        <v>200</v>
      </c>
      <c r="Q9" s="21" t="n">
        <v>600</v>
      </c>
    </row>
    <row r="10" customFormat="false" ht="29.85" hidden="false" customHeight="false" outlineLevel="0" collapsed="false">
      <c r="A10" s="17" t="s">
        <v>78</v>
      </c>
      <c r="B10" s="17" t="s">
        <v>48</v>
      </c>
      <c r="C10" s="18" t="s">
        <v>79</v>
      </c>
      <c r="D10" s="19" t="s">
        <v>80</v>
      </c>
      <c r="E10" s="19" t="n">
        <v>3</v>
      </c>
      <c r="F10" s="19" t="n">
        <v>3</v>
      </c>
      <c r="G10" s="20" t="n">
        <f aca="false">IF(OR($E10="",$F10=""),"",$E10*$F10)</f>
        <v>9</v>
      </c>
      <c r="H10" s="21" t="n">
        <v>90</v>
      </c>
      <c r="I10" s="22" t="n">
        <f aca="false">IF(OR($E10="",$H10=""),"",ROUND($H10*INDEX(_選單_Lists!$B$2:$B$6,MATCH($E10,_選單_Lists!$A$2:$A$6,0)),1))</f>
        <v>31.5</v>
      </c>
      <c r="J10" s="19" t="s">
        <v>51</v>
      </c>
      <c r="K10" s="18" t="s">
        <v>81</v>
      </c>
      <c r="L10" s="19" t="s">
        <v>53</v>
      </c>
      <c r="M10" s="17" t="s">
        <v>82</v>
      </c>
      <c r="N10" s="19" t="s">
        <v>55</v>
      </c>
      <c r="O10" s="21" t="n">
        <v>20</v>
      </c>
      <c r="P10" s="21" t="n">
        <v>70</v>
      </c>
      <c r="Q10" s="21" t="n">
        <v>180</v>
      </c>
    </row>
    <row r="11" customFormat="false" ht="15" hidden="false" customHeight="false" outlineLevel="0" collapsed="false">
      <c r="A11" s="19"/>
      <c r="B11" s="19"/>
      <c r="C11" s="18"/>
      <c r="D11" s="19"/>
      <c r="E11" s="19"/>
      <c r="F11" s="19"/>
      <c r="G11" s="20" t="str">
        <f aca="false">IF(OR($E11="",$F11=""),"",$E11*$F11)</f>
        <v/>
      </c>
      <c r="H11" s="21"/>
      <c r="I11" s="22" t="str">
        <f aca="false">IF(OR($E11="",$H11=""),"",ROUND($H11*INDEX(_選單_Lists!$B$2:$B$6,MATCH($E11,_選單_Lists!$A$2:$A$6,0)),1))</f>
        <v/>
      </c>
      <c r="J11" s="19"/>
      <c r="K11" s="18"/>
      <c r="L11" s="19"/>
      <c r="M11" s="19"/>
      <c r="N11" s="19"/>
      <c r="O11" s="21"/>
      <c r="P11" s="21"/>
      <c r="Q11" s="21"/>
    </row>
    <row r="12" customFormat="false" ht="15" hidden="false" customHeight="false" outlineLevel="0" collapsed="false">
      <c r="A12" s="19"/>
      <c r="B12" s="19"/>
      <c r="C12" s="18"/>
      <c r="D12" s="19"/>
      <c r="E12" s="19"/>
      <c r="F12" s="19"/>
      <c r="G12" s="20" t="str">
        <f aca="false">IF(OR($E12="",$F12=""),"",$E12*$F12)</f>
        <v/>
      </c>
      <c r="H12" s="21"/>
      <c r="I12" s="22" t="str">
        <f aca="false">IF(OR($E12="",$H12=""),"",ROUND($H12*INDEX(_選單_Lists!$B$2:$B$6,MATCH($E12,_選單_Lists!$A$2:$A$6,0)),1))</f>
        <v/>
      </c>
      <c r="J12" s="19"/>
      <c r="K12" s="18"/>
      <c r="L12" s="19"/>
      <c r="M12" s="19"/>
      <c r="N12" s="19"/>
      <c r="O12" s="21"/>
      <c r="P12" s="21"/>
      <c r="Q12" s="21"/>
    </row>
    <row r="13" customFormat="false" ht="15" hidden="false" customHeight="false" outlineLevel="0" collapsed="false">
      <c r="A13" s="19"/>
      <c r="B13" s="19"/>
      <c r="C13" s="18"/>
      <c r="D13" s="19"/>
      <c r="E13" s="19"/>
      <c r="F13" s="19"/>
      <c r="G13" s="20" t="str">
        <f aca="false">IF(OR($E13="",$F13=""),"",$E13*$F13)</f>
        <v/>
      </c>
      <c r="H13" s="21"/>
      <c r="I13" s="22" t="str">
        <f aca="false">IF(OR($E13="",$H13=""),"",ROUND($H13*INDEX(_選單_Lists!$B$2:$B$6,MATCH($E13,_選單_Lists!$A$2:$A$6,0)),1))</f>
        <v/>
      </c>
      <c r="J13" s="19"/>
      <c r="K13" s="18"/>
      <c r="L13" s="19"/>
      <c r="M13" s="19"/>
      <c r="N13" s="19"/>
      <c r="O13" s="21"/>
      <c r="P13" s="21"/>
      <c r="Q13" s="21"/>
    </row>
    <row r="14" customFormat="false" ht="15" hidden="false" customHeight="false" outlineLevel="0" collapsed="false">
      <c r="A14" s="19"/>
      <c r="B14" s="19"/>
      <c r="C14" s="18"/>
      <c r="D14" s="19"/>
      <c r="E14" s="19"/>
      <c r="F14" s="19"/>
      <c r="G14" s="20" t="str">
        <f aca="false">IF(OR($E14="",$F14=""),"",$E14*$F14)</f>
        <v/>
      </c>
      <c r="H14" s="21"/>
      <c r="I14" s="22" t="str">
        <f aca="false">IF(OR($E14="",$H14=""),"",ROUND($H14*INDEX(_選單_Lists!$B$2:$B$6,MATCH($E14,_選單_Lists!$A$2:$A$6,0)),1))</f>
        <v/>
      </c>
      <c r="J14" s="19"/>
      <c r="K14" s="18"/>
      <c r="L14" s="19"/>
      <c r="M14" s="19"/>
      <c r="N14" s="19"/>
      <c r="O14" s="21"/>
      <c r="P14" s="21"/>
      <c r="Q14" s="21"/>
    </row>
    <row r="15" customFormat="false" ht="15" hidden="false" customHeight="false" outlineLevel="0" collapsed="false">
      <c r="A15" s="19"/>
      <c r="B15" s="19"/>
      <c r="C15" s="18"/>
      <c r="D15" s="19"/>
      <c r="E15" s="19"/>
      <c r="F15" s="19"/>
      <c r="G15" s="20" t="str">
        <f aca="false">IF(OR($E15="",$F15=""),"",$E15*$F15)</f>
        <v/>
      </c>
      <c r="H15" s="21"/>
      <c r="I15" s="22" t="str">
        <f aca="false">IF(OR($E15="",$H15=""),"",ROUND($H15*INDEX(_選單_Lists!$B$2:$B$6,MATCH($E15,_選單_Lists!$A$2:$A$6,0)),1))</f>
        <v/>
      </c>
      <c r="J15" s="19"/>
      <c r="K15" s="18"/>
      <c r="L15" s="19"/>
      <c r="M15" s="19"/>
      <c r="N15" s="19"/>
      <c r="O15" s="21"/>
      <c r="P15" s="21"/>
      <c r="Q15" s="21"/>
    </row>
    <row r="16" customFormat="false" ht="15" hidden="false" customHeight="false" outlineLevel="0" collapsed="false">
      <c r="A16" s="19"/>
      <c r="B16" s="19"/>
      <c r="C16" s="18"/>
      <c r="D16" s="19"/>
      <c r="E16" s="19"/>
      <c r="F16" s="19"/>
      <c r="G16" s="20" t="str">
        <f aca="false">IF(OR($E16="",$F16=""),"",$E16*$F16)</f>
        <v/>
      </c>
      <c r="H16" s="21"/>
      <c r="I16" s="22" t="str">
        <f aca="false">IF(OR($E16="",$H16=""),"",ROUND($H16*INDEX(_選單_Lists!$B$2:$B$6,MATCH($E16,_選單_Lists!$A$2:$A$6,0)),1))</f>
        <v/>
      </c>
      <c r="J16" s="19"/>
      <c r="K16" s="18"/>
      <c r="L16" s="19"/>
      <c r="M16" s="19"/>
      <c r="N16" s="19"/>
      <c r="O16" s="21"/>
      <c r="P16" s="21"/>
      <c r="Q16" s="21"/>
    </row>
    <row r="17" customFormat="false" ht="15" hidden="false" customHeight="false" outlineLevel="0" collapsed="false">
      <c r="A17" s="19"/>
      <c r="B17" s="19"/>
      <c r="C17" s="18"/>
      <c r="D17" s="19"/>
      <c r="E17" s="19"/>
      <c r="F17" s="19"/>
      <c r="G17" s="20" t="str">
        <f aca="false">IF(OR($E17="",$F17=""),"",$E17*$F17)</f>
        <v/>
      </c>
      <c r="H17" s="21"/>
      <c r="I17" s="22" t="str">
        <f aca="false">IF(OR($E17="",$H17=""),"",ROUND($H17*INDEX(_選單_Lists!$B$2:$B$6,MATCH($E17,_選單_Lists!$A$2:$A$6,0)),1))</f>
        <v/>
      </c>
      <c r="J17" s="19"/>
      <c r="K17" s="18"/>
      <c r="L17" s="19"/>
      <c r="M17" s="19"/>
      <c r="N17" s="19"/>
      <c r="O17" s="21"/>
      <c r="P17" s="21"/>
      <c r="Q17" s="21"/>
    </row>
    <row r="18" customFormat="false" ht="15" hidden="false" customHeight="false" outlineLevel="0" collapsed="false">
      <c r="A18" s="19"/>
      <c r="B18" s="19"/>
      <c r="C18" s="18"/>
      <c r="D18" s="19"/>
      <c r="E18" s="19"/>
      <c r="F18" s="19"/>
      <c r="G18" s="20" t="str">
        <f aca="false">IF(OR($E18="",$F18=""),"",$E18*$F18)</f>
        <v/>
      </c>
      <c r="H18" s="21"/>
      <c r="I18" s="22" t="str">
        <f aca="false">IF(OR($E18="",$H18=""),"",ROUND($H18*INDEX(_選單_Lists!$B$2:$B$6,MATCH($E18,_選單_Lists!$A$2:$A$6,0)),1))</f>
        <v/>
      </c>
      <c r="J18" s="19"/>
      <c r="K18" s="18"/>
      <c r="L18" s="19"/>
      <c r="M18" s="19"/>
      <c r="N18" s="19"/>
      <c r="O18" s="21"/>
      <c r="P18" s="21"/>
      <c r="Q18" s="21"/>
    </row>
    <row r="19" customFormat="false" ht="15" hidden="false" customHeight="false" outlineLevel="0" collapsed="false">
      <c r="A19" s="19"/>
      <c r="B19" s="19"/>
      <c r="C19" s="18"/>
      <c r="D19" s="19"/>
      <c r="E19" s="19"/>
      <c r="F19" s="19"/>
      <c r="G19" s="20" t="str">
        <f aca="false">IF(OR($E19="",$F19=""),"",$E19*$F19)</f>
        <v/>
      </c>
      <c r="H19" s="21"/>
      <c r="I19" s="22" t="str">
        <f aca="false">IF(OR($E19="",$H19=""),"",ROUND($H19*INDEX(_選單_Lists!$B$2:$B$6,MATCH($E19,_選單_Lists!$A$2:$A$6,0)),1))</f>
        <v/>
      </c>
      <c r="J19" s="19"/>
      <c r="K19" s="18"/>
      <c r="L19" s="19"/>
      <c r="M19" s="19"/>
      <c r="N19" s="19"/>
      <c r="O19" s="21"/>
      <c r="P19" s="21"/>
      <c r="Q19" s="21"/>
    </row>
    <row r="20" customFormat="false" ht="15" hidden="false" customHeight="false" outlineLevel="0" collapsed="false">
      <c r="A20" s="19"/>
      <c r="B20" s="19"/>
      <c r="C20" s="18"/>
      <c r="D20" s="19"/>
      <c r="E20" s="19"/>
      <c r="F20" s="19"/>
      <c r="G20" s="20" t="str">
        <f aca="false">IF(OR($E20="",$F20=""),"",$E20*$F20)</f>
        <v/>
      </c>
      <c r="H20" s="21"/>
      <c r="I20" s="22" t="str">
        <f aca="false">IF(OR($E20="",$H20=""),"",ROUND($H20*INDEX(_選單_Lists!$B$2:$B$6,MATCH($E20,_選單_Lists!$A$2:$A$6,0)),1))</f>
        <v/>
      </c>
      <c r="J20" s="19"/>
      <c r="K20" s="18"/>
      <c r="L20" s="19"/>
      <c r="M20" s="19"/>
      <c r="N20" s="19"/>
      <c r="O20" s="21"/>
      <c r="P20" s="21"/>
      <c r="Q20" s="21"/>
    </row>
    <row r="21" customFormat="false" ht="15" hidden="false" customHeight="false" outlineLevel="0" collapsed="false">
      <c r="A21" s="19"/>
      <c r="B21" s="19"/>
      <c r="C21" s="18"/>
      <c r="D21" s="19"/>
      <c r="E21" s="19"/>
      <c r="F21" s="19"/>
      <c r="G21" s="20" t="str">
        <f aca="false">IF(OR($E21="",$F21=""),"",$E21*$F21)</f>
        <v/>
      </c>
      <c r="H21" s="21"/>
      <c r="I21" s="22" t="str">
        <f aca="false">IF(OR($E21="",$H21=""),"",ROUND($H21*INDEX(_選單_Lists!$B$2:$B$6,MATCH($E21,_選單_Lists!$A$2:$A$6,0)),1))</f>
        <v/>
      </c>
      <c r="J21" s="19"/>
      <c r="K21" s="18"/>
      <c r="L21" s="19"/>
      <c r="M21" s="19"/>
      <c r="N21" s="19"/>
      <c r="O21" s="21"/>
      <c r="P21" s="21"/>
      <c r="Q21" s="21"/>
    </row>
    <row r="22" customFormat="false" ht="15" hidden="false" customHeight="false" outlineLevel="0" collapsed="false">
      <c r="A22" s="19"/>
      <c r="B22" s="19"/>
      <c r="C22" s="18"/>
      <c r="D22" s="19"/>
      <c r="E22" s="19"/>
      <c r="F22" s="19"/>
      <c r="G22" s="20" t="str">
        <f aca="false">IF(OR($E22="",$F22=""),"",$E22*$F22)</f>
        <v/>
      </c>
      <c r="H22" s="21"/>
      <c r="I22" s="22" t="str">
        <f aca="false">IF(OR($E22="",$H22=""),"",ROUND($H22*INDEX(_選單_Lists!$B$2:$B$6,MATCH($E22,_選單_Lists!$A$2:$A$6,0)),1))</f>
        <v/>
      </c>
      <c r="J22" s="19"/>
      <c r="K22" s="18"/>
      <c r="L22" s="19"/>
      <c r="M22" s="19"/>
      <c r="N22" s="19"/>
      <c r="O22" s="21"/>
      <c r="P22" s="21"/>
      <c r="Q22" s="21"/>
    </row>
    <row r="23" customFormat="false" ht="15" hidden="false" customHeight="false" outlineLevel="0" collapsed="false">
      <c r="A23" s="19"/>
      <c r="B23" s="19"/>
      <c r="C23" s="18"/>
      <c r="D23" s="19"/>
      <c r="E23" s="19"/>
      <c r="F23" s="19"/>
      <c r="G23" s="20" t="str">
        <f aca="false">IF(OR($E23="",$F23=""),"",$E23*$F23)</f>
        <v/>
      </c>
      <c r="H23" s="21"/>
      <c r="I23" s="22" t="str">
        <f aca="false">IF(OR($E23="",$H23=""),"",ROUND($H23*INDEX(_選單_Lists!$B$2:$B$6,MATCH($E23,_選單_Lists!$A$2:$A$6,0)),1))</f>
        <v/>
      </c>
      <c r="J23" s="19"/>
      <c r="K23" s="18"/>
      <c r="L23" s="19"/>
      <c r="M23" s="19"/>
      <c r="N23" s="19"/>
      <c r="O23" s="21"/>
      <c r="P23" s="21"/>
      <c r="Q23" s="21"/>
    </row>
    <row r="24" customFormat="false" ht="15" hidden="false" customHeight="false" outlineLevel="0" collapsed="false">
      <c r="A24" s="19"/>
      <c r="B24" s="19"/>
      <c r="C24" s="18"/>
      <c r="D24" s="19"/>
      <c r="E24" s="19"/>
      <c r="F24" s="19"/>
      <c r="G24" s="20" t="str">
        <f aca="false">IF(OR($E24="",$F24=""),"",$E24*$F24)</f>
        <v/>
      </c>
      <c r="H24" s="21"/>
      <c r="I24" s="22" t="str">
        <f aca="false">IF(OR($E24="",$H24=""),"",ROUND($H24*INDEX(_選單_Lists!$B$2:$B$6,MATCH($E24,_選單_Lists!$A$2:$A$6,0)),1))</f>
        <v/>
      </c>
      <c r="J24" s="19"/>
      <c r="K24" s="18"/>
      <c r="L24" s="19"/>
      <c r="M24" s="19"/>
      <c r="N24" s="19"/>
      <c r="O24" s="21"/>
      <c r="P24" s="21"/>
      <c r="Q24" s="21"/>
    </row>
    <row r="25" customFormat="false" ht="15" hidden="false" customHeight="false" outlineLevel="0" collapsed="false">
      <c r="A25" s="19"/>
      <c r="B25" s="19"/>
      <c r="C25" s="18"/>
      <c r="D25" s="19"/>
      <c r="E25" s="19"/>
      <c r="F25" s="19"/>
      <c r="G25" s="20" t="str">
        <f aca="false">IF(OR($E25="",$F25=""),"",$E25*$F25)</f>
        <v/>
      </c>
      <c r="H25" s="21"/>
      <c r="I25" s="22" t="str">
        <f aca="false">IF(OR($E25="",$H25=""),"",ROUND($H25*INDEX(_選單_Lists!$B$2:$B$6,MATCH($E25,_選單_Lists!$A$2:$A$6,0)),1))</f>
        <v/>
      </c>
      <c r="J25" s="19"/>
      <c r="K25" s="18"/>
      <c r="L25" s="19"/>
      <c r="M25" s="19"/>
      <c r="N25" s="19"/>
      <c r="O25" s="21"/>
      <c r="P25" s="21"/>
      <c r="Q25" s="21"/>
    </row>
    <row r="26" customFormat="false" ht="15" hidden="false" customHeight="false" outlineLevel="0" collapsed="false">
      <c r="A26" s="19"/>
      <c r="B26" s="19"/>
      <c r="C26" s="18"/>
      <c r="D26" s="19"/>
      <c r="E26" s="19"/>
      <c r="F26" s="19"/>
      <c r="G26" s="20" t="str">
        <f aca="false">IF(OR($E26="",$F26=""),"",$E26*$F26)</f>
        <v/>
      </c>
      <c r="H26" s="21"/>
      <c r="I26" s="22" t="str">
        <f aca="false">IF(OR($E26="",$H26=""),"",ROUND($H26*INDEX(_選單_Lists!$B$2:$B$6,MATCH($E26,_選單_Lists!$A$2:$A$6,0)),1))</f>
        <v/>
      </c>
      <c r="J26" s="19"/>
      <c r="K26" s="18"/>
      <c r="L26" s="19"/>
      <c r="M26" s="19"/>
      <c r="N26" s="19"/>
      <c r="O26" s="21"/>
      <c r="P26" s="21"/>
      <c r="Q26" s="21"/>
    </row>
    <row r="27" customFormat="false" ht="15" hidden="false" customHeight="false" outlineLevel="0" collapsed="false">
      <c r="A27" s="19"/>
      <c r="B27" s="19"/>
      <c r="C27" s="18"/>
      <c r="D27" s="19"/>
      <c r="E27" s="19"/>
      <c r="F27" s="19"/>
      <c r="G27" s="20" t="str">
        <f aca="false">IF(OR($E27="",$F27=""),"",$E27*$F27)</f>
        <v/>
      </c>
      <c r="H27" s="21"/>
      <c r="I27" s="22" t="str">
        <f aca="false">IF(OR($E27="",$H27=""),"",ROUND($H27*INDEX(_選單_Lists!$B$2:$B$6,MATCH($E27,_選單_Lists!$A$2:$A$6,0)),1))</f>
        <v/>
      </c>
      <c r="J27" s="19"/>
      <c r="K27" s="18"/>
      <c r="L27" s="19"/>
      <c r="M27" s="19"/>
      <c r="N27" s="19"/>
      <c r="O27" s="21"/>
      <c r="P27" s="21"/>
      <c r="Q27" s="21"/>
    </row>
    <row r="28" customFormat="false" ht="15" hidden="false" customHeight="false" outlineLevel="0" collapsed="false">
      <c r="A28" s="19"/>
      <c r="B28" s="19"/>
      <c r="C28" s="18"/>
      <c r="D28" s="19"/>
      <c r="E28" s="19"/>
      <c r="F28" s="19"/>
      <c r="G28" s="20" t="str">
        <f aca="false">IF(OR($E28="",$F28=""),"",$E28*$F28)</f>
        <v/>
      </c>
      <c r="H28" s="21"/>
      <c r="I28" s="22" t="str">
        <f aca="false">IF(OR($E28="",$H28=""),"",ROUND($H28*INDEX(_選單_Lists!$B$2:$B$6,MATCH($E28,_選單_Lists!$A$2:$A$6,0)),1))</f>
        <v/>
      </c>
      <c r="J28" s="19"/>
      <c r="K28" s="18"/>
      <c r="L28" s="19"/>
      <c r="M28" s="19"/>
      <c r="N28" s="19"/>
      <c r="O28" s="21"/>
      <c r="P28" s="21"/>
      <c r="Q28" s="21"/>
    </row>
    <row r="29" customFormat="false" ht="15" hidden="false" customHeight="false" outlineLevel="0" collapsed="false">
      <c r="A29" s="19"/>
      <c r="B29" s="19"/>
      <c r="C29" s="18"/>
      <c r="D29" s="19"/>
      <c r="E29" s="19"/>
      <c r="F29" s="19"/>
      <c r="G29" s="20" t="str">
        <f aca="false">IF(OR($E29="",$F29=""),"",$E29*$F29)</f>
        <v/>
      </c>
      <c r="H29" s="21"/>
      <c r="I29" s="22" t="str">
        <f aca="false">IF(OR($E29="",$H29=""),"",ROUND($H29*INDEX(_選單_Lists!$B$2:$B$6,MATCH($E29,_選單_Lists!$A$2:$A$6,0)),1))</f>
        <v/>
      </c>
      <c r="J29" s="19"/>
      <c r="K29" s="18"/>
      <c r="L29" s="19"/>
      <c r="M29" s="19"/>
      <c r="N29" s="19"/>
      <c r="O29" s="21"/>
      <c r="P29" s="21"/>
      <c r="Q29" s="21"/>
    </row>
    <row r="30" customFormat="false" ht="15" hidden="false" customHeight="false" outlineLevel="0" collapsed="false">
      <c r="A30" s="19"/>
      <c r="B30" s="19"/>
      <c r="C30" s="18"/>
      <c r="D30" s="19"/>
      <c r="E30" s="19"/>
      <c r="F30" s="19"/>
      <c r="G30" s="20" t="str">
        <f aca="false">IF(OR($E30="",$F30=""),"",$E30*$F30)</f>
        <v/>
      </c>
      <c r="H30" s="21"/>
      <c r="I30" s="22" t="str">
        <f aca="false">IF(OR($E30="",$H30=""),"",ROUND($H30*INDEX(_選單_Lists!$B$2:$B$6,MATCH($E30,_選單_Lists!$A$2:$A$6,0)),1))</f>
        <v/>
      </c>
      <c r="J30" s="19"/>
      <c r="K30" s="18"/>
      <c r="L30" s="19"/>
      <c r="M30" s="19"/>
      <c r="N30" s="19"/>
      <c r="O30" s="21"/>
      <c r="P30" s="21"/>
      <c r="Q30" s="21"/>
    </row>
    <row r="31" customFormat="false" ht="15" hidden="false" customHeight="false" outlineLevel="0" collapsed="false">
      <c r="A31" s="19"/>
      <c r="B31" s="19"/>
      <c r="C31" s="18"/>
      <c r="D31" s="19"/>
      <c r="E31" s="19"/>
      <c r="F31" s="19"/>
      <c r="G31" s="20" t="str">
        <f aca="false">IF(OR($E31="",$F31=""),"",$E31*$F31)</f>
        <v/>
      </c>
      <c r="H31" s="21"/>
      <c r="I31" s="22" t="str">
        <f aca="false">IF(OR($E31="",$H31=""),"",ROUND($H31*INDEX(_選單_Lists!$B$2:$B$6,MATCH($E31,_選單_Lists!$A$2:$A$6,0)),1))</f>
        <v/>
      </c>
      <c r="J31" s="19"/>
      <c r="K31" s="18"/>
      <c r="L31" s="19"/>
      <c r="M31" s="19"/>
      <c r="N31" s="19"/>
      <c r="O31" s="21"/>
      <c r="P31" s="21"/>
      <c r="Q31" s="21"/>
    </row>
    <row r="32" customFormat="false" ht="15" hidden="false" customHeight="false" outlineLevel="0" collapsed="false">
      <c r="A32" s="19"/>
      <c r="B32" s="19"/>
      <c r="C32" s="18"/>
      <c r="D32" s="19"/>
      <c r="E32" s="19"/>
      <c r="F32" s="19"/>
      <c r="G32" s="20" t="str">
        <f aca="false">IF(OR($E32="",$F32=""),"",$E32*$F32)</f>
        <v/>
      </c>
      <c r="H32" s="21"/>
      <c r="I32" s="22" t="str">
        <f aca="false">IF(OR($E32="",$H32=""),"",ROUND($H32*INDEX(_選單_Lists!$B$2:$B$6,MATCH($E32,_選單_Lists!$A$2:$A$6,0)),1))</f>
        <v/>
      </c>
      <c r="J32" s="19"/>
      <c r="K32" s="18"/>
      <c r="L32" s="19"/>
      <c r="M32" s="19"/>
      <c r="N32" s="19"/>
      <c r="O32" s="21"/>
      <c r="P32" s="21"/>
      <c r="Q32" s="21"/>
    </row>
    <row r="33" customFormat="false" ht="15" hidden="false" customHeight="false" outlineLevel="0" collapsed="false">
      <c r="A33" s="19"/>
      <c r="B33" s="19"/>
      <c r="C33" s="18"/>
      <c r="D33" s="19"/>
      <c r="E33" s="19"/>
      <c r="F33" s="19"/>
      <c r="G33" s="20" t="str">
        <f aca="false">IF(OR($E33="",$F33=""),"",$E33*$F33)</f>
        <v/>
      </c>
      <c r="H33" s="21"/>
      <c r="I33" s="22" t="str">
        <f aca="false">IF(OR($E33="",$H33=""),"",ROUND($H33*INDEX(_選單_Lists!$B$2:$B$6,MATCH($E33,_選單_Lists!$A$2:$A$6,0)),1))</f>
        <v/>
      </c>
      <c r="J33" s="19"/>
      <c r="K33" s="18"/>
      <c r="L33" s="19"/>
      <c r="M33" s="19"/>
      <c r="N33" s="19"/>
      <c r="O33" s="21"/>
      <c r="P33" s="21"/>
      <c r="Q33" s="21"/>
    </row>
    <row r="34" customFormat="false" ht="15" hidden="false" customHeight="false" outlineLevel="0" collapsed="false">
      <c r="A34" s="19"/>
      <c r="B34" s="19"/>
      <c r="C34" s="18"/>
      <c r="D34" s="19"/>
      <c r="E34" s="19"/>
      <c r="F34" s="19"/>
      <c r="G34" s="20" t="str">
        <f aca="false">IF(OR($E34="",$F34=""),"",$E34*$F34)</f>
        <v/>
      </c>
      <c r="H34" s="21"/>
      <c r="I34" s="22" t="str">
        <f aca="false">IF(OR($E34="",$H34=""),"",ROUND($H34*INDEX(_選單_Lists!$B$2:$B$6,MATCH($E34,_選單_Lists!$A$2:$A$6,0)),1))</f>
        <v/>
      </c>
      <c r="J34" s="19"/>
      <c r="K34" s="18"/>
      <c r="L34" s="19"/>
      <c r="M34" s="19"/>
      <c r="N34" s="19"/>
      <c r="O34" s="21"/>
      <c r="P34" s="21"/>
      <c r="Q34" s="21"/>
    </row>
    <row r="35" customFormat="false" ht="15" hidden="false" customHeight="false" outlineLevel="0" collapsed="false">
      <c r="A35" s="19"/>
      <c r="B35" s="19"/>
      <c r="C35" s="18"/>
      <c r="D35" s="19"/>
      <c r="E35" s="19"/>
      <c r="F35" s="19"/>
      <c r="G35" s="20" t="str">
        <f aca="false">IF(OR($E35="",$F35=""),"",$E35*$F35)</f>
        <v/>
      </c>
      <c r="H35" s="21"/>
      <c r="I35" s="22" t="str">
        <f aca="false">IF(OR($E35="",$H35=""),"",ROUND($H35*INDEX(_選單_Lists!$B$2:$B$6,MATCH($E35,_選單_Lists!$A$2:$A$6,0)),1))</f>
        <v/>
      </c>
      <c r="J35" s="19"/>
      <c r="K35" s="18"/>
      <c r="L35" s="19"/>
      <c r="M35" s="19"/>
      <c r="N35" s="19"/>
      <c r="O35" s="21"/>
      <c r="P35" s="21"/>
      <c r="Q35" s="21"/>
    </row>
    <row r="36" customFormat="false" ht="15" hidden="false" customHeight="false" outlineLevel="0" collapsed="false">
      <c r="A36" s="19"/>
      <c r="B36" s="19"/>
      <c r="C36" s="18"/>
      <c r="D36" s="19"/>
      <c r="E36" s="19"/>
      <c r="F36" s="19"/>
      <c r="G36" s="20" t="str">
        <f aca="false">IF(OR($E36="",$F36=""),"",$E36*$F36)</f>
        <v/>
      </c>
      <c r="H36" s="21"/>
      <c r="I36" s="22" t="str">
        <f aca="false">IF(OR($E36="",$H36=""),"",ROUND($H36*INDEX(_選單_Lists!$B$2:$B$6,MATCH($E36,_選單_Lists!$A$2:$A$6,0)),1))</f>
        <v/>
      </c>
      <c r="J36" s="19"/>
      <c r="K36" s="18"/>
      <c r="L36" s="19"/>
      <c r="M36" s="19"/>
      <c r="N36" s="19"/>
      <c r="O36" s="21"/>
      <c r="P36" s="21"/>
      <c r="Q36" s="21"/>
    </row>
    <row r="37" customFormat="false" ht="15" hidden="false" customHeight="false" outlineLevel="0" collapsed="false">
      <c r="A37" s="19"/>
      <c r="B37" s="19"/>
      <c r="C37" s="18"/>
      <c r="D37" s="19"/>
      <c r="E37" s="19"/>
      <c r="F37" s="19"/>
      <c r="G37" s="20" t="str">
        <f aca="false">IF(OR($E37="",$F37=""),"",$E37*$F37)</f>
        <v/>
      </c>
      <c r="H37" s="21"/>
      <c r="I37" s="22" t="str">
        <f aca="false">IF(OR($E37="",$H37=""),"",ROUND($H37*INDEX(_選單_Lists!$B$2:$B$6,MATCH($E37,_選單_Lists!$A$2:$A$6,0)),1))</f>
        <v/>
      </c>
      <c r="J37" s="19"/>
      <c r="K37" s="18"/>
      <c r="L37" s="19"/>
      <c r="M37" s="19"/>
      <c r="N37" s="19"/>
      <c r="O37" s="21"/>
      <c r="P37" s="21"/>
      <c r="Q37" s="21"/>
    </row>
    <row r="38" customFormat="false" ht="15" hidden="false" customHeight="false" outlineLevel="0" collapsed="false">
      <c r="A38" s="19"/>
      <c r="B38" s="19"/>
      <c r="C38" s="18"/>
      <c r="D38" s="19"/>
      <c r="E38" s="19"/>
      <c r="F38" s="19"/>
      <c r="G38" s="20" t="str">
        <f aca="false">IF(OR($E38="",$F38=""),"",$E38*$F38)</f>
        <v/>
      </c>
      <c r="H38" s="21"/>
      <c r="I38" s="22" t="str">
        <f aca="false">IF(OR($E38="",$H38=""),"",ROUND($H38*INDEX(_選單_Lists!$B$2:$B$6,MATCH($E38,_選單_Lists!$A$2:$A$6,0)),1))</f>
        <v/>
      </c>
      <c r="J38" s="19"/>
      <c r="K38" s="18"/>
      <c r="L38" s="19"/>
      <c r="M38" s="19"/>
      <c r="N38" s="19"/>
      <c r="O38" s="21"/>
      <c r="P38" s="21"/>
      <c r="Q38" s="21"/>
    </row>
    <row r="39" customFormat="false" ht="15" hidden="false" customHeight="false" outlineLevel="0" collapsed="false">
      <c r="A39" s="19"/>
      <c r="B39" s="19"/>
      <c r="C39" s="18"/>
      <c r="D39" s="19"/>
      <c r="E39" s="19"/>
      <c r="F39" s="19"/>
      <c r="G39" s="20" t="str">
        <f aca="false">IF(OR($E39="",$F39=""),"",$E39*$F39)</f>
        <v/>
      </c>
      <c r="H39" s="21"/>
      <c r="I39" s="22" t="str">
        <f aca="false">IF(OR($E39="",$H39=""),"",ROUND($H39*INDEX(_選單_Lists!$B$2:$B$6,MATCH($E39,_選單_Lists!$A$2:$A$6,0)),1))</f>
        <v/>
      </c>
      <c r="J39" s="19"/>
      <c r="K39" s="18"/>
      <c r="L39" s="19"/>
      <c r="M39" s="19"/>
      <c r="N39" s="19"/>
      <c r="O39" s="21"/>
      <c r="P39" s="21"/>
      <c r="Q39" s="21"/>
    </row>
    <row r="40" customFormat="false" ht="15" hidden="false" customHeight="false" outlineLevel="0" collapsed="false">
      <c r="A40" s="19"/>
      <c r="B40" s="19"/>
      <c r="C40" s="18"/>
      <c r="D40" s="19"/>
      <c r="E40" s="19"/>
      <c r="F40" s="19"/>
      <c r="G40" s="20" t="str">
        <f aca="false">IF(OR($E40="",$F40=""),"",$E40*$F40)</f>
        <v/>
      </c>
      <c r="H40" s="21"/>
      <c r="I40" s="22" t="str">
        <f aca="false">IF(OR($E40="",$H40=""),"",ROUND($H40*INDEX(_選單_Lists!$B$2:$B$6,MATCH($E40,_選單_Lists!$A$2:$A$6,0)),1))</f>
        <v/>
      </c>
      <c r="J40" s="19"/>
      <c r="K40" s="18"/>
      <c r="L40" s="19"/>
      <c r="M40" s="19"/>
      <c r="N40" s="19"/>
      <c r="O40" s="21"/>
      <c r="P40" s="21"/>
      <c r="Q40" s="21"/>
    </row>
    <row r="41" customFormat="false" ht="15" hidden="false" customHeight="false" outlineLevel="0" collapsed="false">
      <c r="A41" s="19"/>
      <c r="B41" s="19"/>
      <c r="C41" s="18"/>
      <c r="D41" s="19"/>
      <c r="E41" s="19"/>
      <c r="F41" s="19"/>
      <c r="G41" s="20" t="str">
        <f aca="false">IF(OR($E41="",$F41=""),"",$E41*$F41)</f>
        <v/>
      </c>
      <c r="H41" s="21"/>
      <c r="I41" s="22" t="str">
        <f aca="false">IF(OR($E41="",$H41=""),"",ROUND($H41*INDEX(_選單_Lists!$B$2:$B$6,MATCH($E41,_選單_Lists!$A$2:$A$6,0)),1))</f>
        <v/>
      </c>
      <c r="J41" s="19"/>
      <c r="K41" s="18"/>
      <c r="L41" s="19"/>
      <c r="M41" s="19"/>
      <c r="N41" s="19"/>
      <c r="O41" s="21"/>
      <c r="P41" s="21"/>
      <c r="Q41" s="21"/>
    </row>
    <row r="42" customFormat="false" ht="15" hidden="false" customHeight="false" outlineLevel="0" collapsed="false">
      <c r="A42" s="19"/>
      <c r="B42" s="19"/>
      <c r="C42" s="18"/>
      <c r="D42" s="19"/>
      <c r="E42" s="19"/>
      <c r="F42" s="19"/>
      <c r="G42" s="20" t="str">
        <f aca="false">IF(OR($E42="",$F42=""),"",$E42*$F42)</f>
        <v/>
      </c>
      <c r="H42" s="21"/>
      <c r="I42" s="22" t="str">
        <f aca="false">IF(OR($E42="",$H42=""),"",ROUND($H42*INDEX(_選單_Lists!$B$2:$B$6,MATCH($E42,_選單_Lists!$A$2:$A$6,0)),1))</f>
        <v/>
      </c>
      <c r="J42" s="19"/>
      <c r="K42" s="18"/>
      <c r="L42" s="19"/>
      <c r="M42" s="19"/>
      <c r="N42" s="19"/>
      <c r="O42" s="21"/>
      <c r="P42" s="21"/>
      <c r="Q42" s="21"/>
    </row>
    <row r="43" customFormat="false" ht="15" hidden="false" customHeight="false" outlineLevel="0" collapsed="false">
      <c r="A43" s="19"/>
      <c r="B43" s="19"/>
      <c r="C43" s="18"/>
      <c r="D43" s="19"/>
      <c r="E43" s="19"/>
      <c r="F43" s="19"/>
      <c r="G43" s="20" t="str">
        <f aca="false">IF(OR($E43="",$F43=""),"",$E43*$F43)</f>
        <v/>
      </c>
      <c r="H43" s="21"/>
      <c r="I43" s="22" t="str">
        <f aca="false">IF(OR($E43="",$H43=""),"",ROUND($H43*INDEX(_選單_Lists!$B$2:$B$6,MATCH($E43,_選單_Lists!$A$2:$A$6,0)),1))</f>
        <v/>
      </c>
      <c r="J43" s="19"/>
      <c r="K43" s="18"/>
      <c r="L43" s="19"/>
      <c r="M43" s="19"/>
      <c r="N43" s="19"/>
      <c r="O43" s="21"/>
      <c r="P43" s="21"/>
      <c r="Q43" s="21"/>
    </row>
    <row r="44" customFormat="false" ht="15" hidden="false" customHeight="false" outlineLevel="0" collapsed="false">
      <c r="A44" s="19"/>
      <c r="B44" s="19"/>
      <c r="C44" s="18"/>
      <c r="D44" s="19"/>
      <c r="E44" s="19"/>
      <c r="F44" s="19"/>
      <c r="G44" s="20" t="str">
        <f aca="false">IF(OR($E44="",$F44=""),"",$E44*$F44)</f>
        <v/>
      </c>
      <c r="H44" s="21"/>
      <c r="I44" s="22" t="str">
        <f aca="false">IF(OR($E44="",$H44=""),"",ROUND($H44*INDEX(_選單_Lists!$B$2:$B$6,MATCH($E44,_選單_Lists!$A$2:$A$6,0)),1))</f>
        <v/>
      </c>
      <c r="J44" s="19"/>
      <c r="K44" s="18"/>
      <c r="L44" s="19"/>
      <c r="M44" s="19"/>
      <c r="N44" s="19"/>
      <c r="O44" s="21"/>
      <c r="P44" s="21"/>
      <c r="Q44" s="21"/>
    </row>
    <row r="45" customFormat="false" ht="15" hidden="false" customHeight="false" outlineLevel="0" collapsed="false">
      <c r="A45" s="19"/>
      <c r="B45" s="19"/>
      <c r="C45" s="18"/>
      <c r="D45" s="19"/>
      <c r="E45" s="19"/>
      <c r="F45" s="19"/>
      <c r="G45" s="20" t="str">
        <f aca="false">IF(OR($E45="",$F45=""),"",$E45*$F45)</f>
        <v/>
      </c>
      <c r="H45" s="21"/>
      <c r="I45" s="22" t="str">
        <f aca="false">IF(OR($E45="",$H45=""),"",ROUND($H45*INDEX(_選單_Lists!$B$2:$B$6,MATCH($E45,_選單_Lists!$A$2:$A$6,0)),1))</f>
        <v/>
      </c>
      <c r="J45" s="19"/>
      <c r="K45" s="18"/>
      <c r="L45" s="19"/>
      <c r="M45" s="19"/>
      <c r="N45" s="19"/>
      <c r="O45" s="21"/>
      <c r="P45" s="21"/>
      <c r="Q45" s="21"/>
    </row>
    <row r="46" customFormat="false" ht="15" hidden="false" customHeight="false" outlineLevel="0" collapsed="false">
      <c r="A46" s="19"/>
      <c r="B46" s="19"/>
      <c r="C46" s="18"/>
      <c r="D46" s="19"/>
      <c r="E46" s="19"/>
      <c r="F46" s="19"/>
      <c r="G46" s="20" t="str">
        <f aca="false">IF(OR($E46="",$F46=""),"",$E46*$F46)</f>
        <v/>
      </c>
      <c r="H46" s="21"/>
      <c r="I46" s="22" t="str">
        <f aca="false">IF(OR($E46="",$H46=""),"",ROUND($H46*INDEX(_選單_Lists!$B$2:$B$6,MATCH($E46,_選單_Lists!$A$2:$A$6,0)),1))</f>
        <v/>
      </c>
      <c r="J46" s="19"/>
      <c r="K46" s="18"/>
      <c r="L46" s="19"/>
      <c r="M46" s="19"/>
      <c r="N46" s="19"/>
      <c r="O46" s="21"/>
      <c r="P46" s="21"/>
      <c r="Q46" s="21"/>
    </row>
    <row r="47" customFormat="false" ht="15" hidden="false" customHeight="false" outlineLevel="0" collapsed="false">
      <c r="A47" s="19"/>
      <c r="B47" s="19"/>
      <c r="C47" s="18"/>
      <c r="D47" s="19"/>
      <c r="E47" s="19"/>
      <c r="F47" s="19"/>
      <c r="G47" s="20" t="str">
        <f aca="false">IF(OR($E47="",$F47=""),"",$E47*$F47)</f>
        <v/>
      </c>
      <c r="H47" s="21"/>
      <c r="I47" s="22" t="str">
        <f aca="false">IF(OR($E47="",$H47=""),"",ROUND($H47*INDEX(_選單_Lists!$B$2:$B$6,MATCH($E47,_選單_Lists!$A$2:$A$6,0)),1))</f>
        <v/>
      </c>
      <c r="J47" s="19"/>
      <c r="K47" s="18"/>
      <c r="L47" s="19"/>
      <c r="M47" s="19"/>
      <c r="N47" s="19"/>
      <c r="O47" s="21"/>
      <c r="P47" s="21"/>
      <c r="Q47" s="21"/>
    </row>
    <row r="48" customFormat="false" ht="15" hidden="false" customHeight="false" outlineLevel="0" collapsed="false">
      <c r="A48" s="19"/>
      <c r="B48" s="19"/>
      <c r="C48" s="18"/>
      <c r="D48" s="19"/>
      <c r="E48" s="19"/>
      <c r="F48" s="19"/>
      <c r="G48" s="20" t="str">
        <f aca="false">IF(OR($E48="",$F48=""),"",$E48*$F48)</f>
        <v/>
      </c>
      <c r="H48" s="21"/>
      <c r="I48" s="22" t="str">
        <f aca="false">IF(OR($E48="",$H48=""),"",ROUND($H48*INDEX(_選單_Lists!$B$2:$B$6,MATCH($E48,_選單_Lists!$A$2:$A$6,0)),1))</f>
        <v/>
      </c>
      <c r="J48" s="19"/>
      <c r="K48" s="18"/>
      <c r="L48" s="19"/>
      <c r="M48" s="19"/>
      <c r="N48" s="19"/>
      <c r="O48" s="21"/>
      <c r="P48" s="21"/>
      <c r="Q48" s="21"/>
    </row>
    <row r="49" customFormat="false" ht="15" hidden="false" customHeight="false" outlineLevel="0" collapsed="false">
      <c r="A49" s="19"/>
      <c r="B49" s="19"/>
      <c r="C49" s="18"/>
      <c r="D49" s="19"/>
      <c r="E49" s="19"/>
      <c r="F49" s="19"/>
      <c r="G49" s="20" t="str">
        <f aca="false">IF(OR($E49="",$F49=""),"",$E49*$F49)</f>
        <v/>
      </c>
      <c r="H49" s="21"/>
      <c r="I49" s="22" t="str">
        <f aca="false">IF(OR($E49="",$H49=""),"",ROUND($H49*INDEX(_選單_Lists!$B$2:$B$6,MATCH($E49,_選單_Lists!$A$2:$A$6,0)),1))</f>
        <v/>
      </c>
      <c r="J49" s="19"/>
      <c r="K49" s="18"/>
      <c r="L49" s="19"/>
      <c r="M49" s="19"/>
      <c r="N49" s="19"/>
      <c r="O49" s="21"/>
      <c r="P49" s="21"/>
      <c r="Q49" s="21"/>
    </row>
    <row r="50" customFormat="false" ht="15" hidden="false" customHeight="false" outlineLevel="0" collapsed="false">
      <c r="A50" s="19"/>
      <c r="B50" s="19"/>
      <c r="C50" s="18"/>
      <c r="D50" s="19"/>
      <c r="E50" s="19"/>
      <c r="F50" s="19"/>
      <c r="G50" s="20" t="str">
        <f aca="false">IF(OR($E50="",$F50=""),"",$E50*$F50)</f>
        <v/>
      </c>
      <c r="H50" s="21"/>
      <c r="I50" s="22" t="str">
        <f aca="false">IF(OR($E50="",$H50=""),"",ROUND($H50*INDEX(_選單_Lists!$B$2:$B$6,MATCH($E50,_選單_Lists!$A$2:$A$6,0)),1))</f>
        <v/>
      </c>
      <c r="J50" s="19"/>
      <c r="K50" s="18"/>
      <c r="L50" s="19"/>
      <c r="M50" s="19"/>
      <c r="N50" s="19"/>
      <c r="O50" s="21"/>
      <c r="P50" s="21"/>
      <c r="Q50" s="21"/>
    </row>
    <row r="51" customFormat="false" ht="15" hidden="false" customHeight="false" outlineLevel="0" collapsed="false">
      <c r="A51" s="19"/>
      <c r="B51" s="19"/>
      <c r="C51" s="18"/>
      <c r="D51" s="19"/>
      <c r="E51" s="19"/>
      <c r="F51" s="19"/>
      <c r="G51" s="20" t="str">
        <f aca="false">IF(OR($E51="",$F51=""),"",$E51*$F51)</f>
        <v/>
      </c>
      <c r="H51" s="21"/>
      <c r="I51" s="22" t="str">
        <f aca="false">IF(OR($E51="",$H51=""),"",ROUND($H51*INDEX(_選單_Lists!$B$2:$B$6,MATCH($E51,_選單_Lists!$A$2:$A$6,0)),1))</f>
        <v/>
      </c>
      <c r="J51" s="19"/>
      <c r="K51" s="18"/>
      <c r="L51" s="19"/>
      <c r="M51" s="19"/>
      <c r="N51" s="19"/>
      <c r="O51" s="21"/>
      <c r="P51" s="21"/>
      <c r="Q51" s="21"/>
    </row>
    <row r="52" customFormat="false" ht="15" hidden="false" customHeight="false" outlineLevel="0" collapsed="false">
      <c r="A52" s="19"/>
      <c r="B52" s="19"/>
      <c r="C52" s="18"/>
      <c r="D52" s="19"/>
      <c r="E52" s="19"/>
      <c r="F52" s="19"/>
      <c r="G52" s="20" t="str">
        <f aca="false">IF(OR($E52="",$F52=""),"",$E52*$F52)</f>
        <v/>
      </c>
      <c r="H52" s="21"/>
      <c r="I52" s="22" t="str">
        <f aca="false">IF(OR($E52="",$H52=""),"",ROUND($H52*INDEX(_選單_Lists!$B$2:$B$6,MATCH($E52,_選單_Lists!$A$2:$A$6,0)),1))</f>
        <v/>
      </c>
      <c r="J52" s="19"/>
      <c r="K52" s="18"/>
      <c r="L52" s="19"/>
      <c r="M52" s="19"/>
      <c r="N52" s="19"/>
      <c r="O52" s="21"/>
      <c r="P52" s="21"/>
      <c r="Q52" s="21"/>
    </row>
    <row r="53" customFormat="false" ht="15" hidden="false" customHeight="false" outlineLevel="0" collapsed="false">
      <c r="A53" s="19"/>
      <c r="B53" s="19"/>
      <c r="C53" s="18"/>
      <c r="D53" s="19"/>
      <c r="E53" s="19"/>
      <c r="F53" s="19"/>
      <c r="G53" s="20" t="str">
        <f aca="false">IF(OR($E53="",$F53=""),"",$E53*$F53)</f>
        <v/>
      </c>
      <c r="H53" s="21"/>
      <c r="I53" s="22" t="str">
        <f aca="false">IF(OR($E53="",$H53=""),"",ROUND($H53*INDEX(_選單_Lists!$B$2:$B$6,MATCH($E53,_選單_Lists!$A$2:$A$6,0)),1))</f>
        <v/>
      </c>
      <c r="J53" s="19"/>
      <c r="K53" s="18"/>
      <c r="L53" s="19"/>
      <c r="M53" s="19"/>
      <c r="N53" s="19"/>
      <c r="O53" s="21"/>
      <c r="P53" s="21"/>
      <c r="Q53" s="21"/>
    </row>
    <row r="54" customFormat="false" ht="15" hidden="false" customHeight="false" outlineLevel="0" collapsed="false">
      <c r="A54" s="19"/>
      <c r="B54" s="19"/>
      <c r="C54" s="18"/>
      <c r="D54" s="19"/>
      <c r="E54" s="19"/>
      <c r="F54" s="19"/>
      <c r="G54" s="20" t="str">
        <f aca="false">IF(OR($E54="",$F54=""),"",$E54*$F54)</f>
        <v/>
      </c>
      <c r="H54" s="21"/>
      <c r="I54" s="22" t="str">
        <f aca="false">IF(OR($E54="",$H54=""),"",ROUND($H54*INDEX(_選單_Lists!$B$2:$B$6,MATCH($E54,_選單_Lists!$A$2:$A$6,0)),1))</f>
        <v/>
      </c>
      <c r="J54" s="19"/>
      <c r="K54" s="18"/>
      <c r="L54" s="19"/>
      <c r="M54" s="19"/>
      <c r="N54" s="19"/>
      <c r="O54" s="21"/>
      <c r="P54" s="21"/>
      <c r="Q54" s="21"/>
    </row>
  </sheetData>
  <autoFilter ref="A4:Q54"/>
  <dataValidations count="3">
    <dataValidation allowBlank="true" errorStyle="stop" operator="between" showDropDown="false" showErrorMessage="false" showInputMessage="false" sqref="D5:D54" type="list">
      <formula1>_選單_Lists!$D$2:$D$8</formula1>
      <formula2>0</formula2>
    </dataValidation>
    <dataValidation allowBlank="true" errorStyle="stop" operator="between" showDropDown="false" showErrorMessage="false" showInputMessage="false" sqref="J5:J54" type="list">
      <formula1>_選單_Lists!$E$2:$E$5</formula1>
      <formula2>0</formula2>
    </dataValidation>
    <dataValidation allowBlank="true" errorStyle="stop" operator="between" showDropDown="false" showErrorMessage="false" showInputMessage="false" sqref="N5:N54" type="list">
      <formula1>_選單_Lists!$F$2:$F$4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52"/>
    <col collapsed="false" customWidth="true" hidden="false" outlineLevel="0" max="5" min="5" style="0" width="13"/>
  </cols>
  <sheetData>
    <row r="1" customFormat="false" ht="23.1" hidden="false" customHeight="false" outlineLevel="0" collapsed="false">
      <c r="A1" s="5" t="s">
        <v>83</v>
      </c>
    </row>
    <row r="2" customFormat="false" ht="15" hidden="false" customHeight="false" outlineLevel="0" collapsed="false">
      <c r="A2" s="6" t="s">
        <v>84</v>
      </c>
    </row>
    <row r="3" customFormat="false" ht="15" hidden="false" customHeight="false" outlineLevel="0" collapsed="false">
      <c r="A3" s="3" t="s">
        <v>26</v>
      </c>
      <c r="B3" s="13" t="s">
        <v>27</v>
      </c>
      <c r="C3" s="14" t="s">
        <v>28</v>
      </c>
      <c r="D3" s="15" t="s">
        <v>29</v>
      </c>
    </row>
    <row r="5" customFormat="false" ht="15" hidden="false" customHeight="false" outlineLevel="0" collapsed="false">
      <c r="B5" s="7" t="s">
        <v>85</v>
      </c>
      <c r="C5" s="24" t="s">
        <v>48</v>
      </c>
      <c r="D5" s="9"/>
    </row>
    <row r="6" customFormat="false" ht="15" hidden="false" customHeight="false" outlineLevel="0" collapsed="false">
      <c r="B6" s="7" t="s">
        <v>86</v>
      </c>
      <c r="C6" s="25" t="n">
        <v>920</v>
      </c>
      <c r="D6" s="10" t="s">
        <v>87</v>
      </c>
    </row>
    <row r="7" customFormat="false" ht="15" hidden="false" customHeight="false" outlineLevel="0" collapsed="false">
      <c r="B7" s="7" t="s">
        <v>88</v>
      </c>
      <c r="C7" s="25" t="n">
        <v>745</v>
      </c>
      <c r="D7" s="10" t="s">
        <v>89</v>
      </c>
    </row>
    <row r="8" customFormat="false" ht="15" hidden="false" customHeight="false" outlineLevel="0" collapsed="false">
      <c r="B8" s="7" t="s">
        <v>90</v>
      </c>
      <c r="C8" s="26" t="n">
        <f aca="false">C6-C7</f>
        <v>175</v>
      </c>
      <c r="D8" s="10" t="s">
        <v>91</v>
      </c>
    </row>
    <row r="10" customFormat="false" ht="15" hidden="false" customHeight="true" outlineLevel="0" collapsed="false">
      <c r="B10" s="27" t="s">
        <v>92</v>
      </c>
      <c r="C10" s="27"/>
      <c r="D10" s="27"/>
      <c r="E10" s="27"/>
    </row>
    <row r="11" customFormat="false" ht="15" hidden="false" customHeight="false" outlineLevel="0" collapsed="false">
      <c r="B11" s="27"/>
      <c r="C11" s="27"/>
      <c r="D11" s="27"/>
      <c r="E11" s="27"/>
    </row>
    <row r="12" customFormat="false" ht="15" hidden="false" customHeight="false" outlineLevel="0" collapsed="false">
      <c r="B12" s="27"/>
      <c r="C12" s="27"/>
      <c r="D12" s="27"/>
      <c r="E12" s="27"/>
    </row>
  </sheetData>
  <mergeCells count="1">
    <mergeCell ref="B10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2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9"/>
  </cols>
  <sheetData>
    <row r="1" customFormat="false" ht="30" hidden="false" customHeight="true" outlineLevel="0" collapsed="false">
      <c r="A1" s="16" t="s">
        <v>93</v>
      </c>
      <c r="B1" s="16" t="s">
        <v>94</v>
      </c>
      <c r="C1" s="16" t="s">
        <v>95</v>
      </c>
      <c r="D1" s="16" t="s">
        <v>33</v>
      </c>
      <c r="E1" s="16" t="s">
        <v>39</v>
      </c>
      <c r="F1" s="16" t="s">
        <v>43</v>
      </c>
    </row>
    <row r="2" customFormat="false" ht="15" hidden="false" customHeight="false" outlineLevel="0" collapsed="false">
      <c r="A2" s="28" t="n">
        <v>1</v>
      </c>
      <c r="B2" s="28" t="n">
        <v>0.03</v>
      </c>
      <c r="C2" s="29" t="s">
        <v>96</v>
      </c>
      <c r="D2" s="29" t="s">
        <v>50</v>
      </c>
      <c r="E2" s="29" t="s">
        <v>97</v>
      </c>
      <c r="F2" s="29" t="s">
        <v>55</v>
      </c>
    </row>
    <row r="3" customFormat="false" ht="15" hidden="false" customHeight="false" outlineLevel="0" collapsed="false">
      <c r="A3" s="29" t="n">
        <v>2</v>
      </c>
      <c r="B3" s="29" t="n">
        <v>0.12</v>
      </c>
      <c r="C3" s="29" t="s">
        <v>98</v>
      </c>
      <c r="D3" s="29" t="s">
        <v>58</v>
      </c>
      <c r="E3" s="29" t="s">
        <v>51</v>
      </c>
      <c r="F3" s="29" t="s">
        <v>99</v>
      </c>
    </row>
    <row r="4" customFormat="false" ht="15" hidden="false" customHeight="false" outlineLevel="0" collapsed="false">
      <c r="A4" s="29" t="n">
        <v>3</v>
      </c>
      <c r="B4" s="29" t="n">
        <v>0.35</v>
      </c>
      <c r="C4" s="29" t="s">
        <v>100</v>
      </c>
      <c r="D4" s="29" t="s">
        <v>68</v>
      </c>
      <c r="E4" s="29" t="s">
        <v>59</v>
      </c>
      <c r="F4" s="29" t="s">
        <v>101</v>
      </c>
    </row>
    <row r="5" customFormat="false" ht="15" hidden="false" customHeight="false" outlineLevel="0" collapsed="false">
      <c r="A5" s="29" t="n">
        <v>4</v>
      </c>
      <c r="B5" s="29" t="n">
        <v>0.65</v>
      </c>
      <c r="C5" s="29" t="s">
        <v>102</v>
      </c>
      <c r="D5" s="29" t="s">
        <v>80</v>
      </c>
      <c r="E5" s="29" t="s">
        <v>103</v>
      </c>
    </row>
    <row r="6" customFormat="false" ht="15" hidden="false" customHeight="false" outlineLevel="0" collapsed="false">
      <c r="A6" s="29" t="n">
        <v>5</v>
      </c>
      <c r="B6" s="29" t="n">
        <v>0.9</v>
      </c>
      <c r="C6" s="29" t="s">
        <v>104</v>
      </c>
      <c r="D6" s="29" t="s">
        <v>73</v>
      </c>
    </row>
    <row r="7" customFormat="false" ht="15" hidden="false" customHeight="false" outlineLevel="0" collapsed="false">
      <c r="D7" s="29" t="s">
        <v>105</v>
      </c>
    </row>
    <row r="8" customFormat="false" ht="15" hidden="false" customHeight="false" outlineLevel="0" collapsed="false">
      <c r="D8" s="29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2026-08-18T03:15:31Z</dcterms:created>
  <dc:creator>openpyxl</dc:creator>
  <dc:description/>
  <dc:language>en-US</dc:language>
  <cp:lastModifiedBy/>
  <dcterms:modified xsi:type="dcterms:W3CDTF">2026-08-18T03:15:31Z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