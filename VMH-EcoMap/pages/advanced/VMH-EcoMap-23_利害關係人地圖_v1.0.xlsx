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_ReadMe" sheetId="1" state="visible" r:id="rId3"/>
    <sheet name="00_四象限儀表板_Dashboard" sheetId="2" state="visible" r:id="rId4"/>
    <sheet name="01_對象登錄_Register" sheetId="3" state="visible" r:id="rId5"/>
    <sheet name="02_經營行動_Actions" sheetId="4" state="visible" r:id="rId6"/>
    <sheet name="_選單_Lists" sheetId="5" state="visible" r:id="rId7"/>
  </sheets>
  <definedNames>
    <definedName function="false" hidden="true" localSheetId="2" name="_xlnm._FilterDatabase" vbProcedure="false">01_對象登錄_Register!$A$4:$M$60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<sst xmlns="http://schemas.openxmlformats.org/spreadsheetml/2006/main" count="120" uniqueCount="98">
  <si>
    <r>
      <rPr>
        <b val="true"/>
        <sz val="15"/>
        <color rgb="FF1F3864"/>
        <rFont val="Arial"/>
        <family val="0"/>
        <charset val="1"/>
      </rPr>
      <t xml:space="preserve">VMH-EcoMap-23 </t>
    </r>
    <r>
      <rPr>
        <b val="true"/>
        <sz val="15"/>
        <color rgb="FF1F3864"/>
        <rFont val="Noto Sans CJK SC"/>
        <family val="2"/>
      </rPr>
      <t xml:space="preserve">利害關係人地圖｜使用說明</t>
    </r>
  </si>
  <si>
    <r>
      <rPr>
        <sz val="10"/>
        <color rgb="FF6B7280"/>
        <rFont val="Arial"/>
        <family val="0"/>
        <charset val="1"/>
      </rPr>
      <t xml:space="preserve">P2 </t>
    </r>
    <r>
      <rPr>
        <sz val="10"/>
        <color rgb="FF6B7280"/>
        <rFont val="Noto Sans CJK SC"/>
        <family val="2"/>
      </rPr>
      <t xml:space="preserve">評估決策工具・★★ 全系列最敏感檔案</t>
    </r>
  </si>
  <si>
    <t xml:space="preserve">★★ 機敏等級：最高。本檔內含對真實人物的影響力與立場評價。
規則一：填入真實人名後，本檔永不上傳到任何網站（包括進階專區）、永不放進網站上傳包。
規則二：檔名不要含醫院全名（用代號），傳遞只走公司內部管道。
規則三：評語欄寫「行為證據」不寫人身評論——這份檔案哪天被看到，也應該是一份專業的紀錄。</t>
  </si>
  <si>
    <t xml:space="preserve">■ 這個工具在回答什麼</t>
  </si>
  <si>
    <t xml:space="preserve">越南公立醫院的採購決策不是一個人說了算：院長、副院長、設備科、財務、衛生廳、省人委會……每個環節都可能推一把或卡一下。
這張圖把「誰有影響力、誰站在哪邊、我們有沒有人能跟他說上話」變成可以盤點、可以交接的結構化資料——
關係不再是某個業務腦子裡的隱性知識，人走了知識還在。</t>
  </si>
  <si>
    <t xml:space="preserve">■ 評分規則（最重要的一節）</t>
  </si>
  <si>
    <r>
      <rPr>
        <sz val="10"/>
        <rFont val="Noto Sans CJK SC"/>
        <family val="2"/>
      </rPr>
      <t xml:space="preserve">影響力 </t>
    </r>
    <r>
      <rPr>
        <sz val="10"/>
        <rFont val="Arial"/>
        <family val="0"/>
        <charset val="1"/>
      </rPr>
      <t xml:space="preserve">1–5</t>
    </r>
    <r>
      <rPr>
        <sz val="10"/>
        <rFont val="Noto Sans CJK SC"/>
        <family val="2"/>
      </rPr>
      <t xml:space="preserve">：看職位與否決權，不看頭銜大小。能單獨擋下案子的人＝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；需要會簽的＝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；只能表達意見的＝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。
支持度 −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+2</t>
    </r>
    <r>
      <rPr>
        <sz val="10"/>
        <rFont val="Noto Sans CJK SC"/>
        <family val="2"/>
      </rPr>
      <t xml:space="preserve">：只看行為證據，不看客套話。主動幫我們排會議＝</t>
    </r>
    <r>
      <rPr>
        <sz val="10"/>
        <rFont val="Arial"/>
        <family val="0"/>
        <charset val="1"/>
      </rPr>
      <t xml:space="preserve">+2</t>
    </r>
    <r>
      <rPr>
        <sz val="10"/>
        <rFont val="Noto Sans CJK SC"/>
        <family val="2"/>
      </rPr>
      <t xml:space="preserve">；口頭說好但從不行動＝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；提出書面反對＝−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。
每季重評一次；評分變動時在「異動紀錄」欄註記原因。</t>
    </r>
  </si>
  <si>
    <t xml:space="preserve">■ 四象限的行動含義</t>
  </si>
  <si>
    <r>
      <rPr>
        <sz val="10"/>
        <rFont val="Noto Sans CJK SC"/>
        <family val="2"/>
      </rPr>
      <t xml:space="preserve">高影響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高支持（右上）＝守住：定期互動，讓他持續有理由挺你。
高影響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低支持（左上）＝重點經營：找出他反對的真原因，用他在乎的東西說話。
低影響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高支持（右下）＝借力：請他引薦、發聲，但別把資源全押在這。
低影響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低支持（左下）＝保持知情即可，別花大錢。</t>
    </r>
  </si>
  <si>
    <t xml:space="preserve">■ 與其他工具的銜接</t>
  </si>
  <si>
    <r>
      <rPr>
        <sz val="10"/>
        <rFont val="Noto Sans CJK SC"/>
        <family val="2"/>
      </rPr>
      <t xml:space="preserve">對象掛在機構下，機構名與 </t>
    </r>
    <r>
      <rPr>
        <sz val="10"/>
        <rFont val="Arial"/>
        <family val="0"/>
        <charset val="1"/>
      </rPr>
      <t xml:space="preserve">14 </t>
    </r>
    <r>
      <rPr>
        <sz val="10"/>
        <rFont val="Noto Sans CJK SC"/>
        <family val="2"/>
      </rPr>
      <t xml:space="preserve">號作戰檔案、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號漏斗的客戶欄一致。
關鍵人物變動（如省合併後對口換人）→ 到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號把受影響案件的卡關原因補上。
「關鍵人覆蓋率」低的機構，先別投大案——這是 </t>
    </r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號投標決策的前置檢查之一。</t>
    </r>
  </si>
  <si>
    <r>
      <rPr>
        <b val="true"/>
        <sz val="15"/>
        <color rgb="FF1F3864"/>
        <rFont val="Noto Sans CJK SC"/>
        <family val="2"/>
      </rPr>
      <t xml:space="preserve">四象限儀表板｜</t>
    </r>
    <r>
      <rPr>
        <b val="true"/>
        <sz val="15"/>
        <color rgb="FF1F3864"/>
        <rFont val="Arial"/>
        <family val="0"/>
        <charset val="1"/>
      </rPr>
      <t xml:space="preserve">Dashboard</t>
    </r>
    <r>
      <rPr>
        <b val="true"/>
        <sz val="15"/>
        <color rgb="FF1F3864"/>
        <rFont val="Noto Sans CJK SC"/>
        <family val="2"/>
      </rPr>
      <t xml:space="preserve">（自動；泡泡圖請開 </t>
    </r>
    <r>
      <rPr>
        <b val="true"/>
        <sz val="15"/>
        <color rgb="FF1F3864"/>
        <rFont val="Arial"/>
        <family val="0"/>
        <charset val="1"/>
      </rPr>
      <t xml:space="preserve">HTML </t>
    </r>
    <r>
      <rPr>
        <b val="true"/>
        <sz val="15"/>
        <color rgb="FF1F3864"/>
        <rFont val="Noto Sans CJK SC"/>
        <family val="2"/>
      </rPr>
      <t xml:space="preserve">版看）</t>
    </r>
  </si>
  <si>
    <t xml:space="preserve">❓這頁在回答：整體關係盤面健康嗎？哪家機構最需要補對口？</t>
  </si>
  <si>
    <t xml:space="preserve">登錄對象數</t>
  </si>
  <si>
    <r>
      <rPr>
        <sz val="10"/>
        <rFont val="Noto Sans CJK SC"/>
        <family val="2"/>
      </rPr>
      <t xml:space="preserve">關鍵人數（影響力≥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）</t>
    </r>
  </si>
  <si>
    <t xml:space="preserve">能推動或擋下案子的人</t>
  </si>
  <si>
    <t xml:space="preserve">關鍵人覆蓋率</t>
  </si>
  <si>
    <r>
      <rPr>
        <sz val="9"/>
        <color rgb="FF6B7280"/>
        <rFont val="Noto Sans CJK SC"/>
        <family val="2"/>
      </rPr>
      <t xml:space="preserve">★ 關鍵人裡有我方對口的比例——低於 </t>
    </r>
    <r>
      <rPr>
        <sz val="9"/>
        <color rgb="FF6B7280"/>
        <rFont val="Arial"/>
        <family val="0"/>
        <charset val="1"/>
      </rPr>
      <t xml:space="preserve">60% </t>
    </r>
    <r>
      <rPr>
        <sz val="9"/>
        <color rgb="FF6B7280"/>
        <rFont val="Noto Sans CJK SC"/>
        <family val="2"/>
      </rPr>
      <t xml:space="preserve">先別投大案</t>
    </r>
  </si>
  <si>
    <t xml:space="preserve">高影響反對者</t>
  </si>
  <si>
    <t xml:space="preserve">左上象限，重點經營對象</t>
  </si>
  <si>
    <r>
      <rPr>
        <sz val="10"/>
        <rFont val="Arial"/>
        <family val="0"/>
        <charset val="1"/>
      </rPr>
      <t xml:space="preserve">90 </t>
    </r>
    <r>
      <rPr>
        <sz val="10"/>
        <rFont val="Noto Sans CJK SC"/>
        <family val="2"/>
      </rPr>
      <t xml:space="preserve">天未互動的關鍵人</t>
    </r>
  </si>
  <si>
    <t xml:space="preserve">關係會過期，跟情報一樣</t>
  </si>
  <si>
    <t xml:space="preserve">四象限人數</t>
  </si>
  <si>
    <r>
      <rPr>
        <sz val="10"/>
        <rFont val="Noto Sans CJK SC"/>
        <family val="2"/>
      </rPr>
      <t xml:space="preserve">重點經營（高影響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反對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中立）</t>
    </r>
  </si>
  <si>
    <r>
      <rPr>
        <sz val="10"/>
        <rFont val="Noto Sans CJK SC"/>
        <family val="2"/>
      </rPr>
      <t xml:space="preserve">守住（高影響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支持）</t>
    </r>
  </si>
  <si>
    <r>
      <rPr>
        <sz val="10"/>
        <rFont val="Noto Sans CJK SC"/>
        <family val="2"/>
      </rPr>
      <t xml:space="preserve">借力（低影響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支持）</t>
    </r>
  </si>
  <si>
    <r>
      <rPr>
        <sz val="10"/>
        <rFont val="Noto Sans CJK SC"/>
        <family val="2"/>
      </rPr>
      <t xml:space="preserve">保持知情（低影響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反對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中立）</t>
    </r>
  </si>
  <si>
    <r>
      <rPr>
        <b val="true"/>
        <sz val="15"/>
        <color rgb="FF1F3864"/>
        <rFont val="Noto Sans CJK SC"/>
        <family val="2"/>
      </rPr>
      <t xml:space="preserve">對象登錄｜</t>
    </r>
    <r>
      <rPr>
        <b val="true"/>
        <sz val="15"/>
        <color rgb="FF1F3864"/>
        <rFont val="Arial"/>
        <family val="0"/>
        <charset val="1"/>
      </rPr>
      <t xml:space="preserve">Register</t>
    </r>
    <r>
      <rPr>
        <b val="true"/>
        <sz val="15"/>
        <color rgb="FF1F3864"/>
        <rFont val="Noto Sans CJK SC"/>
        <family val="2"/>
      </rPr>
      <t xml:space="preserve">（一個人一列；範例全為虛構）</t>
    </r>
  </si>
  <si>
    <t xml:space="preserve">❓這頁在回答：這家機構誰有影響力？誰站在哪邊？我們的對口是誰？</t>
  </si>
  <si>
    <t xml:space="preserve">圖例：</t>
  </si>
  <si>
    <t xml:space="preserve">　要填　</t>
  </si>
  <si>
    <t xml:space="preserve">　自動　</t>
  </si>
  <si>
    <t xml:space="preserve">（範例列全為虛構人物，參考後請刪除）</t>
  </si>
  <si>
    <r>
      <rPr>
        <b val="true"/>
        <sz val="10"/>
        <color rgb="FFFFFFFF"/>
        <rFont val="Noto Sans CJK SC"/>
        <family val="2"/>
      </rPr>
      <t xml:space="preserve">對象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</si>
  <si>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機構</t>
  </si>
  <si>
    <t xml:space="preserve">職位／角色</t>
  </si>
  <si>
    <r>
      <rPr>
        <b val="true"/>
        <sz val="10"/>
        <color rgb="FFFFFFFF"/>
        <rFont val="Noto Sans CJK SC"/>
        <family val="2"/>
      </rPr>
      <t xml:space="preserve">影響力</t>
    </r>
    <r>
      <rPr>
        <b val="true"/>
        <sz val="10"/>
        <color rgb="FFFFFFFF"/>
        <rFont val="Arial"/>
        <family val="0"/>
        <charset val="1"/>
      </rPr>
      <t xml:space="preserve">(1-5)</t>
    </r>
  </si>
  <si>
    <r>
      <rPr>
        <b val="true"/>
        <sz val="10"/>
        <color rgb="FFFFFFFF"/>
        <rFont val="Noto Sans CJK SC"/>
        <family val="2"/>
      </rPr>
      <t xml:space="preserve">支持度</t>
    </r>
    <r>
      <rPr>
        <b val="true"/>
        <sz val="10"/>
        <color rgb="FFFFFFFF"/>
        <rFont val="Arial"/>
        <family val="0"/>
        <charset val="1"/>
      </rPr>
      <t xml:space="preserve">(-2~+2)</t>
    </r>
  </si>
  <si>
    <t xml:space="preserve">我方對口</t>
  </si>
  <si>
    <t xml:space="preserve">關係強度</t>
  </si>
  <si>
    <t xml:space="preserve">最近互動日</t>
  </si>
  <si>
    <t xml:space="preserve">互動頻率</t>
  </si>
  <si>
    <t xml:space="preserve">在乎什麼（用他的語言）</t>
  </si>
  <si>
    <t xml:space="preserve">行為證據（支持度依據）</t>
  </si>
  <si>
    <t xml:space="preserve">異動紀錄</t>
  </si>
  <si>
    <r>
      <rPr>
        <b val="true"/>
        <sz val="10"/>
        <color rgb="FFFFFFFF"/>
        <rFont val="Noto Sans CJK SC"/>
        <family val="2"/>
      </rPr>
      <t xml:space="preserve">關聯案件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</si>
  <si>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SH-001</t>
  </si>
  <si>
    <r>
      <rPr>
        <sz val="10"/>
        <rFont val="Noto Sans CJK SC"/>
        <family val="2"/>
      </rPr>
      <t xml:space="preserve">（虛構）河內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醫院</t>
    </r>
  </si>
  <si>
    <t xml:space="preserve">院長</t>
  </si>
  <si>
    <t xml:space="preserve">陳</t>
  </si>
  <si>
    <t xml:space="preserve">中</t>
  </si>
  <si>
    <t xml:space="preserve">2026-08-01</t>
  </si>
  <si>
    <t xml:space="preserve">每月</t>
  </si>
  <si>
    <t xml:space="preserve">醫院評鑑等級與國際聲譽</t>
  </si>
  <si>
    <t xml:space="preserve">主動介紹設備科主任給我們</t>
  </si>
  <si>
    <t xml:space="preserve">SH-002</t>
  </si>
  <si>
    <t xml:space="preserve">設備科主任</t>
  </si>
  <si>
    <t xml:space="preserve">林</t>
  </si>
  <si>
    <t xml:space="preserve">強</t>
  </si>
  <si>
    <t xml:space="preserve">2026-08-10</t>
  </si>
  <si>
    <t xml:space="preserve">每週</t>
  </si>
  <si>
    <t xml:space="preserve">採購流程不出錯、驗收順利</t>
  </si>
  <si>
    <t xml:space="preserve">把內部預算時程主動告訴我們</t>
  </si>
  <si>
    <t xml:space="preserve">P-001</t>
  </si>
  <si>
    <t xml:space="preserve">SH-003</t>
  </si>
  <si>
    <t xml:space="preserve">財務副院長</t>
  </si>
  <si>
    <t xml:space="preserve">—</t>
  </si>
  <si>
    <t xml:space="preserve">無</t>
  </si>
  <si>
    <t xml:space="preserve">——</t>
  </si>
  <si>
    <t xml:space="preserve">預算紀律、避免審計問題</t>
  </si>
  <si>
    <t xml:space="preserve">上次會議質疑外商維護成本</t>
  </si>
  <si>
    <t xml:space="preserve">★ 尚無對口，關鍵缺口</t>
  </si>
  <si>
    <t xml:space="preserve">SH-004</t>
  </si>
  <si>
    <r>
      <rPr>
        <sz val="10"/>
        <rFont val="Noto Sans CJK SC"/>
        <family val="2"/>
      </rPr>
      <t xml:space="preserve">（虛構）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省衛生廳</t>
    </r>
  </si>
  <si>
    <t xml:space="preserve">計畫處長</t>
  </si>
  <si>
    <t xml:space="preserve">王</t>
  </si>
  <si>
    <t xml:space="preserve">弱</t>
  </si>
  <si>
    <t xml:space="preserve">2026-06-20</t>
  </si>
  <si>
    <t xml:space="preserve">每季</t>
  </si>
  <si>
    <t xml:space="preserve">政績可見度、不擔風險</t>
  </si>
  <si>
    <t xml:space="preserve">中立觀望，索取了簡報未回覆</t>
  </si>
  <si>
    <r>
      <rPr>
        <b val="true"/>
        <sz val="15"/>
        <color rgb="FF1F3864"/>
        <rFont val="Noto Sans CJK SC"/>
        <family val="2"/>
      </rPr>
      <t xml:space="preserve">經營行動｜</t>
    </r>
    <r>
      <rPr>
        <b val="true"/>
        <sz val="15"/>
        <color rgb="FF1F3864"/>
        <rFont val="Arial"/>
        <family val="0"/>
        <charset val="1"/>
      </rPr>
      <t xml:space="preserve">Actions</t>
    </r>
    <r>
      <rPr>
        <b val="true"/>
        <sz val="15"/>
        <color rgb="FF1F3864"/>
        <rFont val="Noto Sans CJK SC"/>
        <family val="2"/>
      </rPr>
      <t xml:space="preserve">（每個重點對象要有下一步）</t>
    </r>
  </si>
  <si>
    <t xml:space="preserve">❓這頁在回答：這一季，誰去見誰、談什麼、要達成什麼？</t>
  </si>
  <si>
    <t xml:space="preserve">行動內容</t>
  </si>
  <si>
    <t xml:space="preserve">目的</t>
  </si>
  <si>
    <t xml:space="preserve">負責人</t>
  </si>
  <si>
    <t xml:space="preserve">預定日</t>
  </si>
  <si>
    <t xml:space="preserve">狀態</t>
  </si>
  <si>
    <t xml:space="preserve">結果紀錄</t>
  </si>
  <si>
    <r>
      <rPr>
        <sz val="10"/>
        <rFont val="Noto Sans CJK SC"/>
        <family val="2"/>
      </rPr>
      <t xml:space="preserve">安排財務背景的顧問拜會，帶 </t>
    </r>
    <r>
      <rPr>
        <sz val="10"/>
        <rFont val="Arial"/>
        <family val="0"/>
        <charset val="1"/>
      </rPr>
      <t xml:space="preserve">TCO </t>
    </r>
    <r>
      <rPr>
        <sz val="10"/>
        <rFont val="Noto Sans CJK SC"/>
        <family val="2"/>
      </rPr>
      <t xml:space="preserve">比較資料</t>
    </r>
  </si>
  <si>
    <t xml:space="preserve">化解維護成本疑慮，至少轉為中立</t>
  </si>
  <si>
    <t xml:space="preserve">2026-09-15</t>
  </si>
  <si>
    <t xml:space="preserve">規劃中</t>
  </si>
  <si>
    <t xml:space="preserve">行動狀態</t>
  </si>
  <si>
    <t xml:space="preserve">進行中</t>
  </si>
  <si>
    <t xml:space="preserve">已完成</t>
  </si>
  <si>
    <t xml:space="preserve">每年</t>
  </si>
  <si>
    <t xml:space="preserve">取消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</si>
</sst>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General"/>
    <numFmt numFmtId="168" formatCode="yyyy\-mm\-dd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5"/>
      <color rgb="FF1F3864"/>
      <name val="Noto Sans CJK SC"/>
      <family val="2"/>
    </font>
    <font>
      <sz val="10"/>
      <color rgb="FF6B7280"/>
      <name val="Arial"/>
      <family val="0"/>
      <charset val="1"/>
    </font>
    <font>
      <sz val="10"/>
      <color rgb="FF6B7280"/>
      <name val="Noto Sans CJK SC"/>
      <family val="2"/>
    </font>
    <font>
      <b val="true"/>
      <sz val="10"/>
      <color rgb="FFB03A2E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color rgb="FF6B7280"/>
      <name val="Arial"/>
      <family val="0"/>
      <charset val="1"/>
    </font>
    <font>
      <sz val="9"/>
      <color rgb="FF6B7280"/>
      <name val="Noto Sans CJK SC"/>
      <family val="2"/>
    </font>
    <font>
      <b val="true"/>
      <sz val="11"/>
      <color rgb="FF1F3864"/>
      <name val="Noto Sans CJK SC"/>
      <family val="2"/>
    </font>
    <font>
      <b val="true"/>
      <sz val="11"/>
      <color rgb="FF1F3864"/>
      <name val="Arial"/>
      <family val="0"/>
      <charset val="1"/>
    </font>
    <font>
      <sz val="9"/>
      <name val="Noto Sans CJK SC"/>
      <family val="2"/>
    </font>
    <font>
      <sz val="9"/>
      <color rgb="FF55607A"/>
      <name val="Noto Sans CJK SC"/>
      <family val="2"/>
    </font>
    <font>
      <sz val="9"/>
      <color rgb="FFB03A2E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BEAEA"/>
        <bgColor rgb="FFF1F4F9"/>
      </patternFill>
    </fill>
    <fill>
      <patternFill patternType="solid">
        <fgColor rgb="FFF1F4F9"/>
        <bgColor rgb="FFFBEAEA"/>
      </patternFill>
    </fill>
    <fill>
      <patternFill patternType="solid">
        <fgColor rgb="FFFFF9E3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9E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5607A"/>
      <rgbColor rgb="FF9999FF"/>
      <rgbColor rgb="FF993366"/>
      <rgbColor rgb="FFFFF9E3"/>
      <rgbColor rgb="FFF1F4F9"/>
      <rgbColor rgb="FF660066"/>
      <rgbColor rgb="FFFF8080"/>
      <rgbColor rgb="FF0066CC"/>
      <rgbColor rgb="FFD9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A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B03A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1" customFormat="false" ht="23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75" hidden="false" customHeight="true" outlineLevel="0" collapsed="false">
      <c r="B4" s="3" t="s">
        <v>2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B7" s="3"/>
    </row>
    <row r="9" customFormat="false" ht="15" hidden="false" customHeight="false" outlineLevel="0" collapsed="false">
      <c r="B9" s="4" t="s">
        <v>3</v>
      </c>
    </row>
    <row r="10" customFormat="false" ht="60" hidden="false" customHeight="true" outlineLevel="0" collapsed="false">
      <c r="B10" s="5" t="s">
        <v>4</v>
      </c>
    </row>
    <row r="12" customFormat="false" ht="15" hidden="false" customHeight="false" outlineLevel="0" collapsed="false">
      <c r="B12" s="4" t="s">
        <v>5</v>
      </c>
    </row>
    <row r="13" customFormat="false" ht="60" hidden="false" customHeight="true" outlineLevel="0" collapsed="false">
      <c r="B13" s="5" t="s">
        <v>6</v>
      </c>
    </row>
    <row r="15" customFormat="false" ht="15" hidden="false" customHeight="false" outlineLevel="0" collapsed="false">
      <c r="B15" s="4" t="s">
        <v>7</v>
      </c>
    </row>
    <row r="16" customFormat="false" ht="75" hidden="false" customHeight="true" outlineLevel="0" collapsed="false">
      <c r="B16" s="5" t="s">
        <v>8</v>
      </c>
    </row>
    <row r="18" customFormat="false" ht="15" hidden="false" customHeight="false" outlineLevel="0" collapsed="false">
      <c r="B18" s="4" t="s">
        <v>9</v>
      </c>
    </row>
    <row r="19" customFormat="false" ht="60" hidden="false" customHeight="true" outlineLevel="0" collapsed="false">
      <c r="B19" s="5" t="s">
        <v>10</v>
      </c>
    </row>
  </sheetData>
  <mergeCells count="1">
    <mergeCell ref="B4:B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13"/>
    <col collapsed="false" customWidth="true" hidden="false" outlineLevel="0" max="5" min="5" style="0" width="42"/>
    <col collapsed="false" customWidth="true" hidden="false" outlineLevel="0" max="7" min="6" style="0" width="13"/>
  </cols>
  <sheetData>
    <row r="1" customFormat="false" ht="23.1" hidden="false" customHeight="false" outlineLevel="0" collapsed="false">
      <c r="A1" s="6" t="s">
        <v>11</v>
      </c>
    </row>
    <row r="2" customFormat="false" ht="15" hidden="false" customHeight="false" outlineLevel="0" collapsed="false">
      <c r="A2" s="7" t="s">
        <v>12</v>
      </c>
    </row>
    <row r="5" customFormat="false" ht="15" hidden="false" customHeight="false" outlineLevel="0" collapsed="false">
      <c r="B5" s="8" t="s">
        <v>13</v>
      </c>
      <c r="C5" s="9" t="n">
        <f aca="false">COUNTA(01_對象登錄_Register!$A$5:$A$60)</f>
        <v>4</v>
      </c>
      <c r="D5" s="10"/>
    </row>
    <row r="6" customFormat="false" ht="15" hidden="false" customHeight="false" outlineLevel="0" collapsed="false">
      <c r="B6" s="8" t="s">
        <v>14</v>
      </c>
      <c r="C6" s="9" t="n">
        <f aca="false">COUNTIFS(01_對象登錄_Register!$D$5:$D$60,"&gt;=4")</f>
        <v>3</v>
      </c>
      <c r="D6" s="11" t="s">
        <v>15</v>
      </c>
    </row>
    <row r="7" customFormat="false" ht="15" hidden="false" customHeight="false" outlineLevel="0" collapsed="false">
      <c r="B7" s="8" t="s">
        <v>16</v>
      </c>
      <c r="C7" s="12" t="n">
        <f aca="false">IFERROR(COUNTIFS(01_對象登錄_Register!$D$5:$D$60,"&gt;=4",01_對象登錄_Register!$F$5:$F$60,"&lt;&gt;—",01_對象登錄_Register!$F$5:$F$60,"&lt;&gt;")/COUNTIFS(01_對象登錄_Register!$D$5:$D$60,"&gt;=4"),"")</f>
        <v>0.666666666666667</v>
      </c>
      <c r="D7" s="11" t="s">
        <v>17</v>
      </c>
    </row>
    <row r="8" customFormat="false" ht="15" hidden="false" customHeight="false" outlineLevel="0" collapsed="false">
      <c r="B8" s="8" t="s">
        <v>18</v>
      </c>
      <c r="C8" s="9" t="n">
        <f aca="false">COUNTIFS(01_對象登錄_Register!$D$5:$D$60,"&gt;=4",01_對象登錄_Register!$E$5:$E$60,"&lt;0")</f>
        <v>1</v>
      </c>
      <c r="D8" s="11" t="s">
        <v>19</v>
      </c>
    </row>
    <row r="9" customFormat="false" ht="15" hidden="false" customHeight="false" outlineLevel="0" collapsed="false">
      <c r="B9" s="13" t="s">
        <v>20</v>
      </c>
      <c r="C9" s="9" t="n">
        <f aca="true">COUNTIFS(01_對象登錄_Register!$D$5:$D$60,"&gt;=4",01_對象登錄_Register!$H$5:$H$60,"&lt;"&amp;TODAY()-90,01_對象登錄_Register!$H$5:$H$60,"&lt;&gt;")</f>
        <v>0</v>
      </c>
      <c r="D9" s="11" t="s">
        <v>21</v>
      </c>
    </row>
    <row r="11" customFormat="false" ht="15" hidden="false" customHeight="false" outlineLevel="0" collapsed="false">
      <c r="B11" s="14" t="s">
        <v>22</v>
      </c>
    </row>
    <row r="12" customFormat="false" ht="15" hidden="false" customHeight="false" outlineLevel="0" collapsed="false">
      <c r="B12" s="8" t="s">
        <v>23</v>
      </c>
      <c r="C12" s="15" t="n">
        <f aca="false">COUNTIFS(01_對象登錄_Register!$D$5:$D$60,"&gt;=4",01_對象登錄_Register!$E$5:$E$60,"&lt;=0")</f>
        <v>1</v>
      </c>
    </row>
    <row r="13" customFormat="false" ht="15" hidden="false" customHeight="false" outlineLevel="0" collapsed="false">
      <c r="B13" s="8" t="s">
        <v>24</v>
      </c>
      <c r="C13" s="15" t="n">
        <f aca="false">COUNTIFS(01_對象登錄_Register!$D$5:$D$60,"&gt;=4",01_對象登錄_Register!$E$5:$E$60,"&gt;0")</f>
        <v>2</v>
      </c>
    </row>
    <row r="14" customFormat="false" ht="15" hidden="false" customHeight="false" outlineLevel="0" collapsed="false">
      <c r="B14" s="8" t="s">
        <v>25</v>
      </c>
      <c r="C14" s="15" t="n">
        <f aca="false">COUNTIFS(01_對象登錄_Register!$D$5:$D$60,"&lt;4",01_對象登錄_Register!$E$5:$E$60,"&gt;0")</f>
        <v>0</v>
      </c>
    </row>
    <row r="15" customFormat="false" ht="15" hidden="false" customHeight="false" outlineLevel="0" collapsed="false">
      <c r="B15" s="8" t="s">
        <v>26</v>
      </c>
      <c r="C15" s="15" t="n">
        <f aca="false">COUNTIFS(01_對象登錄_Register!$D$5:$D$60,"&lt;4",01_對象登錄_Register!$E$5:$E$60,"&lt;=0")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2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32"/>
    <col collapsed="false" customWidth="true" hidden="false" outlineLevel="0" max="12" min="12" style="0" width="20"/>
    <col collapsed="false" customWidth="true" hidden="false" outlineLevel="0" max="13" min="13" style="0" width="12"/>
  </cols>
  <sheetData>
    <row r="1" customFormat="false" ht="23.1" hidden="false" customHeight="false" outlineLevel="0" collapsed="false">
      <c r="A1" s="6" t="s">
        <v>27</v>
      </c>
    </row>
    <row r="2" customFormat="false" ht="15" hidden="false" customHeight="false" outlineLevel="0" collapsed="false">
      <c r="A2" s="7" t="s">
        <v>28</v>
      </c>
    </row>
    <row r="3" customFormat="false" ht="15" hidden="false" customHeight="false" outlineLevel="0" collapsed="false">
      <c r="A3" s="4" t="s">
        <v>29</v>
      </c>
      <c r="B3" s="16" t="s">
        <v>30</v>
      </c>
      <c r="C3" s="17" t="s">
        <v>31</v>
      </c>
      <c r="D3" s="18" t="s">
        <v>32</v>
      </c>
    </row>
    <row r="4" customFormat="false" ht="30" hidden="false" customHeight="true" outlineLevel="0" collapsed="false">
      <c r="A4" s="19" t="s">
        <v>33</v>
      </c>
      <c r="B4" s="19" t="s">
        <v>34</v>
      </c>
      <c r="C4" s="19" t="s">
        <v>35</v>
      </c>
      <c r="D4" s="19" t="s">
        <v>36</v>
      </c>
      <c r="E4" s="19" t="s">
        <v>37</v>
      </c>
      <c r="F4" s="19" t="s">
        <v>38</v>
      </c>
      <c r="G4" s="19" t="s">
        <v>39</v>
      </c>
      <c r="H4" s="19" t="s">
        <v>40</v>
      </c>
      <c r="I4" s="19" t="s">
        <v>41</v>
      </c>
      <c r="J4" s="19" t="s">
        <v>42</v>
      </c>
      <c r="K4" s="19" t="s">
        <v>43</v>
      </c>
      <c r="L4" s="19" t="s">
        <v>44</v>
      </c>
      <c r="M4" s="19" t="s">
        <v>45</v>
      </c>
    </row>
    <row r="5" customFormat="false" ht="15" hidden="false" customHeight="false" outlineLevel="0" collapsed="false">
      <c r="A5" s="20" t="s">
        <v>46</v>
      </c>
      <c r="B5" s="21" t="s">
        <v>47</v>
      </c>
      <c r="C5" s="21" t="s">
        <v>48</v>
      </c>
      <c r="D5" s="21" t="n">
        <v>5</v>
      </c>
      <c r="E5" s="21" t="n">
        <v>1</v>
      </c>
      <c r="F5" s="21" t="s">
        <v>49</v>
      </c>
      <c r="G5" s="21" t="s">
        <v>50</v>
      </c>
      <c r="H5" s="22" t="s">
        <v>51</v>
      </c>
      <c r="I5" s="21" t="s">
        <v>52</v>
      </c>
      <c r="J5" s="23" t="s">
        <v>53</v>
      </c>
      <c r="K5" s="23" t="s">
        <v>54</v>
      </c>
      <c r="L5" s="23"/>
      <c r="M5" s="21"/>
    </row>
    <row r="6" customFormat="false" ht="15" hidden="false" customHeight="false" outlineLevel="0" collapsed="false">
      <c r="A6" s="20" t="s">
        <v>55</v>
      </c>
      <c r="B6" s="21" t="s">
        <v>47</v>
      </c>
      <c r="C6" s="21" t="s">
        <v>56</v>
      </c>
      <c r="D6" s="21" t="n">
        <v>4</v>
      </c>
      <c r="E6" s="21" t="n">
        <v>2</v>
      </c>
      <c r="F6" s="21" t="s">
        <v>57</v>
      </c>
      <c r="G6" s="21" t="s">
        <v>58</v>
      </c>
      <c r="H6" s="22" t="s">
        <v>59</v>
      </c>
      <c r="I6" s="21" t="s">
        <v>60</v>
      </c>
      <c r="J6" s="23" t="s">
        <v>61</v>
      </c>
      <c r="K6" s="23" t="s">
        <v>62</v>
      </c>
      <c r="L6" s="23"/>
      <c r="M6" s="20" t="s">
        <v>63</v>
      </c>
    </row>
    <row r="7" customFormat="false" ht="15" hidden="false" customHeight="false" outlineLevel="0" collapsed="false">
      <c r="A7" s="20" t="s">
        <v>64</v>
      </c>
      <c r="B7" s="21" t="s">
        <v>47</v>
      </c>
      <c r="C7" s="21" t="s">
        <v>65</v>
      </c>
      <c r="D7" s="21" t="n">
        <v>4</v>
      </c>
      <c r="E7" s="21" t="n">
        <v>-1</v>
      </c>
      <c r="F7" s="20" t="s">
        <v>66</v>
      </c>
      <c r="G7" s="21" t="s">
        <v>67</v>
      </c>
      <c r="H7" s="22"/>
      <c r="I7" s="20" t="s">
        <v>68</v>
      </c>
      <c r="J7" s="23" t="s">
        <v>69</v>
      </c>
      <c r="K7" s="23" t="s">
        <v>70</v>
      </c>
      <c r="L7" s="23" t="s">
        <v>71</v>
      </c>
      <c r="M7" s="21"/>
    </row>
    <row r="8" customFormat="false" ht="15" hidden="false" customHeight="false" outlineLevel="0" collapsed="false">
      <c r="A8" s="20" t="s">
        <v>72</v>
      </c>
      <c r="B8" s="21" t="s">
        <v>73</v>
      </c>
      <c r="C8" s="21" t="s">
        <v>74</v>
      </c>
      <c r="D8" s="21" t="n">
        <v>3</v>
      </c>
      <c r="E8" s="21" t="n">
        <v>0</v>
      </c>
      <c r="F8" s="21" t="s">
        <v>75</v>
      </c>
      <c r="G8" s="21" t="s">
        <v>76</v>
      </c>
      <c r="H8" s="22" t="s">
        <v>77</v>
      </c>
      <c r="I8" s="21" t="s">
        <v>78</v>
      </c>
      <c r="J8" s="23" t="s">
        <v>79</v>
      </c>
      <c r="K8" s="23" t="s">
        <v>80</v>
      </c>
      <c r="L8" s="23"/>
      <c r="M8" s="21"/>
    </row>
    <row r="9" customFormat="false" ht="15" hidden="false" customHeight="false" outlineLevel="0" collapsed="false">
      <c r="A9" s="21"/>
      <c r="B9" s="21"/>
      <c r="C9" s="21"/>
      <c r="D9" s="21"/>
      <c r="E9" s="21"/>
      <c r="F9" s="21"/>
      <c r="G9" s="21"/>
      <c r="H9" s="22"/>
      <c r="I9" s="21"/>
      <c r="J9" s="23"/>
      <c r="K9" s="23"/>
      <c r="L9" s="23"/>
      <c r="M9" s="21"/>
    </row>
    <row r="10" customFormat="false" ht="15" hidden="false" customHeight="false" outlineLevel="0" collapsed="false">
      <c r="A10" s="21"/>
      <c r="B10" s="21"/>
      <c r="C10" s="21"/>
      <c r="D10" s="21"/>
      <c r="E10" s="21"/>
      <c r="F10" s="21"/>
      <c r="G10" s="21"/>
      <c r="H10" s="22"/>
      <c r="I10" s="21"/>
      <c r="J10" s="23"/>
      <c r="K10" s="23"/>
      <c r="L10" s="23"/>
      <c r="M10" s="21"/>
    </row>
    <row r="11" customFormat="false" ht="15" hidden="false" customHeight="false" outlineLevel="0" collapsed="false">
      <c r="A11" s="21"/>
      <c r="B11" s="21"/>
      <c r="C11" s="21"/>
      <c r="D11" s="21"/>
      <c r="E11" s="21"/>
      <c r="F11" s="21"/>
      <c r="G11" s="21"/>
      <c r="H11" s="22"/>
      <c r="I11" s="21"/>
      <c r="J11" s="23"/>
      <c r="K11" s="23"/>
      <c r="L11" s="23"/>
      <c r="M11" s="21"/>
    </row>
    <row r="12" customFormat="false" ht="15" hidden="false" customHeight="false" outlineLevel="0" collapsed="false">
      <c r="A12" s="21"/>
      <c r="B12" s="21"/>
      <c r="C12" s="21"/>
      <c r="D12" s="21"/>
      <c r="E12" s="21"/>
      <c r="F12" s="21"/>
      <c r="G12" s="21"/>
      <c r="H12" s="22"/>
      <c r="I12" s="21"/>
      <c r="J12" s="23"/>
      <c r="K12" s="23"/>
      <c r="L12" s="23"/>
      <c r="M12" s="21"/>
    </row>
    <row r="13" customFormat="false" ht="15" hidden="false" customHeight="false" outlineLevel="0" collapsed="false">
      <c r="A13" s="21"/>
      <c r="B13" s="21"/>
      <c r="C13" s="21"/>
      <c r="D13" s="21"/>
      <c r="E13" s="21"/>
      <c r="F13" s="21"/>
      <c r="G13" s="21"/>
      <c r="H13" s="22"/>
      <c r="I13" s="21"/>
      <c r="J13" s="23"/>
      <c r="K13" s="23"/>
      <c r="L13" s="23"/>
      <c r="M13" s="21"/>
    </row>
    <row r="14" customFormat="false" ht="15" hidden="false" customHeight="false" outlineLevel="0" collapsed="false">
      <c r="A14" s="21"/>
      <c r="B14" s="21"/>
      <c r="C14" s="21"/>
      <c r="D14" s="21"/>
      <c r="E14" s="21"/>
      <c r="F14" s="21"/>
      <c r="G14" s="21"/>
      <c r="H14" s="22"/>
      <c r="I14" s="21"/>
      <c r="J14" s="23"/>
      <c r="K14" s="23"/>
      <c r="L14" s="23"/>
      <c r="M14" s="21"/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1"/>
      <c r="G15" s="21"/>
      <c r="H15" s="22"/>
      <c r="I15" s="21"/>
      <c r="J15" s="23"/>
      <c r="K15" s="23"/>
      <c r="L15" s="23"/>
      <c r="M15" s="21"/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1"/>
      <c r="G16" s="21"/>
      <c r="H16" s="22"/>
      <c r="I16" s="21"/>
      <c r="J16" s="23"/>
      <c r="K16" s="23"/>
      <c r="L16" s="23"/>
      <c r="M16" s="21"/>
    </row>
    <row r="17" customFormat="false" ht="15" hidden="false" customHeight="false" outlineLevel="0" collapsed="false">
      <c r="A17" s="21"/>
      <c r="B17" s="21"/>
      <c r="C17" s="21"/>
      <c r="D17" s="21"/>
      <c r="E17" s="21"/>
      <c r="F17" s="21"/>
      <c r="G17" s="21"/>
      <c r="H17" s="22"/>
      <c r="I17" s="21"/>
      <c r="J17" s="23"/>
      <c r="K17" s="23"/>
      <c r="L17" s="23"/>
      <c r="M17" s="21"/>
    </row>
    <row r="18" customFormat="false" ht="15" hidden="false" customHeight="false" outlineLevel="0" collapsed="false">
      <c r="A18" s="21"/>
      <c r="B18" s="21"/>
      <c r="C18" s="21"/>
      <c r="D18" s="21"/>
      <c r="E18" s="21"/>
      <c r="F18" s="21"/>
      <c r="G18" s="21"/>
      <c r="H18" s="22"/>
      <c r="I18" s="21"/>
      <c r="J18" s="23"/>
      <c r="K18" s="23"/>
      <c r="L18" s="23"/>
      <c r="M18" s="21"/>
    </row>
    <row r="19" customFormat="false" ht="15" hidden="false" customHeight="false" outlineLevel="0" collapsed="false">
      <c r="A19" s="21"/>
      <c r="B19" s="21"/>
      <c r="C19" s="21"/>
      <c r="D19" s="21"/>
      <c r="E19" s="21"/>
      <c r="F19" s="21"/>
      <c r="G19" s="21"/>
      <c r="H19" s="22"/>
      <c r="I19" s="21"/>
      <c r="J19" s="23"/>
      <c r="K19" s="23"/>
      <c r="L19" s="23"/>
      <c r="M19" s="21"/>
    </row>
    <row r="20" customFormat="false" ht="15" hidden="false" customHeight="false" outlineLevel="0" collapsed="false">
      <c r="A20" s="21"/>
      <c r="B20" s="21"/>
      <c r="C20" s="21"/>
      <c r="D20" s="21"/>
      <c r="E20" s="21"/>
      <c r="F20" s="21"/>
      <c r="G20" s="21"/>
      <c r="H20" s="22"/>
      <c r="I20" s="21"/>
      <c r="J20" s="23"/>
      <c r="K20" s="23"/>
      <c r="L20" s="23"/>
      <c r="M20" s="21"/>
    </row>
    <row r="21" customFormat="false" ht="15" hidden="false" customHeight="false" outlineLevel="0" collapsed="false">
      <c r="A21" s="21"/>
      <c r="B21" s="21"/>
      <c r="C21" s="21"/>
      <c r="D21" s="21"/>
      <c r="E21" s="21"/>
      <c r="F21" s="21"/>
      <c r="G21" s="21"/>
      <c r="H21" s="22"/>
      <c r="I21" s="21"/>
      <c r="J21" s="23"/>
      <c r="K21" s="23"/>
      <c r="L21" s="23"/>
      <c r="M21" s="21"/>
    </row>
    <row r="22" customFormat="false" ht="15" hidden="false" customHeight="false" outlineLevel="0" collapsed="false">
      <c r="A22" s="21"/>
      <c r="B22" s="21"/>
      <c r="C22" s="21"/>
      <c r="D22" s="21"/>
      <c r="E22" s="21"/>
      <c r="F22" s="21"/>
      <c r="G22" s="21"/>
      <c r="H22" s="22"/>
      <c r="I22" s="21"/>
      <c r="J22" s="23"/>
      <c r="K22" s="23"/>
      <c r="L22" s="23"/>
      <c r="M22" s="21"/>
    </row>
    <row r="23" customFormat="false" ht="15" hidden="false" customHeight="false" outlineLevel="0" collapsed="false">
      <c r="A23" s="21"/>
      <c r="B23" s="21"/>
      <c r="C23" s="21"/>
      <c r="D23" s="21"/>
      <c r="E23" s="21"/>
      <c r="F23" s="21"/>
      <c r="G23" s="21"/>
      <c r="H23" s="22"/>
      <c r="I23" s="21"/>
      <c r="J23" s="23"/>
      <c r="K23" s="23"/>
      <c r="L23" s="23"/>
      <c r="M23" s="21"/>
    </row>
    <row r="24" customFormat="false" ht="15" hidden="false" customHeight="false" outlineLevel="0" collapsed="false">
      <c r="A24" s="21"/>
      <c r="B24" s="21"/>
      <c r="C24" s="21"/>
      <c r="D24" s="21"/>
      <c r="E24" s="21"/>
      <c r="F24" s="21"/>
      <c r="G24" s="21"/>
      <c r="H24" s="22"/>
      <c r="I24" s="21"/>
      <c r="J24" s="23"/>
      <c r="K24" s="23"/>
      <c r="L24" s="23"/>
      <c r="M24" s="21"/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1"/>
      <c r="G25" s="21"/>
      <c r="H25" s="22"/>
      <c r="I25" s="21"/>
      <c r="J25" s="23"/>
      <c r="K25" s="23"/>
      <c r="L25" s="23"/>
      <c r="M25" s="21"/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  <c r="G26" s="21"/>
      <c r="H26" s="22"/>
      <c r="I26" s="21"/>
      <c r="J26" s="23"/>
      <c r="K26" s="23"/>
      <c r="L26" s="23"/>
      <c r="M26" s="21"/>
    </row>
    <row r="27" customFormat="false" ht="15" hidden="false" customHeight="false" outlineLevel="0" collapsed="false">
      <c r="A27" s="21"/>
      <c r="B27" s="21"/>
      <c r="C27" s="21"/>
      <c r="D27" s="21"/>
      <c r="E27" s="21"/>
      <c r="F27" s="21"/>
      <c r="G27" s="21"/>
      <c r="H27" s="22"/>
      <c r="I27" s="21"/>
      <c r="J27" s="23"/>
      <c r="K27" s="23"/>
      <c r="L27" s="23"/>
      <c r="M27" s="21"/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1"/>
      <c r="G28" s="21"/>
      <c r="H28" s="22"/>
      <c r="I28" s="21"/>
      <c r="J28" s="23"/>
      <c r="K28" s="23"/>
      <c r="L28" s="23"/>
      <c r="M28" s="21"/>
    </row>
    <row r="29" customFormat="false" ht="15" hidden="false" customHeight="false" outlineLevel="0" collapsed="false">
      <c r="A29" s="21"/>
      <c r="B29" s="21"/>
      <c r="C29" s="21"/>
      <c r="D29" s="21"/>
      <c r="E29" s="21"/>
      <c r="F29" s="21"/>
      <c r="G29" s="21"/>
      <c r="H29" s="22"/>
      <c r="I29" s="21"/>
      <c r="J29" s="23"/>
      <c r="K29" s="23"/>
      <c r="L29" s="23"/>
      <c r="M29" s="21"/>
    </row>
    <row r="30" customFormat="false" ht="15" hidden="false" customHeight="false" outlineLevel="0" collapsed="false">
      <c r="A30" s="21"/>
      <c r="B30" s="21"/>
      <c r="C30" s="21"/>
      <c r="D30" s="21"/>
      <c r="E30" s="21"/>
      <c r="F30" s="21"/>
      <c r="G30" s="21"/>
      <c r="H30" s="22"/>
      <c r="I30" s="21"/>
      <c r="J30" s="23"/>
      <c r="K30" s="23"/>
      <c r="L30" s="23"/>
      <c r="M30" s="21"/>
    </row>
    <row r="31" customFormat="false" ht="15" hidden="false" customHeight="false" outlineLevel="0" collapsed="false">
      <c r="A31" s="21"/>
      <c r="B31" s="21"/>
      <c r="C31" s="21"/>
      <c r="D31" s="21"/>
      <c r="E31" s="21"/>
      <c r="F31" s="21"/>
      <c r="G31" s="21"/>
      <c r="H31" s="22"/>
      <c r="I31" s="21"/>
      <c r="J31" s="23"/>
      <c r="K31" s="23"/>
      <c r="L31" s="23"/>
      <c r="M31" s="21"/>
    </row>
    <row r="32" customFormat="false" ht="15" hidden="false" customHeight="false" outlineLevel="0" collapsed="false">
      <c r="A32" s="21"/>
      <c r="B32" s="21"/>
      <c r="C32" s="21"/>
      <c r="D32" s="21"/>
      <c r="E32" s="21"/>
      <c r="F32" s="21"/>
      <c r="G32" s="21"/>
      <c r="H32" s="22"/>
      <c r="I32" s="21"/>
      <c r="J32" s="23"/>
      <c r="K32" s="23"/>
      <c r="L32" s="23"/>
      <c r="M32" s="21"/>
    </row>
    <row r="33" customFormat="false" ht="15" hidden="false" customHeight="false" outlineLevel="0" collapsed="false">
      <c r="A33" s="21"/>
      <c r="B33" s="21"/>
      <c r="C33" s="21"/>
      <c r="D33" s="21"/>
      <c r="E33" s="21"/>
      <c r="F33" s="21"/>
      <c r="G33" s="21"/>
      <c r="H33" s="22"/>
      <c r="I33" s="21"/>
      <c r="J33" s="23"/>
      <c r="K33" s="23"/>
      <c r="L33" s="23"/>
      <c r="M33" s="21"/>
    </row>
    <row r="34" customFormat="false" ht="15" hidden="false" customHeight="false" outlineLevel="0" collapsed="false">
      <c r="A34" s="21"/>
      <c r="B34" s="21"/>
      <c r="C34" s="21"/>
      <c r="D34" s="21"/>
      <c r="E34" s="21"/>
      <c r="F34" s="21"/>
      <c r="G34" s="21"/>
      <c r="H34" s="22"/>
      <c r="I34" s="21"/>
      <c r="J34" s="23"/>
      <c r="K34" s="23"/>
      <c r="L34" s="23"/>
      <c r="M34" s="21"/>
    </row>
    <row r="35" customFormat="false" ht="15" hidden="false" customHeight="false" outlineLevel="0" collapsed="false">
      <c r="A35" s="21"/>
      <c r="B35" s="21"/>
      <c r="C35" s="21"/>
      <c r="D35" s="21"/>
      <c r="E35" s="21"/>
      <c r="F35" s="21"/>
      <c r="G35" s="21"/>
      <c r="H35" s="22"/>
      <c r="I35" s="21"/>
      <c r="J35" s="23"/>
      <c r="K35" s="23"/>
      <c r="L35" s="23"/>
      <c r="M35" s="21"/>
    </row>
    <row r="36" customFormat="false" ht="15" hidden="false" customHeight="false" outlineLevel="0" collapsed="false">
      <c r="A36" s="21"/>
      <c r="B36" s="21"/>
      <c r="C36" s="21"/>
      <c r="D36" s="21"/>
      <c r="E36" s="21"/>
      <c r="F36" s="21"/>
      <c r="G36" s="21"/>
      <c r="H36" s="22"/>
      <c r="I36" s="21"/>
      <c r="J36" s="23"/>
      <c r="K36" s="23"/>
      <c r="L36" s="23"/>
      <c r="M36" s="21"/>
    </row>
    <row r="37" customFormat="false" ht="15" hidden="false" customHeight="false" outlineLevel="0" collapsed="false">
      <c r="A37" s="21"/>
      <c r="B37" s="21"/>
      <c r="C37" s="21"/>
      <c r="D37" s="21"/>
      <c r="E37" s="21"/>
      <c r="F37" s="21"/>
      <c r="G37" s="21"/>
      <c r="H37" s="22"/>
      <c r="I37" s="21"/>
      <c r="J37" s="23"/>
      <c r="K37" s="23"/>
      <c r="L37" s="23"/>
      <c r="M37" s="21"/>
    </row>
    <row r="38" customFormat="false" ht="15" hidden="false" customHeight="false" outlineLevel="0" collapsed="false">
      <c r="A38" s="21"/>
      <c r="B38" s="21"/>
      <c r="C38" s="21"/>
      <c r="D38" s="21"/>
      <c r="E38" s="21"/>
      <c r="F38" s="21"/>
      <c r="G38" s="21"/>
      <c r="H38" s="22"/>
      <c r="I38" s="21"/>
      <c r="J38" s="23"/>
      <c r="K38" s="23"/>
      <c r="L38" s="23"/>
      <c r="M38" s="21"/>
    </row>
    <row r="39" customFormat="false" ht="15" hidden="false" customHeight="false" outlineLevel="0" collapsed="false">
      <c r="A39" s="21"/>
      <c r="B39" s="21"/>
      <c r="C39" s="21"/>
      <c r="D39" s="21"/>
      <c r="E39" s="21"/>
      <c r="F39" s="21"/>
      <c r="G39" s="21"/>
      <c r="H39" s="22"/>
      <c r="I39" s="21"/>
      <c r="J39" s="23"/>
      <c r="K39" s="23"/>
      <c r="L39" s="23"/>
      <c r="M39" s="21"/>
    </row>
    <row r="40" customFormat="false" ht="15" hidden="false" customHeight="false" outlineLevel="0" collapsed="false">
      <c r="A40" s="21"/>
      <c r="B40" s="21"/>
      <c r="C40" s="21"/>
      <c r="D40" s="21"/>
      <c r="E40" s="21"/>
      <c r="F40" s="21"/>
      <c r="G40" s="21"/>
      <c r="H40" s="22"/>
      <c r="I40" s="21"/>
      <c r="J40" s="23"/>
      <c r="K40" s="23"/>
      <c r="L40" s="23"/>
      <c r="M40" s="21"/>
    </row>
    <row r="41" customFormat="false" ht="15" hidden="false" customHeight="false" outlineLevel="0" collapsed="false">
      <c r="A41" s="21"/>
      <c r="B41" s="21"/>
      <c r="C41" s="21"/>
      <c r="D41" s="21"/>
      <c r="E41" s="21"/>
      <c r="F41" s="21"/>
      <c r="G41" s="21"/>
      <c r="H41" s="22"/>
      <c r="I41" s="21"/>
      <c r="J41" s="23"/>
      <c r="K41" s="23"/>
      <c r="L41" s="23"/>
      <c r="M41" s="21"/>
    </row>
    <row r="42" customFormat="false" ht="15" hidden="false" customHeight="false" outlineLevel="0" collapsed="false">
      <c r="A42" s="21"/>
      <c r="B42" s="21"/>
      <c r="C42" s="21"/>
      <c r="D42" s="21"/>
      <c r="E42" s="21"/>
      <c r="F42" s="21"/>
      <c r="G42" s="21"/>
      <c r="H42" s="22"/>
      <c r="I42" s="21"/>
      <c r="J42" s="23"/>
      <c r="K42" s="23"/>
      <c r="L42" s="23"/>
      <c r="M42" s="21"/>
    </row>
    <row r="43" customFormat="false" ht="15" hidden="false" customHeight="false" outlineLevel="0" collapsed="false">
      <c r="A43" s="21"/>
      <c r="B43" s="21"/>
      <c r="C43" s="21"/>
      <c r="D43" s="21"/>
      <c r="E43" s="21"/>
      <c r="F43" s="21"/>
      <c r="G43" s="21"/>
      <c r="H43" s="22"/>
      <c r="I43" s="21"/>
      <c r="J43" s="23"/>
      <c r="K43" s="23"/>
      <c r="L43" s="23"/>
      <c r="M43" s="21"/>
    </row>
    <row r="44" customFormat="false" ht="15" hidden="false" customHeight="false" outlineLevel="0" collapsed="false">
      <c r="A44" s="21"/>
      <c r="B44" s="21"/>
      <c r="C44" s="21"/>
      <c r="D44" s="21"/>
      <c r="E44" s="21"/>
      <c r="F44" s="21"/>
      <c r="G44" s="21"/>
      <c r="H44" s="22"/>
      <c r="I44" s="21"/>
      <c r="J44" s="23"/>
      <c r="K44" s="23"/>
      <c r="L44" s="23"/>
      <c r="M44" s="21"/>
    </row>
    <row r="45" customFormat="false" ht="15" hidden="false" customHeight="false" outlineLevel="0" collapsed="false">
      <c r="A45" s="21"/>
      <c r="B45" s="21"/>
      <c r="C45" s="21"/>
      <c r="D45" s="21"/>
      <c r="E45" s="21"/>
      <c r="F45" s="21"/>
      <c r="G45" s="21"/>
      <c r="H45" s="22"/>
      <c r="I45" s="21"/>
      <c r="J45" s="23"/>
      <c r="K45" s="23"/>
      <c r="L45" s="23"/>
      <c r="M45" s="21"/>
    </row>
    <row r="46" customFormat="false" ht="15" hidden="false" customHeight="false" outlineLevel="0" collapsed="false">
      <c r="A46" s="21"/>
      <c r="B46" s="21"/>
      <c r="C46" s="21"/>
      <c r="D46" s="21"/>
      <c r="E46" s="21"/>
      <c r="F46" s="21"/>
      <c r="G46" s="21"/>
      <c r="H46" s="22"/>
      <c r="I46" s="21"/>
      <c r="J46" s="23"/>
      <c r="K46" s="23"/>
      <c r="L46" s="23"/>
      <c r="M46" s="21"/>
    </row>
    <row r="47" customFormat="false" ht="15" hidden="false" customHeight="false" outlineLevel="0" collapsed="false">
      <c r="A47" s="21"/>
      <c r="B47" s="21"/>
      <c r="C47" s="21"/>
      <c r="D47" s="21"/>
      <c r="E47" s="21"/>
      <c r="F47" s="21"/>
      <c r="G47" s="21"/>
      <c r="H47" s="22"/>
      <c r="I47" s="21"/>
      <c r="J47" s="23"/>
      <c r="K47" s="23"/>
      <c r="L47" s="23"/>
      <c r="M47" s="21"/>
    </row>
    <row r="48" customFormat="false" ht="15" hidden="false" customHeight="false" outlineLevel="0" collapsed="false">
      <c r="A48" s="21"/>
      <c r="B48" s="21"/>
      <c r="C48" s="21"/>
      <c r="D48" s="21"/>
      <c r="E48" s="21"/>
      <c r="F48" s="21"/>
      <c r="G48" s="21"/>
      <c r="H48" s="22"/>
      <c r="I48" s="21"/>
      <c r="J48" s="23"/>
      <c r="K48" s="23"/>
      <c r="L48" s="23"/>
      <c r="M48" s="21"/>
    </row>
    <row r="49" customFormat="false" ht="15" hidden="false" customHeight="false" outlineLevel="0" collapsed="false">
      <c r="A49" s="21"/>
      <c r="B49" s="21"/>
      <c r="C49" s="21"/>
      <c r="D49" s="21"/>
      <c r="E49" s="21"/>
      <c r="F49" s="21"/>
      <c r="G49" s="21"/>
      <c r="H49" s="22"/>
      <c r="I49" s="21"/>
      <c r="J49" s="23"/>
      <c r="K49" s="23"/>
      <c r="L49" s="23"/>
      <c r="M49" s="21"/>
    </row>
    <row r="50" customFormat="false" ht="15" hidden="false" customHeight="false" outlineLevel="0" collapsed="false">
      <c r="A50" s="21"/>
      <c r="B50" s="21"/>
      <c r="C50" s="21"/>
      <c r="D50" s="21"/>
      <c r="E50" s="21"/>
      <c r="F50" s="21"/>
      <c r="G50" s="21"/>
      <c r="H50" s="22"/>
      <c r="I50" s="21"/>
      <c r="J50" s="23"/>
      <c r="K50" s="23"/>
      <c r="L50" s="23"/>
      <c r="M50" s="21"/>
    </row>
    <row r="51" customFormat="false" ht="15" hidden="false" customHeight="false" outlineLevel="0" collapsed="false">
      <c r="A51" s="21"/>
      <c r="B51" s="21"/>
      <c r="C51" s="21"/>
      <c r="D51" s="21"/>
      <c r="E51" s="21"/>
      <c r="F51" s="21"/>
      <c r="G51" s="21"/>
      <c r="H51" s="22"/>
      <c r="I51" s="21"/>
      <c r="J51" s="23"/>
      <c r="K51" s="23"/>
      <c r="L51" s="23"/>
      <c r="M51" s="21"/>
    </row>
    <row r="52" customFormat="false" ht="15" hidden="false" customHeight="false" outlineLevel="0" collapsed="false">
      <c r="A52" s="21"/>
      <c r="B52" s="21"/>
      <c r="C52" s="21"/>
      <c r="D52" s="21"/>
      <c r="E52" s="21"/>
      <c r="F52" s="21"/>
      <c r="G52" s="21"/>
      <c r="H52" s="22"/>
      <c r="I52" s="21"/>
      <c r="J52" s="23"/>
      <c r="K52" s="23"/>
      <c r="L52" s="23"/>
      <c r="M52" s="21"/>
    </row>
    <row r="53" customFormat="false" ht="15" hidden="false" customHeight="false" outlineLevel="0" collapsed="false">
      <c r="A53" s="21"/>
      <c r="B53" s="21"/>
      <c r="C53" s="21"/>
      <c r="D53" s="21"/>
      <c r="E53" s="21"/>
      <c r="F53" s="21"/>
      <c r="G53" s="21"/>
      <c r="H53" s="22"/>
      <c r="I53" s="21"/>
      <c r="J53" s="23"/>
      <c r="K53" s="23"/>
      <c r="L53" s="23"/>
      <c r="M53" s="21"/>
    </row>
    <row r="54" customFormat="false" ht="15" hidden="false" customHeight="false" outlineLevel="0" collapsed="false">
      <c r="A54" s="21"/>
      <c r="B54" s="21"/>
      <c r="C54" s="21"/>
      <c r="D54" s="21"/>
      <c r="E54" s="21"/>
      <c r="F54" s="21"/>
      <c r="G54" s="21"/>
      <c r="H54" s="22"/>
      <c r="I54" s="21"/>
      <c r="J54" s="23"/>
      <c r="K54" s="23"/>
      <c r="L54" s="23"/>
      <c r="M54" s="21"/>
    </row>
    <row r="55" customFormat="false" ht="15" hidden="false" customHeight="false" outlineLevel="0" collapsed="false">
      <c r="A55" s="21"/>
      <c r="B55" s="21"/>
      <c r="C55" s="21"/>
      <c r="D55" s="21"/>
      <c r="E55" s="21"/>
      <c r="F55" s="21"/>
      <c r="G55" s="21"/>
      <c r="H55" s="22"/>
      <c r="I55" s="21"/>
      <c r="J55" s="23"/>
      <c r="K55" s="23"/>
      <c r="L55" s="23"/>
      <c r="M55" s="21"/>
    </row>
    <row r="56" customFormat="false" ht="15" hidden="false" customHeight="false" outlineLevel="0" collapsed="false">
      <c r="A56" s="21"/>
      <c r="B56" s="21"/>
      <c r="C56" s="21"/>
      <c r="D56" s="21"/>
      <c r="E56" s="21"/>
      <c r="F56" s="21"/>
      <c r="G56" s="21"/>
      <c r="H56" s="22"/>
      <c r="I56" s="21"/>
      <c r="J56" s="23"/>
      <c r="K56" s="23"/>
      <c r="L56" s="23"/>
      <c r="M56" s="21"/>
    </row>
    <row r="57" customFormat="false" ht="15" hidden="false" customHeight="false" outlineLevel="0" collapsed="false">
      <c r="A57" s="21"/>
      <c r="B57" s="21"/>
      <c r="C57" s="21"/>
      <c r="D57" s="21"/>
      <c r="E57" s="21"/>
      <c r="F57" s="21"/>
      <c r="G57" s="21"/>
      <c r="H57" s="22"/>
      <c r="I57" s="21"/>
      <c r="J57" s="23"/>
      <c r="K57" s="23"/>
      <c r="L57" s="23"/>
      <c r="M57" s="21"/>
    </row>
    <row r="58" customFormat="false" ht="15" hidden="false" customHeight="false" outlineLevel="0" collapsed="false">
      <c r="A58" s="21"/>
      <c r="B58" s="21"/>
      <c r="C58" s="21"/>
      <c r="D58" s="21"/>
      <c r="E58" s="21"/>
      <c r="F58" s="21"/>
      <c r="G58" s="21"/>
      <c r="H58" s="22"/>
      <c r="I58" s="21"/>
      <c r="J58" s="23"/>
      <c r="K58" s="23"/>
      <c r="L58" s="23"/>
      <c r="M58" s="21"/>
    </row>
    <row r="59" customFormat="false" ht="15" hidden="false" customHeight="false" outlineLevel="0" collapsed="false">
      <c r="A59" s="21"/>
      <c r="B59" s="21"/>
      <c r="C59" s="21"/>
      <c r="D59" s="21"/>
      <c r="E59" s="21"/>
      <c r="F59" s="21"/>
      <c r="G59" s="21"/>
      <c r="H59" s="22"/>
      <c r="I59" s="21"/>
      <c r="J59" s="23"/>
      <c r="K59" s="23"/>
      <c r="L59" s="23"/>
      <c r="M59" s="21"/>
    </row>
    <row r="60" customFormat="false" ht="15" hidden="false" customHeight="false" outlineLevel="0" collapsed="false">
      <c r="A60" s="21"/>
      <c r="B60" s="21"/>
      <c r="C60" s="21"/>
      <c r="D60" s="21"/>
      <c r="E60" s="21"/>
      <c r="F60" s="21"/>
      <c r="G60" s="21"/>
      <c r="H60" s="22"/>
      <c r="I60" s="21"/>
      <c r="J60" s="23"/>
      <c r="K60" s="23"/>
      <c r="L60" s="23"/>
      <c r="M60" s="21"/>
    </row>
  </sheetData>
  <autoFilter ref="A4:M60"/>
  <dataValidations count="2">
    <dataValidation allowBlank="true" errorStyle="stop" operator="between" showDropDown="false" showErrorMessage="false" showInputMessage="false" sqref="G5:G60" type="list">
      <formula1>_選單_Lists!$A$2:$A$5</formula1>
      <formula2>0</formula2>
    </dataValidation>
    <dataValidation allowBlank="true" errorStyle="stop" operator="between" showDropDown="false" showErrorMessage="false" showInputMessage="false" sqref="I5:I60" type="list">
      <formula1>_選單_Lists!$B$2:$B$6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2"/>
  </cols>
  <sheetData>
    <row r="1" customFormat="false" ht="23.1" hidden="false" customHeight="false" outlineLevel="0" collapsed="false">
      <c r="A1" s="6" t="s">
        <v>81</v>
      </c>
    </row>
    <row r="2" customFormat="false" ht="15" hidden="false" customHeight="false" outlineLevel="0" collapsed="false">
      <c r="A2" s="7" t="s">
        <v>82</v>
      </c>
    </row>
    <row r="3" customFormat="false" ht="15" hidden="false" customHeight="false" outlineLevel="0" collapsed="false">
      <c r="A3" s="4" t="s">
        <v>29</v>
      </c>
      <c r="B3" s="16" t="s">
        <v>30</v>
      </c>
      <c r="C3" s="17" t="s">
        <v>31</v>
      </c>
      <c r="D3" s="18" t="s">
        <v>32</v>
      </c>
    </row>
    <row r="4" customFormat="false" ht="30" hidden="false" customHeight="true" outlineLevel="0" collapsed="false">
      <c r="A4" s="19" t="s">
        <v>33</v>
      </c>
      <c r="B4" s="19" t="s">
        <v>34</v>
      </c>
      <c r="C4" s="19" t="s">
        <v>83</v>
      </c>
      <c r="D4" s="19" t="s">
        <v>84</v>
      </c>
      <c r="E4" s="19" t="s">
        <v>85</v>
      </c>
      <c r="F4" s="19" t="s">
        <v>86</v>
      </c>
      <c r="G4" s="19" t="s">
        <v>87</v>
      </c>
      <c r="H4" s="19" t="s">
        <v>88</v>
      </c>
    </row>
    <row r="5" customFormat="false" ht="29.85" hidden="false" customHeight="false" outlineLevel="0" collapsed="false">
      <c r="A5" s="20" t="s">
        <v>64</v>
      </c>
      <c r="B5" s="21" t="s">
        <v>47</v>
      </c>
      <c r="C5" s="23" t="s">
        <v>89</v>
      </c>
      <c r="D5" s="23" t="s">
        <v>90</v>
      </c>
      <c r="E5" s="21" t="s">
        <v>49</v>
      </c>
      <c r="F5" s="20" t="s">
        <v>91</v>
      </c>
      <c r="G5" s="21" t="s">
        <v>92</v>
      </c>
      <c r="H5" s="23"/>
    </row>
    <row r="6" customFormat="false" ht="15" hidden="false" customHeight="false" outlineLevel="0" collapsed="false">
      <c r="A6" s="21"/>
      <c r="B6" s="21"/>
      <c r="C6" s="23"/>
      <c r="D6" s="23"/>
      <c r="E6" s="21"/>
      <c r="F6" s="21"/>
      <c r="G6" s="21"/>
      <c r="H6" s="23"/>
    </row>
    <row r="7" customFormat="false" ht="15" hidden="false" customHeight="false" outlineLevel="0" collapsed="false">
      <c r="A7" s="21"/>
      <c r="B7" s="21"/>
      <c r="C7" s="23"/>
      <c r="D7" s="23"/>
      <c r="E7" s="21"/>
      <c r="F7" s="21"/>
      <c r="G7" s="21"/>
      <c r="H7" s="23"/>
    </row>
    <row r="8" customFormat="false" ht="15" hidden="false" customHeight="false" outlineLevel="0" collapsed="false">
      <c r="A8" s="21"/>
      <c r="B8" s="21"/>
      <c r="C8" s="23"/>
      <c r="D8" s="23"/>
      <c r="E8" s="21"/>
      <c r="F8" s="21"/>
      <c r="G8" s="21"/>
      <c r="H8" s="23"/>
    </row>
    <row r="9" customFormat="false" ht="15" hidden="false" customHeight="false" outlineLevel="0" collapsed="false">
      <c r="A9" s="21"/>
      <c r="B9" s="21"/>
      <c r="C9" s="23"/>
      <c r="D9" s="23"/>
      <c r="E9" s="21"/>
      <c r="F9" s="21"/>
      <c r="G9" s="21"/>
      <c r="H9" s="23"/>
    </row>
    <row r="10" customFormat="false" ht="15" hidden="false" customHeight="false" outlineLevel="0" collapsed="false">
      <c r="A10" s="21"/>
      <c r="B10" s="21"/>
      <c r="C10" s="23"/>
      <c r="D10" s="23"/>
      <c r="E10" s="21"/>
      <c r="F10" s="21"/>
      <c r="G10" s="21"/>
      <c r="H10" s="23"/>
    </row>
    <row r="11" customFormat="false" ht="15" hidden="false" customHeight="false" outlineLevel="0" collapsed="false">
      <c r="A11" s="21"/>
      <c r="B11" s="21"/>
      <c r="C11" s="23"/>
      <c r="D11" s="23"/>
      <c r="E11" s="21"/>
      <c r="F11" s="21"/>
      <c r="G11" s="21"/>
      <c r="H11" s="23"/>
    </row>
    <row r="12" customFormat="false" ht="15" hidden="false" customHeight="false" outlineLevel="0" collapsed="false">
      <c r="A12" s="21"/>
      <c r="B12" s="21"/>
      <c r="C12" s="23"/>
      <c r="D12" s="23"/>
      <c r="E12" s="21"/>
      <c r="F12" s="21"/>
      <c r="G12" s="21"/>
      <c r="H12" s="23"/>
    </row>
    <row r="13" customFormat="false" ht="15" hidden="false" customHeight="false" outlineLevel="0" collapsed="false">
      <c r="A13" s="21"/>
      <c r="B13" s="21"/>
      <c r="C13" s="23"/>
      <c r="D13" s="23"/>
      <c r="E13" s="21"/>
      <c r="F13" s="21"/>
      <c r="G13" s="21"/>
      <c r="H13" s="23"/>
    </row>
    <row r="14" customFormat="false" ht="15" hidden="false" customHeight="false" outlineLevel="0" collapsed="false">
      <c r="A14" s="21"/>
      <c r="B14" s="21"/>
      <c r="C14" s="23"/>
      <c r="D14" s="23"/>
      <c r="E14" s="21"/>
      <c r="F14" s="21"/>
      <c r="G14" s="21"/>
      <c r="H14" s="23"/>
    </row>
    <row r="15" customFormat="false" ht="15" hidden="false" customHeight="false" outlineLevel="0" collapsed="false">
      <c r="A15" s="21"/>
      <c r="B15" s="21"/>
      <c r="C15" s="23"/>
      <c r="D15" s="23"/>
      <c r="E15" s="21"/>
      <c r="F15" s="21"/>
      <c r="G15" s="21"/>
      <c r="H15" s="23"/>
    </row>
    <row r="16" customFormat="false" ht="15" hidden="false" customHeight="false" outlineLevel="0" collapsed="false">
      <c r="A16" s="21"/>
      <c r="B16" s="21"/>
      <c r="C16" s="23"/>
      <c r="D16" s="23"/>
      <c r="E16" s="21"/>
      <c r="F16" s="21"/>
      <c r="G16" s="21"/>
      <c r="H16" s="23"/>
    </row>
    <row r="17" customFormat="false" ht="15" hidden="false" customHeight="false" outlineLevel="0" collapsed="false">
      <c r="A17" s="21"/>
      <c r="B17" s="21"/>
      <c r="C17" s="23"/>
      <c r="D17" s="23"/>
      <c r="E17" s="21"/>
      <c r="F17" s="21"/>
      <c r="G17" s="21"/>
      <c r="H17" s="23"/>
    </row>
    <row r="18" customFormat="false" ht="15" hidden="false" customHeight="false" outlineLevel="0" collapsed="false">
      <c r="A18" s="21"/>
      <c r="B18" s="21"/>
      <c r="C18" s="23"/>
      <c r="D18" s="23"/>
      <c r="E18" s="21"/>
      <c r="F18" s="21"/>
      <c r="G18" s="21"/>
      <c r="H18" s="23"/>
    </row>
    <row r="19" customFormat="false" ht="15" hidden="false" customHeight="false" outlineLevel="0" collapsed="false">
      <c r="A19" s="21"/>
      <c r="B19" s="21"/>
      <c r="C19" s="23"/>
      <c r="D19" s="23"/>
      <c r="E19" s="21"/>
      <c r="F19" s="21"/>
      <c r="G19" s="21"/>
      <c r="H19" s="23"/>
    </row>
    <row r="20" customFormat="false" ht="15" hidden="false" customHeight="false" outlineLevel="0" collapsed="false">
      <c r="A20" s="21"/>
      <c r="B20" s="21"/>
      <c r="C20" s="23"/>
      <c r="D20" s="23"/>
      <c r="E20" s="21"/>
      <c r="F20" s="21"/>
      <c r="G20" s="21"/>
      <c r="H20" s="23"/>
    </row>
    <row r="21" customFormat="false" ht="15" hidden="false" customHeight="false" outlineLevel="0" collapsed="false">
      <c r="A21" s="21"/>
      <c r="B21" s="21"/>
      <c r="C21" s="23"/>
      <c r="D21" s="23"/>
      <c r="E21" s="21"/>
      <c r="F21" s="21"/>
      <c r="G21" s="21"/>
      <c r="H21" s="23"/>
    </row>
    <row r="22" customFormat="false" ht="15" hidden="false" customHeight="false" outlineLevel="0" collapsed="false">
      <c r="A22" s="21"/>
      <c r="B22" s="21"/>
      <c r="C22" s="23"/>
      <c r="D22" s="23"/>
      <c r="E22" s="21"/>
      <c r="F22" s="21"/>
      <c r="G22" s="21"/>
      <c r="H22" s="23"/>
    </row>
    <row r="23" customFormat="false" ht="15" hidden="false" customHeight="false" outlineLevel="0" collapsed="false">
      <c r="A23" s="21"/>
      <c r="B23" s="21"/>
      <c r="C23" s="23"/>
      <c r="D23" s="23"/>
      <c r="E23" s="21"/>
      <c r="F23" s="21"/>
      <c r="G23" s="21"/>
      <c r="H23" s="23"/>
    </row>
    <row r="24" customFormat="false" ht="15" hidden="false" customHeight="false" outlineLevel="0" collapsed="false">
      <c r="A24" s="21"/>
      <c r="B24" s="21"/>
      <c r="C24" s="23"/>
      <c r="D24" s="23"/>
      <c r="E24" s="21"/>
      <c r="F24" s="21"/>
      <c r="G24" s="21"/>
      <c r="H24" s="23"/>
    </row>
    <row r="25" customFormat="false" ht="15" hidden="false" customHeight="false" outlineLevel="0" collapsed="false">
      <c r="A25" s="21"/>
      <c r="B25" s="21"/>
      <c r="C25" s="23"/>
      <c r="D25" s="23"/>
      <c r="E25" s="21"/>
      <c r="F25" s="21"/>
      <c r="G25" s="21"/>
      <c r="H25" s="23"/>
    </row>
    <row r="26" customFormat="false" ht="15" hidden="false" customHeight="false" outlineLevel="0" collapsed="false">
      <c r="A26" s="21"/>
      <c r="B26" s="21"/>
      <c r="C26" s="23"/>
      <c r="D26" s="23"/>
      <c r="E26" s="21"/>
      <c r="F26" s="21"/>
      <c r="G26" s="21"/>
      <c r="H26" s="23"/>
    </row>
    <row r="27" customFormat="false" ht="15" hidden="false" customHeight="false" outlineLevel="0" collapsed="false">
      <c r="A27" s="21"/>
      <c r="B27" s="21"/>
      <c r="C27" s="23"/>
      <c r="D27" s="23"/>
      <c r="E27" s="21"/>
      <c r="F27" s="21"/>
      <c r="G27" s="21"/>
      <c r="H27" s="23"/>
    </row>
    <row r="28" customFormat="false" ht="15" hidden="false" customHeight="false" outlineLevel="0" collapsed="false">
      <c r="A28" s="21"/>
      <c r="B28" s="21"/>
      <c r="C28" s="23"/>
      <c r="D28" s="23"/>
      <c r="E28" s="21"/>
      <c r="F28" s="21"/>
      <c r="G28" s="21"/>
      <c r="H28" s="23"/>
    </row>
    <row r="29" customFormat="false" ht="15" hidden="false" customHeight="false" outlineLevel="0" collapsed="false">
      <c r="A29" s="21"/>
      <c r="B29" s="21"/>
      <c r="C29" s="23"/>
      <c r="D29" s="23"/>
      <c r="E29" s="21"/>
      <c r="F29" s="21"/>
      <c r="G29" s="21"/>
      <c r="H29" s="23"/>
    </row>
    <row r="30" customFormat="false" ht="15" hidden="false" customHeight="false" outlineLevel="0" collapsed="false">
      <c r="A30" s="21"/>
      <c r="B30" s="21"/>
      <c r="C30" s="23"/>
      <c r="D30" s="23"/>
      <c r="E30" s="21"/>
      <c r="F30" s="21"/>
      <c r="G30" s="21"/>
      <c r="H30" s="23"/>
    </row>
    <row r="31" customFormat="false" ht="15" hidden="false" customHeight="false" outlineLevel="0" collapsed="false">
      <c r="A31" s="21"/>
      <c r="B31" s="21"/>
      <c r="C31" s="23"/>
      <c r="D31" s="23"/>
      <c r="E31" s="21"/>
      <c r="F31" s="21"/>
      <c r="G31" s="21"/>
      <c r="H31" s="23"/>
    </row>
    <row r="32" customFormat="false" ht="15" hidden="false" customHeight="false" outlineLevel="0" collapsed="false">
      <c r="A32" s="21"/>
      <c r="B32" s="21"/>
      <c r="C32" s="23"/>
      <c r="D32" s="23"/>
      <c r="E32" s="21"/>
      <c r="F32" s="21"/>
      <c r="G32" s="21"/>
      <c r="H32" s="23"/>
    </row>
    <row r="33" customFormat="false" ht="15" hidden="false" customHeight="false" outlineLevel="0" collapsed="false">
      <c r="A33" s="21"/>
      <c r="B33" s="21"/>
      <c r="C33" s="23"/>
      <c r="D33" s="23"/>
      <c r="E33" s="21"/>
      <c r="F33" s="21"/>
      <c r="G33" s="21"/>
      <c r="H33" s="23"/>
    </row>
    <row r="34" customFormat="false" ht="15" hidden="false" customHeight="false" outlineLevel="0" collapsed="false">
      <c r="A34" s="21"/>
      <c r="B34" s="21"/>
      <c r="C34" s="23"/>
      <c r="D34" s="23"/>
      <c r="E34" s="21"/>
      <c r="F34" s="21"/>
      <c r="G34" s="21"/>
      <c r="H34" s="23"/>
    </row>
    <row r="35" customFormat="false" ht="15" hidden="false" customHeight="false" outlineLevel="0" collapsed="false">
      <c r="A35" s="21"/>
      <c r="B35" s="21"/>
      <c r="C35" s="23"/>
      <c r="D35" s="23"/>
      <c r="E35" s="21"/>
      <c r="F35" s="21"/>
      <c r="G35" s="21"/>
      <c r="H35" s="23"/>
    </row>
    <row r="36" customFormat="false" ht="15" hidden="false" customHeight="false" outlineLevel="0" collapsed="false">
      <c r="A36" s="21"/>
      <c r="B36" s="21"/>
      <c r="C36" s="23"/>
      <c r="D36" s="23"/>
      <c r="E36" s="21"/>
      <c r="F36" s="21"/>
      <c r="G36" s="21"/>
      <c r="H36" s="23"/>
    </row>
    <row r="37" customFormat="false" ht="15" hidden="false" customHeight="false" outlineLevel="0" collapsed="false">
      <c r="A37" s="21"/>
      <c r="B37" s="21"/>
      <c r="C37" s="23"/>
      <c r="D37" s="23"/>
      <c r="E37" s="21"/>
      <c r="F37" s="21"/>
      <c r="G37" s="21"/>
      <c r="H37" s="23"/>
    </row>
    <row r="38" customFormat="false" ht="15" hidden="false" customHeight="false" outlineLevel="0" collapsed="false">
      <c r="A38" s="21"/>
      <c r="B38" s="21"/>
      <c r="C38" s="23"/>
      <c r="D38" s="23"/>
      <c r="E38" s="21"/>
      <c r="F38" s="21"/>
      <c r="G38" s="21"/>
      <c r="H38" s="23"/>
    </row>
    <row r="39" customFormat="false" ht="15" hidden="false" customHeight="false" outlineLevel="0" collapsed="false">
      <c r="A39" s="21"/>
      <c r="B39" s="21"/>
      <c r="C39" s="23"/>
      <c r="D39" s="23"/>
      <c r="E39" s="21"/>
      <c r="F39" s="21"/>
      <c r="G39" s="21"/>
      <c r="H39" s="23"/>
    </row>
    <row r="40" customFormat="false" ht="15" hidden="false" customHeight="false" outlineLevel="0" collapsed="false">
      <c r="A40" s="21"/>
      <c r="B40" s="21"/>
      <c r="C40" s="23"/>
      <c r="D40" s="23"/>
      <c r="E40" s="21"/>
      <c r="F40" s="21"/>
      <c r="G40" s="21"/>
      <c r="H40" s="23"/>
    </row>
    <row r="41" customFormat="false" ht="15" hidden="false" customHeight="false" outlineLevel="0" collapsed="false">
      <c r="A41" s="21"/>
      <c r="B41" s="21"/>
      <c r="C41" s="23"/>
      <c r="D41" s="23"/>
      <c r="E41" s="21"/>
      <c r="F41" s="21"/>
      <c r="G41" s="21"/>
      <c r="H41" s="23"/>
    </row>
    <row r="42" customFormat="false" ht="15" hidden="false" customHeight="false" outlineLevel="0" collapsed="false">
      <c r="A42" s="21"/>
      <c r="B42" s="21"/>
      <c r="C42" s="23"/>
      <c r="D42" s="23"/>
      <c r="E42" s="21"/>
      <c r="F42" s="21"/>
      <c r="G42" s="21"/>
      <c r="H42" s="23"/>
    </row>
    <row r="43" customFormat="false" ht="15" hidden="false" customHeight="false" outlineLevel="0" collapsed="false">
      <c r="A43" s="21"/>
      <c r="B43" s="21"/>
      <c r="C43" s="23"/>
      <c r="D43" s="23"/>
      <c r="E43" s="21"/>
      <c r="F43" s="21"/>
      <c r="G43" s="21"/>
      <c r="H43" s="23"/>
    </row>
    <row r="44" customFormat="false" ht="15" hidden="false" customHeight="false" outlineLevel="0" collapsed="false">
      <c r="A44" s="21"/>
      <c r="B44" s="21"/>
      <c r="C44" s="23"/>
      <c r="D44" s="23"/>
      <c r="E44" s="21"/>
      <c r="F44" s="21"/>
      <c r="G44" s="21"/>
      <c r="H44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</cols>
  <sheetData>
    <row r="1" customFormat="false" ht="30" hidden="false" customHeight="true" outlineLevel="0" collapsed="false">
      <c r="A1" s="19" t="s">
        <v>39</v>
      </c>
      <c r="B1" s="19" t="s">
        <v>41</v>
      </c>
      <c r="C1" s="19" t="s">
        <v>93</v>
      </c>
    </row>
    <row r="2" customFormat="false" ht="15" hidden="false" customHeight="false" outlineLevel="0" collapsed="false">
      <c r="A2" s="24" t="s">
        <v>58</v>
      </c>
      <c r="B2" s="24" t="s">
        <v>60</v>
      </c>
      <c r="C2" s="24" t="s">
        <v>92</v>
      </c>
    </row>
    <row r="3" customFormat="false" ht="15" hidden="false" customHeight="false" outlineLevel="0" collapsed="false">
      <c r="A3" s="24" t="s">
        <v>50</v>
      </c>
      <c r="B3" s="24" t="s">
        <v>52</v>
      </c>
      <c r="C3" s="24" t="s">
        <v>94</v>
      </c>
    </row>
    <row r="4" customFormat="false" ht="15" hidden="false" customHeight="false" outlineLevel="0" collapsed="false">
      <c r="A4" s="24" t="s">
        <v>76</v>
      </c>
      <c r="B4" s="24" t="s">
        <v>78</v>
      </c>
      <c r="C4" s="24" t="s">
        <v>95</v>
      </c>
    </row>
    <row r="5" customFormat="false" ht="15" hidden="false" customHeight="false" outlineLevel="0" collapsed="false">
      <c r="A5" s="24" t="s">
        <v>67</v>
      </c>
      <c r="B5" s="24" t="s">
        <v>96</v>
      </c>
      <c r="C5" s="24" t="s">
        <v>97</v>
      </c>
    </row>
    <row r="6" customFormat="false" ht="15" hidden="false" customHeight="false" outlineLevel="0" collapsed="false">
      <c r="B6" s="25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2026-08-18T03:08:51Z</dcterms:created>
  <dc:creator>openpyxl</dc:creator>
  <dc:description/>
  <dc:language>en-US</dc:language>
  <cp:lastModifiedBy/>
  <dcterms:modified xsi:type="dcterms:W3CDTF">2026-08-18T03:08:51Z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