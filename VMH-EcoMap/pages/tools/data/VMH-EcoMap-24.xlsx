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_ReadMe" sheetId="1" state="visible" r:id="rId3"/>
    <sheet name="00_儀表板_Dashboard" sheetId="2" state="visible" r:id="rId4"/>
    <sheet name="01_專案設定_Setup" sheetId="3" state="visible" r:id="rId5"/>
    <sheet name="02_里程碑_Milestones" sheetId="4" state="visible" r:id="rId6"/>
    <sheet name="03_EVM月報_Monthly" sheetId="5" state="visible" r:id="rId7"/>
    <sheet name="04_收款_Receivables" sheetId="6" state="visible" r:id="rId8"/>
    <sheet name="_選單_Lis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<sst xmlns="http://schemas.openxmlformats.org/spreadsheetml/2006/main" count="135" uniqueCount="117">
  <si>
    <r>
      <rPr>
        <b val="true"/>
        <sz val="15"/>
        <color rgb="FF1F3864"/>
        <rFont val="Arial"/>
        <family val="0"/>
        <charset val="1"/>
      </rPr>
      <t xml:space="preserve">VMH-EcoMap-24 </t>
    </r>
    <r>
      <rPr>
        <b val="true"/>
        <sz val="15"/>
        <color rgb="FF1F3864"/>
        <rFont val="Noto Sans CJK SC"/>
        <family val="2"/>
      </rPr>
      <t xml:space="preserve">交付與收款儀表板｜使用說明</t>
    </r>
  </si>
  <si>
    <r>
      <rPr>
        <sz val="10"/>
        <color rgb="FF6B7280"/>
        <rFont val="Arial"/>
        <family val="0"/>
        <charset val="1"/>
      </rPr>
      <t xml:space="preserve">P3 </t>
    </r>
    <r>
      <rPr>
        <sz val="10"/>
        <color rgb="FF6B7280"/>
        <rFont val="Noto Sans CJK SC"/>
        <family val="2"/>
      </rPr>
      <t xml:space="preserve">執行交付工具・案件自 </t>
    </r>
    <r>
      <rPr>
        <sz val="10"/>
        <color rgb="FF6B7280"/>
        <rFont val="Arial"/>
        <family val="0"/>
        <charset val="1"/>
      </rPr>
      <t xml:space="preserve">20 </t>
    </r>
    <r>
      <rPr>
        <sz val="10"/>
        <color rgb="FF6B7280"/>
        <rFont val="Noto Sans CJK SC"/>
        <family val="2"/>
      </rPr>
      <t xml:space="preserve">號漏斗簽約後轉入・付款計畫沿用 </t>
    </r>
    <r>
      <rPr>
        <sz val="10"/>
        <color rgb="FF6B7280"/>
        <rFont val="Arial"/>
        <family val="0"/>
        <charset val="1"/>
      </rPr>
      <t xml:space="preserve">21 </t>
    </r>
    <r>
      <rPr>
        <sz val="10"/>
        <color rgb="FF6B7280"/>
        <rFont val="Noto Sans CJK SC"/>
        <family val="2"/>
      </rPr>
      <t xml:space="preserve">號</t>
    </r>
  </si>
  <si>
    <t xml:space="preserve">■ 這個工具在回答什麼</t>
  </si>
  <si>
    <r>
      <rPr>
        <sz val="10"/>
        <rFont val="Noto Sans CJK SC"/>
        <family val="2"/>
      </rPr>
      <t xml:space="preserve">簽約只是開始。這張表回答執行期最重要的四個問題：進度落後了嗎？成本超支了嗎？錢收到了沒？墊資墊到多深？
用的是實獲值管理（</t>
    </r>
    <r>
      <rPr>
        <sz val="10"/>
        <rFont val="Arial"/>
        <family val="0"/>
        <charset val="1"/>
      </rPr>
      <t xml:space="preserve">EVM</t>
    </r>
    <r>
      <rPr>
        <sz val="10"/>
        <rFont val="Noto Sans CJK SC"/>
        <family val="2"/>
      </rPr>
      <t xml:space="preserve">）的簡化版——工程與政府專案的國際標準方法，但只保留三個數字，非 </t>
    </r>
    <r>
      <rPr>
        <sz val="10"/>
        <rFont val="Arial"/>
        <family val="0"/>
        <charset val="1"/>
      </rPr>
      <t xml:space="preserve">PM </t>
    </r>
    <r>
      <rPr>
        <sz val="10"/>
        <rFont val="Noto Sans CJK SC"/>
        <family val="2"/>
      </rPr>
      <t xml:space="preserve">背景也看得懂。</t>
    </r>
  </si>
  <si>
    <r>
      <rPr>
        <b val="true"/>
        <sz val="10"/>
        <rFont val="Arial"/>
        <family val="0"/>
        <charset val="1"/>
      </rPr>
      <t xml:space="preserve">■ EVM </t>
    </r>
    <r>
      <rPr>
        <b val="true"/>
        <sz val="10"/>
        <rFont val="Noto Sans CJK SC"/>
        <family val="2"/>
      </rPr>
      <t xml:space="preserve">三個數字的白話翻譯</t>
    </r>
  </si>
  <si>
    <r>
      <rPr>
        <sz val="10"/>
        <rFont val="Arial"/>
        <family val="0"/>
        <charset val="1"/>
      </rPr>
      <t xml:space="preserve">PV </t>
    </r>
    <r>
      <rPr>
        <sz val="10"/>
        <rFont val="Noto Sans CJK SC"/>
        <family val="2"/>
      </rPr>
      <t xml:space="preserve">計畫值＝到今天為止「照計畫應該做完多少錢的活」。
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實獲值＝實際做完的活，換算成錢。
</t>
    </r>
    <r>
      <rPr>
        <sz val="10"/>
        <rFont val="Arial"/>
        <family val="0"/>
        <charset val="1"/>
      </rPr>
      <t xml:space="preserve">AC </t>
    </r>
    <r>
      <rPr>
        <sz val="10"/>
        <rFont val="Noto Sans CJK SC"/>
        <family val="2"/>
      </rPr>
      <t xml:space="preserve">實際成本＝實際花掉的錢。
</t>
    </r>
    <r>
      <rPr>
        <sz val="10"/>
        <rFont val="Arial"/>
        <family val="0"/>
        <charset val="1"/>
      </rPr>
      <t xml:space="preserve">SPI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EV÷PV</t>
    </r>
    <r>
      <rPr>
        <sz val="10"/>
        <rFont val="Noto Sans CJK SC"/>
        <family val="2"/>
      </rPr>
      <t xml:space="preserve">：小於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＝進度落後。</t>
    </r>
    <r>
      <rPr>
        <sz val="10"/>
        <rFont val="Arial"/>
        <family val="0"/>
        <charset val="1"/>
      </rPr>
      <t xml:space="preserve">CPI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EV÷AC</t>
    </r>
    <r>
      <rPr>
        <sz val="10"/>
        <rFont val="Noto Sans CJK SC"/>
        <family val="2"/>
      </rPr>
      <t xml:space="preserve">：小於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＝每花一塊錢只做出不到一塊錢的活。
</t>
    </r>
    <r>
      <rPr>
        <sz val="10"/>
        <rFont val="Arial"/>
        <family val="0"/>
        <charset val="1"/>
      </rPr>
      <t xml:space="preserve">EAC </t>
    </r>
    <r>
      <rPr>
        <sz val="10"/>
        <rFont val="Noto Sans CJK SC"/>
        <family val="2"/>
      </rPr>
      <t xml:space="preserve">預測完工成本＝總預算</t>
    </r>
    <r>
      <rPr>
        <sz val="10"/>
        <rFont val="Arial"/>
        <family val="0"/>
        <charset val="1"/>
      </rPr>
      <t xml:space="preserve">÷CPI</t>
    </r>
    <r>
      <rPr>
        <sz val="10"/>
        <rFont val="Noto Sans CJK SC"/>
        <family val="2"/>
      </rPr>
      <t xml:space="preserve">：照目前效率做完全案會花多少——這是最早的超支預警。</t>
    </r>
  </si>
  <si>
    <r>
      <rPr>
        <b val="true"/>
        <sz val="10"/>
        <rFont val="Noto Sans CJK SC"/>
        <family val="2"/>
      </rPr>
      <t xml:space="preserve">■ 每月月底 </t>
    </r>
    <r>
      <rPr>
        <b val="true"/>
        <sz val="10"/>
        <rFont val="Arial"/>
        <family val="0"/>
        <charset val="1"/>
      </rPr>
      <t xml:space="preserve">20 </t>
    </r>
    <r>
      <rPr>
        <b val="true"/>
        <sz val="10"/>
        <rFont val="Noto Sans CJK SC"/>
        <family val="2"/>
      </rPr>
      <t xml:space="preserve">分鐘例行</t>
    </r>
  </si>
  <si>
    <r>
      <rPr>
        <sz val="10"/>
        <rFont val="Noto Sans CJK SC"/>
        <family val="2"/>
      </rPr>
      <t xml:space="preserve">① 里程碑頁：把本月完成的里程碑填上實際完成日。
② </t>
    </r>
    <r>
      <rPr>
        <sz val="10"/>
        <rFont val="Arial"/>
        <family val="0"/>
        <charset val="1"/>
      </rPr>
      <t xml:space="preserve">EVM </t>
    </r>
    <r>
      <rPr>
        <sz val="10"/>
        <rFont val="Noto Sans CJK SC"/>
        <family val="2"/>
      </rPr>
      <t xml:space="preserve">月報：填「實際完成累計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」（誠實估，寧可保守）與「實際成本累計」。
③ 收款頁：把收到的款填實收日與金額。
④ 看儀表板：</t>
    </r>
    <r>
      <rPr>
        <sz val="10"/>
        <rFont val="Arial"/>
        <family val="0"/>
        <charset val="1"/>
      </rPr>
      <t xml:space="preserve">SPI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連續兩個月低於 </t>
    </r>
    <r>
      <rPr>
        <sz val="10"/>
        <rFont val="Arial"/>
        <family val="0"/>
        <charset val="1"/>
      </rPr>
      <t xml:space="preserve">0.9 </t>
    </r>
    <r>
      <rPr>
        <sz val="10"/>
        <rFont val="Noto Sans CJK SC"/>
        <family val="2"/>
      </rPr>
      <t xml:space="preserve">就要開檢討會，不要等到驗收才發現。</t>
    </r>
  </si>
  <si>
    <t xml:space="preserve">■ 與其他工具的銜接</t>
  </si>
  <si>
    <r>
      <rPr>
        <sz val="10"/>
        <rFont val="Noto Sans CJK SC"/>
        <family val="2"/>
      </rPr>
      <t xml:space="preserve">案件在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號漏斗簽約後轉入這裡；付款計畫直接沿用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號投標試算的付款條件頁。
結案後把「實際總成本」回填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號的假設來源頁——這是下一案報價最珍貴的校正資料。</t>
    </r>
  </si>
  <si>
    <r>
      <rPr>
        <b val="true"/>
        <sz val="15"/>
        <color rgb="FF1F3864"/>
        <rFont val="Noto Sans CJK SC"/>
        <family val="2"/>
      </rPr>
      <t xml:space="preserve">儀表板｜</t>
    </r>
    <r>
      <rPr>
        <b val="true"/>
        <sz val="15"/>
        <color rgb="FF1F3864"/>
        <rFont val="Arial"/>
        <family val="0"/>
        <charset val="1"/>
      </rPr>
      <t xml:space="preserve">Dashboard</t>
    </r>
    <r>
      <rPr>
        <b val="true"/>
        <sz val="15"/>
        <color rgb="FF1F3864"/>
        <rFont val="Noto Sans CJK SC"/>
        <family val="2"/>
      </rPr>
      <t xml:space="preserve">（全自動）</t>
    </r>
  </si>
  <si>
    <t xml:space="preserve">❓一眼看：進度、成本、現金三件事健不健康。</t>
  </si>
  <si>
    <r>
      <rPr>
        <sz val="10"/>
        <rFont val="Arial"/>
        <family val="0"/>
        <charset val="1"/>
      </rPr>
      <t xml:space="preserve">SPI </t>
    </r>
    <r>
      <rPr>
        <sz val="10"/>
        <rFont val="Noto Sans CJK SC"/>
        <family val="2"/>
      </rPr>
      <t xml:space="preserve">進度績效</t>
    </r>
  </si>
  <si>
    <r>
      <rPr>
        <sz val="9"/>
        <color rgb="FF6B7280"/>
        <rFont val="Arial"/>
        <family val="0"/>
        <charset val="1"/>
      </rPr>
      <t xml:space="preserve">&lt;1</t>
    </r>
    <r>
      <rPr>
        <sz val="9"/>
        <color rgb="FF6B7280"/>
        <rFont val="Noto Sans CJK SC"/>
        <family val="2"/>
      </rPr>
      <t xml:space="preserve">＝進度落後。</t>
    </r>
    <r>
      <rPr>
        <sz val="9"/>
        <color rgb="FF6B7280"/>
        <rFont val="Arial"/>
        <family val="0"/>
        <charset val="1"/>
      </rPr>
      <t xml:space="preserve">0.9 </t>
    </r>
    <r>
      <rPr>
        <sz val="9"/>
        <color rgb="FF6B7280"/>
        <rFont val="Noto Sans CJK SC"/>
        <family val="2"/>
      </rPr>
      <t xml:space="preserve">以下連兩個月要開檢討會</t>
    </r>
  </si>
  <si>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成本績效</t>
    </r>
  </si>
  <si>
    <r>
      <rPr>
        <sz val="9"/>
        <color rgb="FF6B7280"/>
        <rFont val="Arial"/>
        <family val="0"/>
        <charset val="1"/>
      </rPr>
      <t xml:space="preserve">&lt;1</t>
    </r>
    <r>
      <rPr>
        <sz val="9"/>
        <color rgb="FF6B7280"/>
        <rFont val="Noto Sans CJK SC"/>
        <family val="2"/>
      </rPr>
      <t xml:space="preserve">＝花錢的效率不夠</t>
    </r>
  </si>
  <si>
    <r>
      <rPr>
        <sz val="10"/>
        <rFont val="Arial"/>
        <family val="0"/>
        <charset val="1"/>
      </rPr>
      <t xml:space="preserve">EAC </t>
    </r>
    <r>
      <rPr>
        <sz val="10"/>
        <rFont val="Noto Sans CJK SC"/>
        <family val="2"/>
      </rPr>
      <t xml:space="preserve">預測完工成本</t>
    </r>
  </si>
  <si>
    <r>
      <rPr>
        <sz val="9"/>
        <color rgb="FF6B7280"/>
        <rFont val="Noto Sans CJK SC"/>
        <family val="2"/>
      </rPr>
      <t xml:space="preserve">千</t>
    </r>
    <r>
      <rPr>
        <sz val="9"/>
        <color rgb="FF6B7280"/>
        <rFont val="Arial"/>
        <family val="0"/>
        <charset val="1"/>
      </rPr>
      <t xml:space="preserve">USD</t>
    </r>
    <r>
      <rPr>
        <sz val="9"/>
        <color rgb="FF6B7280"/>
        <rFont val="Noto Sans CJK SC"/>
        <family val="2"/>
      </rPr>
      <t xml:space="preserve">。照目前效率做完全案會花多少</t>
    </r>
  </si>
  <si>
    <r>
      <rPr>
        <sz val="10"/>
        <rFont val="Noto Sans CJK SC"/>
        <family val="2"/>
      </rPr>
      <t xml:space="preserve">預算 </t>
    </r>
    <r>
      <rPr>
        <sz val="10"/>
        <rFont val="Arial"/>
        <family val="0"/>
        <charset val="1"/>
      </rPr>
      <t xml:space="preserve">BAC</t>
    </r>
  </si>
  <si>
    <r>
      <rPr>
        <sz val="9"/>
        <color rgb="FF6B7280"/>
        <rFont val="Noto Sans CJK SC"/>
        <family val="2"/>
      </rPr>
      <t xml:space="preserve">千</t>
    </r>
    <r>
      <rPr>
        <sz val="9"/>
        <color rgb="FF6B7280"/>
        <rFont val="Arial"/>
        <family val="0"/>
        <charset val="1"/>
      </rPr>
      <t xml:space="preserve">USD</t>
    </r>
  </si>
  <si>
    <t xml:space="preserve">預測超支</t>
  </si>
  <si>
    <r>
      <rPr>
        <sz val="9"/>
        <color rgb="FF6B7280"/>
        <rFont val="Noto Sans CJK SC"/>
        <family val="2"/>
      </rPr>
      <t xml:space="preserve">千</t>
    </r>
    <r>
      <rPr>
        <sz val="9"/>
        <color rgb="FF6B7280"/>
        <rFont val="Arial"/>
        <family val="0"/>
        <charset val="1"/>
      </rPr>
      <t xml:space="preserve">USD</t>
    </r>
    <r>
      <rPr>
        <sz val="9"/>
        <color rgb="FF6B7280"/>
        <rFont val="Noto Sans CJK SC"/>
        <family val="2"/>
      </rPr>
      <t xml:space="preserve">。正數＝會超支，現在就要處理</t>
    </r>
  </si>
  <si>
    <t xml:space="preserve">里程碑達成</t>
  </si>
  <si>
    <t xml:space="preserve">已收款</t>
  </si>
  <si>
    <t xml:space="preserve">收款達成率</t>
  </si>
  <si>
    <r>
      <rPr>
        <sz val="9"/>
        <color rgb="FF6B7280"/>
        <rFont val="Noto Sans CJK SC"/>
        <family val="2"/>
      </rPr>
      <t xml:space="preserve">已收 </t>
    </r>
    <r>
      <rPr>
        <sz val="9"/>
        <color rgb="FF6B7280"/>
        <rFont val="Arial"/>
        <family val="0"/>
        <charset val="1"/>
      </rPr>
      <t xml:space="preserve">÷ </t>
    </r>
    <r>
      <rPr>
        <sz val="9"/>
        <color rgb="FF6B7280"/>
        <rFont val="Noto Sans CJK SC"/>
        <family val="2"/>
      </rPr>
      <t xml:space="preserve">已到期應收</t>
    </r>
  </si>
  <si>
    <t xml:space="preserve">逾期未收</t>
  </si>
  <si>
    <r>
      <rPr>
        <sz val="9"/>
        <color rgb="FF6B7280"/>
        <rFont val="Noto Sans CJK SC"/>
        <family val="2"/>
      </rPr>
      <t xml:space="preserve">千</t>
    </r>
    <r>
      <rPr>
        <sz val="9"/>
        <color rgb="FF6B7280"/>
        <rFont val="Arial"/>
        <family val="0"/>
        <charset val="1"/>
      </rPr>
      <t xml:space="preserve">USD ★ </t>
    </r>
    <r>
      <rPr>
        <sz val="9"/>
        <color rgb="FF6B7280"/>
        <rFont val="Noto Sans CJK SC"/>
        <family val="2"/>
      </rPr>
      <t xml:space="preserve">這是最該追的數字</t>
    </r>
  </si>
  <si>
    <r>
      <rPr>
        <sz val="9"/>
        <color rgb="FF6B7280"/>
        <rFont val="Arial"/>
        <family val="0"/>
        <charset val="1"/>
      </rPr>
      <t xml:space="preserve">SPI/CPI </t>
    </r>
    <r>
      <rPr>
        <sz val="9"/>
        <color rgb="FF6B7280"/>
        <rFont val="Noto Sans CJK SC"/>
        <family val="2"/>
      </rPr>
      <t xml:space="preserve">曲線與現金流階梯圖請開 </t>
    </r>
    <r>
      <rPr>
        <sz val="9"/>
        <color rgb="FF6B7280"/>
        <rFont val="Arial"/>
        <family val="0"/>
        <charset val="1"/>
      </rPr>
      <t xml:space="preserve">HTML </t>
    </r>
    <r>
      <rPr>
        <sz val="9"/>
        <color rgb="FF6B7280"/>
        <rFont val="Noto Sans CJK SC"/>
        <family val="2"/>
      </rPr>
      <t xml:space="preserve">版（</t>
    </r>
    <r>
      <rPr>
        <sz val="9"/>
        <color rgb="FF6B7280"/>
        <rFont val="Arial"/>
        <family val="0"/>
        <charset val="1"/>
      </rPr>
      <t xml:space="preserve">tools/delivery.html</t>
    </r>
    <r>
      <rPr>
        <sz val="9"/>
        <color rgb="FF6B7280"/>
        <rFont val="Noto Sans CJK SC"/>
        <family val="2"/>
      </rPr>
      <t xml:space="preserve">）。結案後：把最後的 </t>
    </r>
    <r>
      <rPr>
        <sz val="9"/>
        <color rgb="FF6B7280"/>
        <rFont val="Arial"/>
        <family val="0"/>
        <charset val="1"/>
      </rPr>
      <t xml:space="preserve">AC </t>
    </r>
    <r>
      <rPr>
        <sz val="9"/>
        <color rgb="FF6B7280"/>
        <rFont val="Noto Sans CJK SC"/>
        <family val="2"/>
      </rPr>
      <t xml:space="preserve">實際成本回填 </t>
    </r>
    <r>
      <rPr>
        <sz val="9"/>
        <color rgb="FF6B7280"/>
        <rFont val="Arial"/>
        <family val="0"/>
        <charset val="1"/>
      </rPr>
      <t xml:space="preserve">21 </t>
    </r>
    <r>
      <rPr>
        <sz val="9"/>
        <color rgb="FF6B7280"/>
        <rFont val="Noto Sans CJK SC"/>
        <family val="2"/>
      </rPr>
      <t xml:space="preserve">號「假設來源」頁，讓下一案的估價踩在真實數字上。</t>
    </r>
  </si>
  <si>
    <r>
      <rPr>
        <b val="true"/>
        <sz val="15"/>
        <color rgb="FF1F3864"/>
        <rFont val="Noto Sans CJK SC"/>
        <family val="2"/>
      </rPr>
      <t xml:space="preserve">專案設定｜</t>
    </r>
    <r>
      <rPr>
        <b val="true"/>
        <sz val="15"/>
        <color rgb="FF1F3864"/>
        <rFont val="Arial"/>
        <family val="0"/>
        <charset val="1"/>
      </rPr>
      <t xml:space="preserve">Setup</t>
    </r>
  </si>
  <si>
    <t xml:space="preserve">❓這一案的合約金額、預算、時程基準。</t>
  </si>
  <si>
    <t xml:space="preserve">圖例：</t>
  </si>
  <si>
    <t xml:space="preserve">　要填　</t>
  </si>
  <si>
    <t xml:space="preserve">　自動　</t>
  </si>
  <si>
    <t xml:space="preserve">（範例為虛構案件，參考後換成真實資料）</t>
  </si>
  <si>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（自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號漏斗）</t>
    </r>
  </si>
  <si>
    <t xml:space="preserve">P-002</t>
  </si>
  <si>
    <t xml:space="preserve">案件名稱</t>
  </si>
  <si>
    <r>
      <rPr>
        <sz val="10"/>
        <color rgb="FF000000"/>
        <rFont val="Noto Sans CJK SC"/>
        <family val="2"/>
      </rPr>
      <t xml:space="preserve">（虛構範例）峴港綜合醫院 </t>
    </r>
    <r>
      <rPr>
        <sz val="10"/>
        <color rgb="FF000000"/>
        <rFont val="Arial"/>
        <family val="0"/>
        <charset val="1"/>
      </rPr>
      <t xml:space="preserve">UPS </t>
    </r>
    <r>
      <rPr>
        <sz val="10"/>
        <color rgb="FF000000"/>
        <rFont val="Noto Sans CJK SC"/>
        <family val="2"/>
      </rPr>
      <t xml:space="preserve">與不斷電系統</t>
    </r>
  </si>
  <si>
    <r>
      <rPr>
        <b val="true"/>
        <sz val="10"/>
        <rFont val="Noto Sans CJK SC"/>
        <family val="2"/>
      </rPr>
      <t xml:space="preserve">合約金額（千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</si>
  <si>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總成本預算 </t>
    </r>
    <r>
      <rPr>
        <b val="true"/>
        <sz val="10"/>
        <rFont val="Arial"/>
        <family val="0"/>
        <charset val="1"/>
      </rPr>
      <t xml:space="preserve">BAC</t>
    </r>
    <r>
      <rPr>
        <b val="true"/>
        <sz val="10"/>
        <rFont val="Noto Sans CJK SC"/>
        <family val="2"/>
      </rPr>
      <t xml:space="preserve">（千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</si>
  <si>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6B7280"/>
        <rFont val="Noto Sans CJK SC"/>
        <family val="2"/>
      </rPr>
      <t xml:space="preserve">來自 </t>
    </r>
    <r>
      <rPr>
        <sz val="9"/>
        <color rgb="FF6B7280"/>
        <rFont val="Arial"/>
        <family val="0"/>
        <charset val="1"/>
      </rPr>
      <t xml:space="preserve">21 </t>
    </r>
    <r>
      <rPr>
        <sz val="9"/>
        <color rgb="FF6B7280"/>
        <rFont val="Noto Sans CJK SC"/>
        <family val="2"/>
      </rPr>
      <t xml:space="preserve">號投標試算的總成本——</t>
    </r>
    <r>
      <rPr>
        <sz val="9"/>
        <color rgb="FF6B7280"/>
        <rFont val="Arial"/>
        <family val="0"/>
        <charset val="1"/>
      </rPr>
      <t xml:space="preserve">EVM </t>
    </r>
    <r>
      <rPr>
        <sz val="9"/>
        <color rgb="FF6B7280"/>
        <rFont val="Noto Sans CJK SC"/>
        <family val="2"/>
      </rPr>
      <t xml:space="preserve">的分母</t>
    </r>
  </si>
  <si>
    <t xml:space="preserve">開工日</t>
  </si>
  <si>
    <t xml:space="preserve">2026-04-01</t>
  </si>
  <si>
    <t xml:space="preserve">合約工期（月）</t>
  </si>
  <si>
    <t xml:space="preserve">資料基準日</t>
  </si>
  <si>
    <t xml:space="preserve">2026-08-18</t>
  </si>
  <si>
    <t xml:space="preserve">本次更新的月份</t>
  </si>
  <si>
    <r>
      <rPr>
        <b val="true"/>
        <sz val="15"/>
        <color rgb="FF1F3864"/>
        <rFont val="Noto Sans CJK SC"/>
        <family val="2"/>
      </rPr>
      <t xml:space="preserve">里程碑｜</t>
    </r>
    <r>
      <rPr>
        <b val="true"/>
        <sz val="15"/>
        <color rgb="FF1F3864"/>
        <rFont val="Arial"/>
        <family val="0"/>
        <charset val="1"/>
      </rPr>
      <t xml:space="preserve">Milestones</t>
    </r>
  </si>
  <si>
    <t xml:space="preserve">❓這頁在回答：關鍵節點有沒有準時過？</t>
  </si>
  <si>
    <t xml:space="preserve">里程碑</t>
  </si>
  <si>
    <r>
      <rPr>
        <b val="true"/>
        <sz val="10"/>
        <color rgb="FFFFFFFF"/>
        <rFont val="Noto Sans CJK SC"/>
        <family val="2"/>
      </rPr>
      <t xml:space="preserve">權重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</si>
  <si>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計畫完成日</t>
  </si>
  <si>
    <t xml:space="preserve">實際完成日</t>
  </si>
  <si>
    <t xml:space="preserve">延誤天數</t>
  </si>
  <si>
    <t xml:space="preserve">狀態</t>
  </si>
  <si>
    <t xml:space="preserve">備註</t>
  </si>
  <si>
    <t xml:space="preserve">合約生效與預付款</t>
  </si>
  <si>
    <t xml:space="preserve">設備下單與工廠排產</t>
  </si>
  <si>
    <t xml:space="preserve">2026-04-20</t>
  </si>
  <si>
    <t xml:space="preserve">2026-04-25</t>
  </si>
  <si>
    <r>
      <rPr>
        <sz val="10"/>
        <rFont val="Noto Sans CJK SC"/>
        <family val="2"/>
      </rPr>
      <t xml:space="preserve">設備出廠驗收 </t>
    </r>
    <r>
      <rPr>
        <sz val="10"/>
        <rFont val="Arial"/>
        <family val="0"/>
        <charset val="1"/>
      </rPr>
      <t xml:space="preserve">FAT</t>
    </r>
  </si>
  <si>
    <t xml:space="preserve">2026-06-15</t>
  </si>
  <si>
    <t xml:space="preserve">2026-06-28</t>
  </si>
  <si>
    <t xml:space="preserve">到港清關</t>
  </si>
  <si>
    <t xml:space="preserve">2026-07-10</t>
  </si>
  <si>
    <t xml:space="preserve">2026-07-25</t>
  </si>
  <si>
    <r>
      <rPr>
        <sz val="10"/>
        <rFont val="Noto Sans CJK SC"/>
        <family val="2"/>
      </rPr>
      <t xml:space="preserve">進場安裝 </t>
    </r>
    <r>
      <rPr>
        <sz val="10"/>
        <rFont val="Arial"/>
        <family val="0"/>
        <charset val="1"/>
      </rPr>
      <t xml:space="preserve">50%</t>
    </r>
  </si>
  <si>
    <t xml:space="preserve">2026-08-10</t>
  </si>
  <si>
    <t xml:space="preserve">安裝完成</t>
  </si>
  <si>
    <t xml:space="preserve">2026-09-05</t>
  </si>
  <si>
    <r>
      <rPr>
        <sz val="10"/>
        <rFont val="Noto Sans CJK SC"/>
        <family val="2"/>
      </rPr>
      <t xml:space="preserve">測試與試運轉 </t>
    </r>
    <r>
      <rPr>
        <sz val="10"/>
        <rFont val="Arial"/>
        <family val="0"/>
        <charset val="1"/>
      </rPr>
      <t xml:space="preserve">SAT</t>
    </r>
  </si>
  <si>
    <t xml:space="preserve">2026-10-05</t>
  </si>
  <si>
    <t xml:space="preserve">正式驗收移交</t>
  </si>
  <si>
    <t xml:space="preserve">2026-11-15</t>
  </si>
  <si>
    <r>
      <rPr>
        <b val="true"/>
        <sz val="15"/>
        <color rgb="FF1F3864"/>
        <rFont val="Arial"/>
        <family val="0"/>
        <charset val="1"/>
      </rPr>
      <t xml:space="preserve">EVM </t>
    </r>
    <r>
      <rPr>
        <b val="true"/>
        <sz val="15"/>
        <color rgb="FF1F3864"/>
        <rFont val="Noto Sans CJK SC"/>
        <family val="2"/>
      </rPr>
      <t xml:space="preserve">月報｜每月月底填一列</t>
    </r>
  </si>
  <si>
    <r>
      <rPr>
        <sz val="10"/>
        <color rgb="FF6B7280"/>
        <rFont val="Noto Sans CJK SC"/>
        <family val="2"/>
      </rPr>
      <t xml:space="preserve">❓這頁在回答：進度與成本的健康趨勢。★ 「實際完成累計</t>
    </r>
    <r>
      <rPr>
        <sz val="10"/>
        <color rgb="FF6B7280"/>
        <rFont val="Arial"/>
        <family val="0"/>
        <charset val="1"/>
      </rPr>
      <t xml:space="preserve">%</t>
    </r>
    <r>
      <rPr>
        <sz val="10"/>
        <color rgb="FF6B7280"/>
        <rFont val="Noto Sans CJK SC"/>
        <family val="2"/>
      </rPr>
      <t xml:space="preserve">」要誠實估，寧可保守</t>
    </r>
  </si>
  <si>
    <t xml:space="preserve">月份</t>
  </si>
  <si>
    <t xml:space="preserve">月序</t>
  </si>
  <si>
    <r>
      <rPr>
        <b val="true"/>
        <sz val="10"/>
        <color rgb="FFFFFFFF"/>
        <rFont val="Noto Sans CJK SC"/>
        <family val="2"/>
      </rPr>
      <t xml:space="preserve">計畫完成累計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</si>
  <si>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實際完成累計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</si>
  <si>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實際成本累計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</si>
  <si>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r>
      <rPr>
        <b val="true"/>
        <sz val="10"/>
        <color rgb="FFFFFFFF"/>
        <rFont val="Arial"/>
        <family val="0"/>
        <charset val="1"/>
      </rPr>
      <t xml:space="preserve">PV </t>
    </r>
    <r>
      <rPr>
        <b val="true"/>
        <sz val="10"/>
        <color rgb="FFFFFFFF"/>
        <rFont val="Noto Sans CJK SC"/>
        <family val="2"/>
      </rPr>
      <t xml:space="preserve">計畫值</t>
    </r>
  </si>
  <si>
    <r>
      <rPr>
        <b val="true"/>
        <sz val="10"/>
        <color rgb="FFFFFFFF"/>
        <rFont val="Arial"/>
        <family val="0"/>
        <charset val="1"/>
      </rPr>
      <t xml:space="preserve">EV </t>
    </r>
    <r>
      <rPr>
        <b val="true"/>
        <sz val="10"/>
        <color rgb="FFFFFFFF"/>
        <rFont val="Noto Sans CJK SC"/>
        <family val="2"/>
      </rPr>
      <t xml:space="preserve">實獲值</t>
    </r>
  </si>
  <si>
    <r>
      <rPr>
        <b val="true"/>
        <sz val="10"/>
        <color rgb="FFFFFFFF"/>
        <rFont val="Arial"/>
        <family val="0"/>
        <charset val="1"/>
      </rPr>
      <t xml:space="preserve">AC </t>
    </r>
    <r>
      <rPr>
        <b val="true"/>
        <sz val="10"/>
        <color rgb="FFFFFFFF"/>
        <rFont val="Noto Sans CJK SC"/>
        <family val="2"/>
      </rPr>
      <t xml:space="preserve">實際成本</t>
    </r>
  </si>
  <si>
    <r>
      <rPr>
        <b val="true"/>
        <sz val="10"/>
        <color rgb="FFFFFFFF"/>
        <rFont val="Arial"/>
        <family val="0"/>
        <charset val="1"/>
      </rPr>
      <t xml:space="preserve">SPI </t>
    </r>
    <r>
      <rPr>
        <b val="true"/>
        <sz val="10"/>
        <color rgb="FFFFFFFF"/>
        <rFont val="Noto Sans CJK SC"/>
        <family val="2"/>
      </rPr>
      <t xml:space="preserve">進度</t>
    </r>
  </si>
  <si>
    <r>
      <rPr>
        <b val="true"/>
        <sz val="10"/>
        <color rgb="FFFFFFFF"/>
        <rFont val="Arial"/>
        <family val="0"/>
        <charset val="1"/>
      </rPr>
      <t xml:space="preserve">CPI </t>
    </r>
    <r>
      <rPr>
        <b val="true"/>
        <sz val="10"/>
        <color rgb="FFFFFFFF"/>
        <rFont val="Noto Sans CJK SC"/>
        <family val="2"/>
      </rPr>
      <t xml:space="preserve">成本</t>
    </r>
  </si>
  <si>
    <r>
      <rPr>
        <b val="true"/>
        <sz val="10"/>
        <color rgb="FFFFFFFF"/>
        <rFont val="Arial"/>
        <family val="0"/>
        <charset val="1"/>
      </rPr>
      <t xml:space="preserve">EAC </t>
    </r>
    <r>
      <rPr>
        <b val="true"/>
        <sz val="10"/>
        <color rgb="FFFFFFFF"/>
        <rFont val="Noto Sans CJK SC"/>
        <family val="2"/>
      </rPr>
      <t xml:space="preserve">預測完工</t>
    </r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</si>
  <si>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</si>
  <si>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</si>
  <si>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</si>
  <si>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</si>
  <si>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</si>
  <si>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r>
      <rPr>
        <b val="true"/>
        <sz val="15"/>
        <color rgb="FF1F3864"/>
        <rFont val="Noto Sans CJK SC"/>
        <family val="2"/>
      </rPr>
      <t xml:space="preserve">收款｜</t>
    </r>
    <r>
      <rPr>
        <b val="true"/>
        <sz val="15"/>
        <color rgb="FF1F3864"/>
        <rFont val="Arial"/>
        <family val="0"/>
        <charset val="1"/>
      </rPr>
      <t xml:space="preserve">Receivables</t>
    </r>
    <r>
      <rPr>
        <b val="true"/>
        <sz val="15"/>
        <color rgb="FF1F3864"/>
        <rFont val="Noto Sans CJK SC"/>
        <family val="2"/>
      </rPr>
      <t xml:space="preserve">（沿用 </t>
    </r>
    <r>
      <rPr>
        <b val="true"/>
        <sz val="15"/>
        <color rgb="FF1F3864"/>
        <rFont val="Arial"/>
        <family val="0"/>
        <charset val="1"/>
      </rPr>
      <t xml:space="preserve">21 </t>
    </r>
    <r>
      <rPr>
        <b val="true"/>
        <sz val="15"/>
        <color rgb="FF1F3864"/>
        <rFont val="Noto Sans CJK SC"/>
        <family val="2"/>
      </rPr>
      <t xml:space="preserve">號付款條件的里程碑）</t>
    </r>
  </si>
  <si>
    <t xml:space="preserve">❓這頁在回答：錢收到了沒？逾期多久了？</t>
  </si>
  <si>
    <t xml:space="preserve">收款里程碑</t>
  </si>
  <si>
    <r>
      <rPr>
        <b val="true"/>
        <sz val="10"/>
        <color rgb="FFFFFFFF"/>
        <rFont val="Noto Sans CJK SC"/>
        <family val="2"/>
      </rPr>
      <t xml:space="preserve">比例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</si>
  <si>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應收金額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</si>
  <si>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t xml:space="preserve">請款日</t>
  </si>
  <si>
    <t xml:space="preserve">付款到期日</t>
  </si>
  <si>
    <t xml:space="preserve">實收日</t>
  </si>
  <si>
    <r>
      <rPr>
        <b val="true"/>
        <sz val="10"/>
        <color rgb="FFFFFFFF"/>
        <rFont val="Noto Sans CJK SC"/>
        <family val="2"/>
      </rPr>
      <t xml:space="preserve">實收金額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</si>
  <si>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t xml:space="preserve">逾期天數</t>
  </si>
  <si>
    <t xml:space="preserve">合約簽訂預付款</t>
  </si>
  <si>
    <t xml:space="preserve">2026-05-01</t>
  </si>
  <si>
    <t xml:space="preserve">2026-05-06</t>
  </si>
  <si>
    <t xml:space="preserve">設備到港</t>
  </si>
  <si>
    <t xml:space="preserve">2026-08-25</t>
  </si>
  <si>
    <r>
      <rPr>
        <sz val="10"/>
        <rFont val="Noto Sans CJK SC"/>
        <family val="2"/>
      </rPr>
      <t xml:space="preserve">安裝進度 </t>
    </r>
    <r>
      <rPr>
        <sz val="10"/>
        <rFont val="Arial"/>
        <family val="0"/>
        <charset val="1"/>
      </rPr>
      <t xml:space="preserve">50%</t>
    </r>
  </si>
  <si>
    <t xml:space="preserve">測試完成</t>
  </si>
  <si>
    <t xml:space="preserve">正式驗收</t>
  </si>
  <si>
    <t xml:space="preserve">保固期滿尾款</t>
  </si>
  <si>
    <t xml:space="preserve">里程碑狀態</t>
  </si>
  <si>
    <t xml:space="preserve">✓ 達成</t>
  </si>
  <si>
    <t xml:space="preserve">⚠ 延誤達成</t>
  </si>
  <si>
    <t xml:space="preserve">🔴 逾期未完</t>
  </si>
  <si>
    <t xml:space="preserve">進行中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</si>
</sst>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#,##0"/>
    <numFmt numFmtId="167" formatCode="#,##0;\(#,##0\)"/>
    <numFmt numFmtId="168" formatCode="@"/>
    <numFmt numFmtId="169" formatCode="0%"/>
    <numFmt numFmtId="170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sz val="10"/>
      <color rgb="FF6B7280"/>
      <name val="Arial"/>
      <family val="0"/>
      <charset val="1"/>
    </font>
    <font>
      <sz val="10"/>
      <color rgb="FF6B7280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6B7280"/>
      <name val="Noto Sans CJK SC"/>
      <family val="2"/>
    </font>
    <font>
      <sz val="9"/>
      <name val="Noto Sans CJK SC"/>
      <family val="2"/>
    </font>
    <font>
      <sz val="9"/>
      <color rgb="FF55607A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4F9"/>
        <bgColor rgb="FFFFF9E3"/>
      </patternFill>
    </fill>
    <fill>
      <patternFill patternType="solid">
        <fgColor rgb="FFFFF9E3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5607A"/>
      <rgbColor rgb="FF9999FF"/>
      <rgbColor rgb="FF993366"/>
      <rgbColor rgb="FFFFF9E3"/>
      <rgbColor rgb="FFF1F4F9"/>
      <rgbColor rgb="FF660066"/>
      <rgbColor rgb="FFFF8080"/>
      <rgbColor rgb="FF0066CC"/>
      <rgbColor rgb="FFD9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45" hidden="false" customHeight="true" outlineLevel="0" collapsed="false">
      <c r="B5" s="4" t="s">
        <v>3</v>
      </c>
    </row>
    <row r="7" customFormat="false" ht="15" hidden="false" customHeight="false" outlineLevel="0" collapsed="false">
      <c r="B7" s="5" t="s">
        <v>4</v>
      </c>
    </row>
    <row r="8" customFormat="false" ht="90" hidden="false" customHeight="true" outlineLevel="0" collapsed="false">
      <c r="B8" s="6" t="s">
        <v>5</v>
      </c>
    </row>
    <row r="10" customFormat="false" ht="15" hidden="false" customHeight="false" outlineLevel="0" collapsed="false">
      <c r="B10" s="3" t="s">
        <v>6</v>
      </c>
    </row>
    <row r="11" customFormat="false" ht="75" hidden="false" customHeight="true" outlineLevel="0" collapsed="false">
      <c r="B11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45" hidden="false" customHeight="true" outlineLevel="0" collapsed="false">
      <c r="B14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6" min="5" style="0" width="13"/>
  </cols>
  <sheetData>
    <row r="1" customFormat="false" ht="23.1" hidden="false" customHeight="false" outlineLevel="0" collapsed="false">
      <c r="A1" s="7" t="s">
        <v>10</v>
      </c>
    </row>
    <row r="2" customFormat="false" ht="15" hidden="false" customHeight="false" outlineLevel="0" collapsed="false">
      <c r="A2" s="8" t="s">
        <v>11</v>
      </c>
    </row>
    <row r="5" customFormat="false" ht="15" hidden="false" customHeight="false" outlineLevel="0" collapsed="false">
      <c r="B5" s="9" t="s">
        <v>12</v>
      </c>
      <c r="C5" s="10" t="n">
        <f aca="false">IFERROR(INDEX(03_EVM月報_Monthly!$I$5:$I$28,COUNT(03_EVM月報_Monthly!$I$5:$I$28)),"")</f>
        <v>0.87</v>
      </c>
      <c r="D5" s="11" t="s">
        <v>13</v>
      </c>
    </row>
    <row r="6" customFormat="false" ht="15" hidden="false" customHeight="false" outlineLevel="0" collapsed="false">
      <c r="B6" s="9" t="s">
        <v>14</v>
      </c>
      <c r="C6" s="10" t="n">
        <f aca="false">IFERROR(INDEX(03_EVM月報_Monthly!$J$5:$J$28,COUNT(03_EVM月報_Monthly!$J$5:$J$28)),"")</f>
        <v>0.92</v>
      </c>
      <c r="D6" s="11" t="s">
        <v>15</v>
      </c>
    </row>
    <row r="7" customFormat="false" ht="15" hidden="false" customHeight="false" outlineLevel="0" collapsed="false">
      <c r="B7" s="9" t="s">
        <v>16</v>
      </c>
      <c r="C7" s="12" t="n">
        <f aca="false">IFERROR(INDEX(03_EVM月報_Monthly!$K$5:$K$28,COUNT(03_EVM月報_Monthly!$K$5:$K$28)),"")</f>
        <v>810</v>
      </c>
      <c r="D7" s="13" t="s">
        <v>17</v>
      </c>
    </row>
    <row r="8" customFormat="false" ht="15" hidden="false" customHeight="false" outlineLevel="0" collapsed="false">
      <c r="B8" s="14" t="s">
        <v>18</v>
      </c>
      <c r="C8" s="12" t="n">
        <f aca="false">01_專案設定_Setup!$C$8</f>
        <v>745</v>
      </c>
      <c r="D8" s="13" t="s">
        <v>19</v>
      </c>
    </row>
    <row r="9" customFormat="false" ht="15" hidden="false" customHeight="false" outlineLevel="0" collapsed="false">
      <c r="B9" s="14" t="s">
        <v>20</v>
      </c>
      <c r="C9" s="15" t="n">
        <f aca="false">IFERROR(INDEX(03_EVM月報_Monthly!$K$5:$K$28,COUNT(03_EVM月報_Monthly!$K$5:$K$28))-01_專案設定_Setup!$C$8,"")</f>
        <v>65</v>
      </c>
      <c r="D9" s="13" t="s">
        <v>21</v>
      </c>
    </row>
    <row r="10" customFormat="false" ht="15" hidden="false" customHeight="false" outlineLevel="0" collapsed="false">
      <c r="B10" s="14" t="s">
        <v>22</v>
      </c>
      <c r="C10" s="16" t="str">
        <f aca="false">COUNTIF(02_里程碑_Milestones!$F$5:$F$12,"*達成*")&amp;" / "&amp;COUNTA(02_里程碑_Milestones!$A$5:$A$12)</f>
        <v>4 / 8</v>
      </c>
      <c r="D10" s="11"/>
    </row>
    <row r="11" customFormat="false" ht="15" hidden="false" customHeight="false" outlineLevel="0" collapsed="false">
      <c r="B11" s="14" t="s">
        <v>23</v>
      </c>
      <c r="C11" s="12" t="n">
        <f aca="false">SUM(04_收款_Receivables!$G$5:$G$10)</f>
        <v>138</v>
      </c>
      <c r="D11" s="13" t="s">
        <v>19</v>
      </c>
    </row>
    <row r="12" customFormat="false" ht="15" hidden="false" customHeight="false" outlineLevel="0" collapsed="false">
      <c r="B12" s="14" t="s">
        <v>24</v>
      </c>
      <c r="C12" s="17" t="n">
        <f aca="false">IFERROR(SUM(04_收款_Receivables!$G$5:$G$10)/SUMIF(04_收款_Receivables!$E$5:$E$10,"&lt;&gt;",04_收款_Receivables!$C$5:$C$10),"")</f>
        <v>0.375</v>
      </c>
      <c r="D12" s="13" t="s">
        <v>25</v>
      </c>
    </row>
    <row r="13" customFormat="false" ht="15" hidden="false" customHeight="false" outlineLevel="0" collapsed="false">
      <c r="B13" s="14" t="s">
        <v>26</v>
      </c>
      <c r="C13" s="12" t="n">
        <f aca="false">SUMIFS(04_收款_Receivables!$C$5:$C$10,04_收款_Receivables!$I$5:$I$10,"🔴 逾期")</f>
        <v>0</v>
      </c>
      <c r="D13" s="13" t="s">
        <v>27</v>
      </c>
    </row>
    <row r="15" customFormat="false" ht="15" hidden="false" customHeight="true" outlineLevel="0" collapsed="false">
      <c r="B15" s="18" t="s">
        <v>28</v>
      </c>
      <c r="C15" s="18"/>
      <c r="D15" s="18"/>
      <c r="E15" s="18"/>
      <c r="F15" s="18"/>
    </row>
    <row r="16" customFormat="false" ht="15" hidden="false" customHeight="false" outlineLevel="0" collapsed="false">
      <c r="B16" s="18"/>
      <c r="C16" s="18"/>
      <c r="D16" s="18"/>
      <c r="E16" s="18"/>
      <c r="F16" s="18"/>
    </row>
  </sheetData>
  <mergeCells count="1">
    <mergeCell ref="B15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8" min="4" style="0" width="13"/>
  </cols>
  <sheetData>
    <row r="1" customFormat="false" ht="23.1" hidden="false" customHeight="false" outlineLevel="0" collapsed="false">
      <c r="A1" s="7" t="s">
        <v>29</v>
      </c>
    </row>
    <row r="2" customFormat="false" ht="15" hidden="false" customHeight="false" outlineLevel="0" collapsed="false">
      <c r="A2" s="8" t="s">
        <v>30</v>
      </c>
    </row>
    <row r="3" customFormat="false" ht="15" hidden="false" customHeight="false" outlineLevel="0" collapsed="false">
      <c r="A3" s="3" t="s">
        <v>31</v>
      </c>
      <c r="B3" s="19" t="s">
        <v>32</v>
      </c>
      <c r="C3" s="20" t="s">
        <v>33</v>
      </c>
      <c r="D3" s="21" t="s">
        <v>34</v>
      </c>
    </row>
    <row r="5" customFormat="false" ht="15" hidden="false" customHeight="false" outlineLevel="0" collapsed="false">
      <c r="B5" s="14" t="s">
        <v>35</v>
      </c>
      <c r="C5" s="22" t="s">
        <v>36</v>
      </c>
    </row>
    <row r="6" customFormat="false" ht="15" hidden="false" customHeight="false" outlineLevel="0" collapsed="false">
      <c r="B6" s="14" t="s">
        <v>37</v>
      </c>
      <c r="C6" s="23" t="s">
        <v>38</v>
      </c>
    </row>
    <row r="7" customFormat="false" ht="15" hidden="false" customHeight="false" outlineLevel="0" collapsed="false">
      <c r="B7" s="3" t="s">
        <v>39</v>
      </c>
      <c r="C7" s="24" t="n">
        <v>920</v>
      </c>
    </row>
    <row r="8" customFormat="false" ht="15" hidden="false" customHeight="false" outlineLevel="0" collapsed="false">
      <c r="B8" s="3" t="s">
        <v>40</v>
      </c>
      <c r="C8" s="24" t="n">
        <v>745</v>
      </c>
      <c r="D8" s="25" t="s">
        <v>41</v>
      </c>
      <c r="E8" s="25"/>
      <c r="F8" s="25"/>
      <c r="G8" s="25"/>
      <c r="H8" s="25"/>
    </row>
    <row r="9" customFormat="false" ht="15" hidden="false" customHeight="false" outlineLevel="0" collapsed="false">
      <c r="B9" s="14" t="s">
        <v>42</v>
      </c>
      <c r="C9" s="22" t="s">
        <v>43</v>
      </c>
    </row>
    <row r="10" customFormat="false" ht="15" hidden="false" customHeight="false" outlineLevel="0" collapsed="false">
      <c r="B10" s="14" t="s">
        <v>44</v>
      </c>
      <c r="C10" s="26" t="n">
        <v>8</v>
      </c>
    </row>
    <row r="11" customFormat="false" ht="15" hidden="false" customHeight="false" outlineLevel="0" collapsed="false">
      <c r="B11" s="14" t="s">
        <v>45</v>
      </c>
      <c r="C11" s="22" t="s">
        <v>46</v>
      </c>
      <c r="D11" s="25" t="s">
        <v>47</v>
      </c>
      <c r="E11" s="25"/>
      <c r="F11" s="25"/>
      <c r="G11" s="25"/>
      <c r="H11" s="25"/>
    </row>
  </sheetData>
  <mergeCells count="2">
    <mergeCell ref="D8:H8"/>
    <mergeCell ref="D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3.1" hidden="false" customHeight="false" outlineLevel="0" collapsed="false">
      <c r="A1" s="7" t="s">
        <v>48</v>
      </c>
    </row>
    <row r="2" customFormat="false" ht="15" hidden="false" customHeight="false" outlineLevel="0" collapsed="false">
      <c r="A2" s="8" t="s">
        <v>49</v>
      </c>
    </row>
    <row r="3" customFormat="false" ht="15" hidden="false" customHeight="false" outlineLevel="0" collapsed="false">
      <c r="A3" s="3" t="s">
        <v>31</v>
      </c>
      <c r="B3" s="19" t="s">
        <v>32</v>
      </c>
      <c r="C3" s="20" t="s">
        <v>33</v>
      </c>
      <c r="D3" s="21" t="s">
        <v>34</v>
      </c>
    </row>
    <row r="4" customFormat="false" ht="30" hidden="false" customHeight="true" outlineLevel="0" collapsed="false">
      <c r="A4" s="27" t="s">
        <v>50</v>
      </c>
      <c r="B4" s="27" t="s">
        <v>51</v>
      </c>
      <c r="C4" s="27" t="s">
        <v>52</v>
      </c>
      <c r="D4" s="27" t="s">
        <v>53</v>
      </c>
      <c r="E4" s="27" t="s">
        <v>54</v>
      </c>
      <c r="F4" s="27" t="s">
        <v>55</v>
      </c>
      <c r="G4" s="27" t="s">
        <v>56</v>
      </c>
    </row>
    <row r="5" customFormat="false" ht="15" hidden="false" customHeight="false" outlineLevel="0" collapsed="false">
      <c r="A5" s="28" t="s">
        <v>57</v>
      </c>
      <c r="B5" s="29" t="n">
        <v>0.05</v>
      </c>
      <c r="C5" s="30" t="s">
        <v>43</v>
      </c>
      <c r="D5" s="30" t="s">
        <v>43</v>
      </c>
      <c r="E5" s="31" t="n">
        <f aca="false">IF($D5="","",DATEVALUE($D5)-DATEVALUE($C5))</f>
        <v>0</v>
      </c>
      <c r="F5" s="31" t="str">
        <f aca="false">IF($D5&lt;&gt;"",IF($E5&gt;7,"⚠ 延誤達成","✓ 達成"),IF(DATEVALUE($C5)&lt;DATEVALUE(01_專案設定_Setup!$C$11),"🔴 逾期未完","進行中"))</f>
        <v>✓ 達成</v>
      </c>
      <c r="G5" s="28"/>
    </row>
    <row r="6" customFormat="false" ht="15" hidden="false" customHeight="false" outlineLevel="0" collapsed="false">
      <c r="A6" s="28" t="s">
        <v>58</v>
      </c>
      <c r="B6" s="29" t="n">
        <v>0.1</v>
      </c>
      <c r="C6" s="30" t="s">
        <v>59</v>
      </c>
      <c r="D6" s="30" t="s">
        <v>60</v>
      </c>
      <c r="E6" s="31" t="n">
        <f aca="false">IF($D6="","",DATEVALUE($D6)-DATEVALUE($C6))</f>
        <v>5</v>
      </c>
      <c r="F6" s="31" t="str">
        <f aca="false">IF($D6&lt;&gt;"",IF($E6&gt;7,"⚠ 延誤達成","✓ 達成"),IF(DATEVALUE($C6)&lt;DATEVALUE(01_專案設定_Setup!$C$11),"🔴 逾期未完","進行中"))</f>
        <v>✓ 達成</v>
      </c>
      <c r="G6" s="28"/>
    </row>
    <row r="7" customFormat="false" ht="15" hidden="false" customHeight="false" outlineLevel="0" collapsed="false">
      <c r="A7" s="28" t="s">
        <v>61</v>
      </c>
      <c r="B7" s="29" t="n">
        <v>0.2</v>
      </c>
      <c r="C7" s="30" t="s">
        <v>62</v>
      </c>
      <c r="D7" s="30" t="s">
        <v>63</v>
      </c>
      <c r="E7" s="31" t="n">
        <f aca="false">IF($D7="","",DATEVALUE($D7)-DATEVALUE($C7))</f>
        <v>13</v>
      </c>
      <c r="F7" s="31" t="str">
        <f aca="false">IF($D7&lt;&gt;"",IF($E7&gt;7,"⚠ 延誤達成","✓ 達成"),IF(DATEVALUE($C7)&lt;DATEVALUE(01_專案設定_Setup!$C$11),"🔴 逾期未完","進行中"))</f>
        <v>⚠ 延誤達成</v>
      </c>
      <c r="G7" s="28"/>
    </row>
    <row r="8" customFormat="false" ht="15" hidden="false" customHeight="false" outlineLevel="0" collapsed="false">
      <c r="A8" s="28" t="s">
        <v>64</v>
      </c>
      <c r="B8" s="29" t="n">
        <v>0.1</v>
      </c>
      <c r="C8" s="30" t="s">
        <v>65</v>
      </c>
      <c r="D8" s="30" t="s">
        <v>66</v>
      </c>
      <c r="E8" s="31" t="n">
        <f aca="false">IF($D8="","",DATEVALUE($D8)-DATEVALUE($C8))</f>
        <v>15</v>
      </c>
      <c r="F8" s="31" t="str">
        <f aca="false">IF($D8&lt;&gt;"",IF($E8&gt;7,"⚠ 延誤達成","✓ 達成"),IF(DATEVALUE($C8)&lt;DATEVALUE(01_專案設定_Setup!$C$11),"🔴 逾期未完","進行中"))</f>
        <v>⚠ 延誤達成</v>
      </c>
      <c r="G8" s="28"/>
    </row>
    <row r="9" customFormat="false" ht="15" hidden="false" customHeight="false" outlineLevel="0" collapsed="false">
      <c r="A9" s="28" t="s">
        <v>67</v>
      </c>
      <c r="B9" s="29" t="n">
        <v>0.15</v>
      </c>
      <c r="C9" s="30" t="s">
        <v>68</v>
      </c>
      <c r="D9" s="28"/>
      <c r="E9" s="31" t="str">
        <f aca="false">IF($D9="","",$D9-DATEVALUE($C9))</f>
        <v/>
      </c>
      <c r="F9" s="31" t="str">
        <f aca="false">IF($D9&lt;&gt;"",IF($E9&gt;7,"⚠ 延誤達成","✓ 達成"),IF(DATEVALUE($C9)&lt;DATEVALUE(01_專案設定_Setup!$C$11),"🔴 逾期未完","進行中"))</f>
        <v>🔴 逾期未完</v>
      </c>
      <c r="G9" s="28"/>
    </row>
    <row r="10" customFormat="false" ht="15" hidden="false" customHeight="false" outlineLevel="0" collapsed="false">
      <c r="A10" s="28" t="s">
        <v>69</v>
      </c>
      <c r="B10" s="29" t="n">
        <v>0.15</v>
      </c>
      <c r="C10" s="30" t="s">
        <v>70</v>
      </c>
      <c r="D10" s="28"/>
      <c r="E10" s="31" t="str">
        <f aca="false">IF($D10="","",$D10-DATEVALUE($C10))</f>
        <v/>
      </c>
      <c r="F10" s="31" t="str">
        <f aca="false">IF($D10&lt;&gt;"",IF($E10&gt;7,"⚠ 延誤達成","✓ 達成"),IF(DATEVALUE($C10)&lt;DATEVALUE(01_專案設定_Setup!$C$11),"🔴 逾期未完","進行中"))</f>
        <v>進行中</v>
      </c>
      <c r="G10" s="28"/>
    </row>
    <row r="11" customFormat="false" ht="15" hidden="false" customHeight="false" outlineLevel="0" collapsed="false">
      <c r="A11" s="28" t="s">
        <v>71</v>
      </c>
      <c r="B11" s="29" t="n">
        <v>0.15</v>
      </c>
      <c r="C11" s="30" t="s">
        <v>72</v>
      </c>
      <c r="D11" s="28"/>
      <c r="E11" s="31" t="str">
        <f aca="false">IF($D11="","",$D11-DATEVALUE($C11))</f>
        <v/>
      </c>
      <c r="F11" s="31" t="str">
        <f aca="false">IF($D11&lt;&gt;"",IF($E11&gt;7,"⚠ 延誤達成","✓ 達成"),IF(DATEVALUE($C11)&lt;DATEVALUE(01_專案設定_Setup!$C$11),"🔴 逾期未完","進行中"))</f>
        <v>進行中</v>
      </c>
      <c r="G11" s="28"/>
    </row>
    <row r="12" customFormat="false" ht="15" hidden="false" customHeight="false" outlineLevel="0" collapsed="false">
      <c r="A12" s="28" t="s">
        <v>73</v>
      </c>
      <c r="B12" s="29" t="n">
        <v>0.1</v>
      </c>
      <c r="C12" s="30" t="s">
        <v>74</v>
      </c>
      <c r="D12" s="28"/>
      <c r="E12" s="31" t="str">
        <f aca="false">IF($D12="","",$D12-DATEVALUE($C12))</f>
        <v/>
      </c>
      <c r="F12" s="31" t="str">
        <f aca="false">IF($D12&lt;&gt;"",IF($E12&gt;7,"⚠ 延誤達成","✓ 達成"),IF(DATEVALUE($C12)&lt;DATEVALUE(01_專案設定_Setup!$C$11),"🔴 逾期未完","進行中"))</f>
        <v>進行中</v>
      </c>
      <c r="G12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8" min="6" style="0" width="12"/>
    <col collapsed="false" customWidth="true" hidden="false" outlineLevel="0" max="10" min="9" style="0" width="10"/>
    <col collapsed="false" customWidth="true" hidden="false" outlineLevel="0" max="11" min="11" style="0" width="13"/>
  </cols>
  <sheetData>
    <row r="1" customFormat="false" ht="23.1" hidden="false" customHeight="false" outlineLevel="0" collapsed="false">
      <c r="A1" s="1" t="s">
        <v>75</v>
      </c>
    </row>
    <row r="2" customFormat="false" ht="15" hidden="false" customHeight="false" outlineLevel="0" collapsed="false">
      <c r="A2" s="8" t="s">
        <v>76</v>
      </c>
    </row>
    <row r="3" customFormat="false" ht="15" hidden="false" customHeight="false" outlineLevel="0" collapsed="false">
      <c r="A3" s="3" t="s">
        <v>31</v>
      </c>
      <c r="B3" s="19" t="s">
        <v>32</v>
      </c>
      <c r="C3" s="20" t="s">
        <v>33</v>
      </c>
      <c r="D3" s="21" t="s">
        <v>34</v>
      </c>
    </row>
    <row r="4" customFormat="false" ht="30" hidden="false" customHeight="true" outlineLevel="0" collapsed="false">
      <c r="A4" s="27" t="s">
        <v>77</v>
      </c>
      <c r="B4" s="27" t="s">
        <v>78</v>
      </c>
      <c r="C4" s="27" t="s">
        <v>79</v>
      </c>
      <c r="D4" s="27" t="s">
        <v>80</v>
      </c>
      <c r="E4" s="27" t="s">
        <v>81</v>
      </c>
      <c r="F4" s="32" t="s">
        <v>82</v>
      </c>
      <c r="G4" s="32" t="s">
        <v>83</v>
      </c>
      <c r="H4" s="32" t="s">
        <v>84</v>
      </c>
      <c r="I4" s="32" t="s">
        <v>85</v>
      </c>
      <c r="J4" s="32" t="s">
        <v>86</v>
      </c>
      <c r="K4" s="32" t="s">
        <v>87</v>
      </c>
    </row>
    <row r="5" customFormat="false" ht="15" hidden="false" customHeight="false" outlineLevel="0" collapsed="false">
      <c r="A5" s="30" t="s">
        <v>88</v>
      </c>
      <c r="B5" s="28" t="n">
        <v>1</v>
      </c>
      <c r="C5" s="29" t="n">
        <v>0.08</v>
      </c>
      <c r="D5" s="29" t="n">
        <v>0.07</v>
      </c>
      <c r="E5" s="33" t="n">
        <v>55</v>
      </c>
      <c r="F5" s="34" t="n">
        <f aca="false">IF($C5="","",$C5*01_專案設定_Setup!$C$8)</f>
        <v>59.6</v>
      </c>
      <c r="G5" s="34" t="n">
        <f aca="false">IF($D5="","",$D5*01_專案設定_Setup!$C$8)</f>
        <v>52.15</v>
      </c>
      <c r="H5" s="34" t="n">
        <f aca="false">IF($E5="","",$E5)</f>
        <v>55</v>
      </c>
      <c r="I5" s="35" t="n">
        <f aca="false">IF(OR($F5="",$G5="",$F5=0),"",ROUND($G5/$F5,2))</f>
        <v>0.88</v>
      </c>
      <c r="J5" s="35" t="n">
        <f aca="false">IF(OR($G5="",$H5="",$H5=0),"",ROUND($G5/$H5,2))</f>
        <v>0.95</v>
      </c>
      <c r="K5" s="34" t="n">
        <f aca="false">IF($J5="","",ROUND(01_專案設定_Setup!$C$8/$J5,0))</f>
        <v>784</v>
      </c>
    </row>
    <row r="6" customFormat="false" ht="15" hidden="false" customHeight="false" outlineLevel="0" collapsed="false">
      <c r="A6" s="30" t="s">
        <v>89</v>
      </c>
      <c r="B6" s="28" t="n">
        <v>2</v>
      </c>
      <c r="C6" s="29" t="n">
        <v>0.2</v>
      </c>
      <c r="D6" s="29" t="n">
        <v>0.17</v>
      </c>
      <c r="E6" s="33" t="n">
        <v>140</v>
      </c>
      <c r="F6" s="34" t="n">
        <f aca="false">IF($C6="","",$C6*01_專案設定_Setup!$C$8)</f>
        <v>149</v>
      </c>
      <c r="G6" s="34" t="n">
        <f aca="false">IF($D6="","",$D6*01_專案設定_Setup!$C$8)</f>
        <v>126.65</v>
      </c>
      <c r="H6" s="34" t="n">
        <f aca="false">IF($E6="","",$E6)</f>
        <v>140</v>
      </c>
      <c r="I6" s="35" t="n">
        <f aca="false">IF(OR($F6="",$G6="",$F6=0),"",ROUND($G6/$F6,2))</f>
        <v>0.85</v>
      </c>
      <c r="J6" s="35" t="n">
        <f aca="false">IF(OR($G6="",$H6="",$H6=0),"",ROUND($G6/$H6,2))</f>
        <v>0.9</v>
      </c>
      <c r="K6" s="34" t="n">
        <f aca="false">IF($J6="","",ROUND(01_專案設定_Setup!$C$8/$J6,0))</f>
        <v>828</v>
      </c>
    </row>
    <row r="7" customFormat="false" ht="15" hidden="false" customHeight="false" outlineLevel="0" collapsed="false">
      <c r="A7" s="30" t="s">
        <v>90</v>
      </c>
      <c r="B7" s="28" t="n">
        <v>3</v>
      </c>
      <c r="C7" s="29" t="n">
        <v>0.35</v>
      </c>
      <c r="D7" s="29" t="n">
        <v>0.3</v>
      </c>
      <c r="E7" s="33" t="n">
        <v>255</v>
      </c>
      <c r="F7" s="34" t="n">
        <f aca="false">IF($C7="","",$C7*01_專案設定_Setup!$C$8)</f>
        <v>260.75</v>
      </c>
      <c r="G7" s="34" t="n">
        <f aca="false">IF($D7="","",$D7*01_專案設定_Setup!$C$8)</f>
        <v>223.5</v>
      </c>
      <c r="H7" s="34" t="n">
        <f aca="false">IF($E7="","",$E7)</f>
        <v>255</v>
      </c>
      <c r="I7" s="35" t="n">
        <f aca="false">IF(OR($F7="",$G7="",$F7=0),"",ROUND($G7/$F7,2))</f>
        <v>0.86</v>
      </c>
      <c r="J7" s="35" t="n">
        <f aca="false">IF(OR($G7="",$H7="",$H7=0),"",ROUND($G7/$H7,2))</f>
        <v>0.88</v>
      </c>
      <c r="K7" s="34" t="n">
        <f aca="false">IF($J7="","",ROUND(01_專案設定_Setup!$C$8/$J7,0))</f>
        <v>847</v>
      </c>
    </row>
    <row r="8" customFormat="false" ht="15" hidden="false" customHeight="false" outlineLevel="0" collapsed="false">
      <c r="A8" s="30" t="s">
        <v>91</v>
      </c>
      <c r="B8" s="28" t="n">
        <v>4</v>
      </c>
      <c r="C8" s="29" t="n">
        <v>0.48</v>
      </c>
      <c r="D8" s="29" t="n">
        <v>0.41</v>
      </c>
      <c r="E8" s="33" t="n">
        <v>340</v>
      </c>
      <c r="F8" s="34" t="n">
        <f aca="false">IF($C8="","",$C8*01_專案設定_Setup!$C$8)</f>
        <v>357.6</v>
      </c>
      <c r="G8" s="34" t="n">
        <f aca="false">IF($D8="","",$D8*01_專案設定_Setup!$C$8)</f>
        <v>305.45</v>
      </c>
      <c r="H8" s="34" t="n">
        <f aca="false">IF($E8="","",$E8)</f>
        <v>340</v>
      </c>
      <c r="I8" s="35" t="n">
        <f aca="false">IF(OR($F8="",$G8="",$F8=0),"",ROUND($G8/$F8,2))</f>
        <v>0.85</v>
      </c>
      <c r="J8" s="35" t="n">
        <f aca="false">IF(OR($G8="",$H8="",$H8=0),"",ROUND($G8/$H8,2))</f>
        <v>0.9</v>
      </c>
      <c r="K8" s="34" t="n">
        <f aca="false">IF($J8="","",ROUND(01_專案設定_Setup!$C$8/$J8,0))</f>
        <v>828</v>
      </c>
    </row>
    <row r="9" customFormat="false" ht="15" hidden="false" customHeight="false" outlineLevel="0" collapsed="false">
      <c r="A9" s="30" t="s">
        <v>92</v>
      </c>
      <c r="B9" s="28" t="n">
        <v>5</v>
      </c>
      <c r="C9" s="29" t="n">
        <v>0.6</v>
      </c>
      <c r="D9" s="29" t="n">
        <v>0.52</v>
      </c>
      <c r="E9" s="33" t="n">
        <v>420</v>
      </c>
      <c r="F9" s="34" t="n">
        <f aca="false">IF($C9="","",$C9*01_專案設定_Setup!$C$8)</f>
        <v>447</v>
      </c>
      <c r="G9" s="34" t="n">
        <f aca="false">IF($D9="","",$D9*01_專案設定_Setup!$C$8)</f>
        <v>387.4</v>
      </c>
      <c r="H9" s="34" t="n">
        <f aca="false">IF($E9="","",$E9)</f>
        <v>420</v>
      </c>
      <c r="I9" s="35" t="n">
        <f aca="false">IF(OR($F9="",$G9="",$F9=0),"",ROUND($G9/$F9,2))</f>
        <v>0.87</v>
      </c>
      <c r="J9" s="35" t="n">
        <f aca="false">IF(OR($G9="",$H9="",$H9=0),"",ROUND($G9/$H9,2))</f>
        <v>0.92</v>
      </c>
      <c r="K9" s="34" t="n">
        <f aca="false">IF($J9="","",ROUND(01_專案設定_Setup!$C$8/$J9,0))</f>
        <v>810</v>
      </c>
    </row>
    <row r="10" customFormat="false" ht="15" hidden="false" customHeight="false" outlineLevel="0" collapsed="false">
      <c r="A10" s="28"/>
      <c r="B10" s="28"/>
      <c r="C10" s="29"/>
      <c r="D10" s="29"/>
      <c r="E10" s="33"/>
      <c r="F10" s="34" t="str">
        <f aca="false">IF($C10="","",$C10*01_專案設定_Setup!$C$8)</f>
        <v/>
      </c>
      <c r="G10" s="34" t="str">
        <f aca="false">IF($D10="","",$D10*01_專案設定_Setup!$C$8)</f>
        <v/>
      </c>
      <c r="H10" s="34" t="str">
        <f aca="false">IF($E10="","",$E10)</f>
        <v/>
      </c>
      <c r="I10" s="35" t="str">
        <f aca="false">IF(OR($F10="",$G10="",$F10=0),"",ROUND($G10/$F10,2))</f>
        <v/>
      </c>
      <c r="J10" s="35" t="str">
        <f aca="false">IF(OR($G10="",$H10="",$H10=0),"",ROUND($G10/$H10,2))</f>
        <v/>
      </c>
      <c r="K10" s="34" t="str">
        <f aca="false">IF($J10="","",ROUND(01_專案設定_Setup!$C$8/$J10,0))</f>
        <v/>
      </c>
    </row>
    <row r="11" customFormat="false" ht="15" hidden="false" customHeight="false" outlineLevel="0" collapsed="false">
      <c r="A11" s="28"/>
      <c r="B11" s="28"/>
      <c r="C11" s="29"/>
      <c r="D11" s="29"/>
      <c r="E11" s="33"/>
      <c r="F11" s="34" t="str">
        <f aca="false">IF($C11="","",$C11*01_專案設定_Setup!$C$8)</f>
        <v/>
      </c>
      <c r="G11" s="34" t="str">
        <f aca="false">IF($D11="","",$D11*01_專案設定_Setup!$C$8)</f>
        <v/>
      </c>
      <c r="H11" s="34" t="str">
        <f aca="false">IF($E11="","",$E11)</f>
        <v/>
      </c>
      <c r="I11" s="35" t="str">
        <f aca="false">IF(OR($F11="",$G11="",$F11=0),"",ROUND($G11/$F11,2))</f>
        <v/>
      </c>
      <c r="J11" s="35" t="str">
        <f aca="false">IF(OR($G11="",$H11="",$H11=0),"",ROUND($G11/$H11,2))</f>
        <v/>
      </c>
      <c r="K11" s="34" t="str">
        <f aca="false">IF($J11="","",ROUND(01_專案設定_Setup!$C$8/$J11,0))</f>
        <v/>
      </c>
    </row>
    <row r="12" customFormat="false" ht="15" hidden="false" customHeight="false" outlineLevel="0" collapsed="false">
      <c r="A12" s="28"/>
      <c r="B12" s="28"/>
      <c r="C12" s="29"/>
      <c r="D12" s="29"/>
      <c r="E12" s="33"/>
      <c r="F12" s="34" t="str">
        <f aca="false">IF($C12="","",$C12*01_專案設定_Setup!$C$8)</f>
        <v/>
      </c>
      <c r="G12" s="34" t="str">
        <f aca="false">IF($D12="","",$D12*01_專案設定_Setup!$C$8)</f>
        <v/>
      </c>
      <c r="H12" s="34" t="str">
        <f aca="false">IF($E12="","",$E12)</f>
        <v/>
      </c>
      <c r="I12" s="35" t="str">
        <f aca="false">IF(OR($F12="",$G12="",$F12=0),"",ROUND($G12/$F12,2))</f>
        <v/>
      </c>
      <c r="J12" s="35" t="str">
        <f aca="false">IF(OR($G12="",$H12="",$H12=0),"",ROUND($G12/$H12,2))</f>
        <v/>
      </c>
      <c r="K12" s="34" t="str">
        <f aca="false">IF($J12="","",ROUND(01_專案設定_Setup!$C$8/$J12,0))</f>
        <v/>
      </c>
    </row>
    <row r="13" customFormat="false" ht="15" hidden="false" customHeight="false" outlineLevel="0" collapsed="false">
      <c r="A13" s="28"/>
      <c r="B13" s="28"/>
      <c r="C13" s="29"/>
      <c r="D13" s="29"/>
      <c r="E13" s="33"/>
      <c r="F13" s="34" t="str">
        <f aca="false">IF($C13="","",$C13*01_專案設定_Setup!$C$8)</f>
        <v/>
      </c>
      <c r="G13" s="34" t="str">
        <f aca="false">IF($D13="","",$D13*01_專案設定_Setup!$C$8)</f>
        <v/>
      </c>
      <c r="H13" s="34" t="str">
        <f aca="false">IF($E13="","",$E13)</f>
        <v/>
      </c>
      <c r="I13" s="35" t="str">
        <f aca="false">IF(OR($F13="",$G13="",$F13=0),"",ROUND($G13/$F13,2))</f>
        <v/>
      </c>
      <c r="J13" s="35" t="str">
        <f aca="false">IF(OR($G13="",$H13="",$H13=0),"",ROUND($G13/$H13,2))</f>
        <v/>
      </c>
      <c r="K13" s="34" t="str">
        <f aca="false">IF($J13="","",ROUND(01_專案設定_Setup!$C$8/$J13,0))</f>
        <v/>
      </c>
    </row>
    <row r="14" customFormat="false" ht="15" hidden="false" customHeight="false" outlineLevel="0" collapsed="false">
      <c r="A14" s="28"/>
      <c r="B14" s="28"/>
      <c r="C14" s="29"/>
      <c r="D14" s="29"/>
      <c r="E14" s="33"/>
      <c r="F14" s="34" t="str">
        <f aca="false">IF($C14="","",$C14*01_專案設定_Setup!$C$8)</f>
        <v/>
      </c>
      <c r="G14" s="34" t="str">
        <f aca="false">IF($D14="","",$D14*01_專案設定_Setup!$C$8)</f>
        <v/>
      </c>
      <c r="H14" s="34" t="str">
        <f aca="false">IF($E14="","",$E14)</f>
        <v/>
      </c>
      <c r="I14" s="35" t="str">
        <f aca="false">IF(OR($F14="",$G14="",$F14=0),"",ROUND($G14/$F14,2))</f>
        <v/>
      </c>
      <c r="J14" s="35" t="str">
        <f aca="false">IF(OR($G14="",$H14="",$H14=0),"",ROUND($G14/$H14,2))</f>
        <v/>
      </c>
      <c r="K14" s="34" t="str">
        <f aca="false">IF($J14="","",ROUND(01_專案設定_Setup!$C$8/$J14,0))</f>
        <v/>
      </c>
    </row>
    <row r="15" customFormat="false" ht="15" hidden="false" customHeight="false" outlineLevel="0" collapsed="false">
      <c r="A15" s="28"/>
      <c r="B15" s="28"/>
      <c r="C15" s="29"/>
      <c r="D15" s="29"/>
      <c r="E15" s="33"/>
      <c r="F15" s="34" t="str">
        <f aca="false">IF($C15="","",$C15*01_專案設定_Setup!$C$8)</f>
        <v/>
      </c>
      <c r="G15" s="34" t="str">
        <f aca="false">IF($D15="","",$D15*01_專案設定_Setup!$C$8)</f>
        <v/>
      </c>
      <c r="H15" s="34" t="str">
        <f aca="false">IF($E15="","",$E15)</f>
        <v/>
      </c>
      <c r="I15" s="35" t="str">
        <f aca="false">IF(OR($F15="",$G15="",$F15=0),"",ROUND($G15/$F15,2))</f>
        <v/>
      </c>
      <c r="J15" s="35" t="str">
        <f aca="false">IF(OR($G15="",$H15="",$H15=0),"",ROUND($G15/$H15,2))</f>
        <v/>
      </c>
      <c r="K15" s="34" t="str">
        <f aca="false">IF($J15="","",ROUND(01_專案設定_Setup!$C$8/$J15,0))</f>
        <v/>
      </c>
    </row>
    <row r="16" customFormat="false" ht="15" hidden="false" customHeight="false" outlineLevel="0" collapsed="false">
      <c r="A16" s="28"/>
      <c r="B16" s="28"/>
      <c r="C16" s="29"/>
      <c r="D16" s="29"/>
      <c r="E16" s="33"/>
      <c r="F16" s="34" t="str">
        <f aca="false">IF($C16="","",$C16*01_專案設定_Setup!$C$8)</f>
        <v/>
      </c>
      <c r="G16" s="34" t="str">
        <f aca="false">IF($D16="","",$D16*01_專案設定_Setup!$C$8)</f>
        <v/>
      </c>
      <c r="H16" s="34" t="str">
        <f aca="false">IF($E16="","",$E16)</f>
        <v/>
      </c>
      <c r="I16" s="35" t="str">
        <f aca="false">IF(OR($F16="",$G16="",$F16=0),"",ROUND($G16/$F16,2))</f>
        <v/>
      </c>
      <c r="J16" s="35" t="str">
        <f aca="false">IF(OR($G16="",$H16="",$H16=0),"",ROUND($G16/$H16,2))</f>
        <v/>
      </c>
      <c r="K16" s="34" t="str">
        <f aca="false">IF($J16="","",ROUND(01_專案設定_Setup!$C$8/$J16,0))</f>
        <v/>
      </c>
    </row>
    <row r="17" customFormat="false" ht="15" hidden="false" customHeight="false" outlineLevel="0" collapsed="false">
      <c r="A17" s="28"/>
      <c r="B17" s="28"/>
      <c r="C17" s="29"/>
      <c r="D17" s="29"/>
      <c r="E17" s="33"/>
      <c r="F17" s="34" t="str">
        <f aca="false">IF($C17="","",$C17*01_專案設定_Setup!$C$8)</f>
        <v/>
      </c>
      <c r="G17" s="34" t="str">
        <f aca="false">IF($D17="","",$D17*01_專案設定_Setup!$C$8)</f>
        <v/>
      </c>
      <c r="H17" s="34" t="str">
        <f aca="false">IF($E17="","",$E17)</f>
        <v/>
      </c>
      <c r="I17" s="35" t="str">
        <f aca="false">IF(OR($F17="",$G17="",$F17=0),"",ROUND($G17/$F17,2))</f>
        <v/>
      </c>
      <c r="J17" s="35" t="str">
        <f aca="false">IF(OR($G17="",$H17="",$H17=0),"",ROUND($G17/$H17,2))</f>
        <v/>
      </c>
      <c r="K17" s="34" t="str">
        <f aca="false">IF($J17="","",ROUND(01_專案設定_Setup!$C$8/$J17,0))</f>
        <v/>
      </c>
    </row>
    <row r="18" customFormat="false" ht="15" hidden="false" customHeight="false" outlineLevel="0" collapsed="false">
      <c r="A18" s="28"/>
      <c r="B18" s="28"/>
      <c r="C18" s="29"/>
      <c r="D18" s="29"/>
      <c r="E18" s="33"/>
      <c r="F18" s="34" t="str">
        <f aca="false">IF($C18="","",$C18*01_專案設定_Setup!$C$8)</f>
        <v/>
      </c>
      <c r="G18" s="34" t="str">
        <f aca="false">IF($D18="","",$D18*01_專案設定_Setup!$C$8)</f>
        <v/>
      </c>
      <c r="H18" s="34" t="str">
        <f aca="false">IF($E18="","",$E18)</f>
        <v/>
      </c>
      <c r="I18" s="35" t="str">
        <f aca="false">IF(OR($F18="",$G18="",$F18=0),"",ROUND($G18/$F18,2))</f>
        <v/>
      </c>
      <c r="J18" s="35" t="str">
        <f aca="false">IF(OR($G18="",$H18="",$H18=0),"",ROUND($G18/$H18,2))</f>
        <v/>
      </c>
      <c r="K18" s="34" t="str">
        <f aca="false">IF($J18="","",ROUND(01_專案設定_Setup!$C$8/$J18,0))</f>
        <v/>
      </c>
    </row>
    <row r="19" customFormat="false" ht="15" hidden="false" customHeight="false" outlineLevel="0" collapsed="false">
      <c r="A19" s="28"/>
      <c r="B19" s="28"/>
      <c r="C19" s="29"/>
      <c r="D19" s="29"/>
      <c r="E19" s="33"/>
      <c r="F19" s="34" t="str">
        <f aca="false">IF($C19="","",$C19*01_專案設定_Setup!$C$8)</f>
        <v/>
      </c>
      <c r="G19" s="34" t="str">
        <f aca="false">IF($D19="","",$D19*01_專案設定_Setup!$C$8)</f>
        <v/>
      </c>
      <c r="H19" s="34" t="str">
        <f aca="false">IF($E19="","",$E19)</f>
        <v/>
      </c>
      <c r="I19" s="35" t="str">
        <f aca="false">IF(OR($F19="",$G19="",$F19=0),"",ROUND($G19/$F19,2))</f>
        <v/>
      </c>
      <c r="J19" s="35" t="str">
        <f aca="false">IF(OR($G19="",$H19="",$H19=0),"",ROUND($G19/$H19,2))</f>
        <v/>
      </c>
      <c r="K19" s="34" t="str">
        <f aca="false">IF($J19="","",ROUND(01_專案設定_Setup!$C$8/$J19,0))</f>
        <v/>
      </c>
    </row>
    <row r="20" customFormat="false" ht="15" hidden="false" customHeight="false" outlineLevel="0" collapsed="false">
      <c r="A20" s="28"/>
      <c r="B20" s="28"/>
      <c r="C20" s="29"/>
      <c r="D20" s="29"/>
      <c r="E20" s="33"/>
      <c r="F20" s="34" t="str">
        <f aca="false">IF($C20="","",$C20*01_專案設定_Setup!$C$8)</f>
        <v/>
      </c>
      <c r="G20" s="34" t="str">
        <f aca="false">IF($D20="","",$D20*01_專案設定_Setup!$C$8)</f>
        <v/>
      </c>
      <c r="H20" s="34" t="str">
        <f aca="false">IF($E20="","",$E20)</f>
        <v/>
      </c>
      <c r="I20" s="35" t="str">
        <f aca="false">IF(OR($F20="",$G20="",$F20=0),"",ROUND($G20/$F20,2))</f>
        <v/>
      </c>
      <c r="J20" s="35" t="str">
        <f aca="false">IF(OR($G20="",$H20="",$H20=0),"",ROUND($G20/$H20,2))</f>
        <v/>
      </c>
      <c r="K20" s="34" t="str">
        <f aca="false">IF($J20="","",ROUND(01_專案設定_Setup!$C$8/$J20,0))</f>
        <v/>
      </c>
    </row>
    <row r="21" customFormat="false" ht="15" hidden="false" customHeight="false" outlineLevel="0" collapsed="false">
      <c r="A21" s="28"/>
      <c r="B21" s="28"/>
      <c r="C21" s="29"/>
      <c r="D21" s="29"/>
      <c r="E21" s="33"/>
      <c r="F21" s="34" t="str">
        <f aca="false">IF($C21="","",$C21*01_專案設定_Setup!$C$8)</f>
        <v/>
      </c>
      <c r="G21" s="34" t="str">
        <f aca="false">IF($D21="","",$D21*01_專案設定_Setup!$C$8)</f>
        <v/>
      </c>
      <c r="H21" s="34" t="str">
        <f aca="false">IF($E21="","",$E21)</f>
        <v/>
      </c>
      <c r="I21" s="35" t="str">
        <f aca="false">IF(OR($F21="",$G21="",$F21=0),"",ROUND($G21/$F21,2))</f>
        <v/>
      </c>
      <c r="J21" s="35" t="str">
        <f aca="false">IF(OR($G21="",$H21="",$H21=0),"",ROUND($G21/$H21,2))</f>
        <v/>
      </c>
      <c r="K21" s="34" t="str">
        <f aca="false">IF($J21="","",ROUND(01_專案設定_Setup!$C$8/$J21,0))</f>
        <v/>
      </c>
    </row>
    <row r="22" customFormat="false" ht="15" hidden="false" customHeight="false" outlineLevel="0" collapsed="false">
      <c r="A22" s="28"/>
      <c r="B22" s="28"/>
      <c r="C22" s="29"/>
      <c r="D22" s="29"/>
      <c r="E22" s="33"/>
      <c r="F22" s="34" t="str">
        <f aca="false">IF($C22="","",$C22*01_專案設定_Setup!$C$8)</f>
        <v/>
      </c>
      <c r="G22" s="34" t="str">
        <f aca="false">IF($D22="","",$D22*01_專案設定_Setup!$C$8)</f>
        <v/>
      </c>
      <c r="H22" s="34" t="str">
        <f aca="false">IF($E22="","",$E22)</f>
        <v/>
      </c>
      <c r="I22" s="35" t="str">
        <f aca="false">IF(OR($F22="",$G22="",$F22=0),"",ROUND($G22/$F22,2))</f>
        <v/>
      </c>
      <c r="J22" s="35" t="str">
        <f aca="false">IF(OR($G22="",$H22="",$H22=0),"",ROUND($G22/$H22,2))</f>
        <v/>
      </c>
      <c r="K22" s="34" t="str">
        <f aca="false">IF($J22="","",ROUND(01_專案設定_Setup!$C$8/$J22,0))</f>
        <v/>
      </c>
    </row>
    <row r="23" customFormat="false" ht="15" hidden="false" customHeight="false" outlineLevel="0" collapsed="false">
      <c r="A23" s="28"/>
      <c r="B23" s="28"/>
      <c r="C23" s="29"/>
      <c r="D23" s="29"/>
      <c r="E23" s="33"/>
      <c r="F23" s="34" t="str">
        <f aca="false">IF($C23="","",$C23*01_專案設定_Setup!$C$8)</f>
        <v/>
      </c>
      <c r="G23" s="34" t="str">
        <f aca="false">IF($D23="","",$D23*01_專案設定_Setup!$C$8)</f>
        <v/>
      </c>
      <c r="H23" s="34" t="str">
        <f aca="false">IF($E23="","",$E23)</f>
        <v/>
      </c>
      <c r="I23" s="35" t="str">
        <f aca="false">IF(OR($F23="",$G23="",$F23=0),"",ROUND($G23/$F23,2))</f>
        <v/>
      </c>
      <c r="J23" s="35" t="str">
        <f aca="false">IF(OR($G23="",$H23="",$H23=0),"",ROUND($G23/$H23,2))</f>
        <v/>
      </c>
      <c r="K23" s="34" t="str">
        <f aca="false">IF($J23="","",ROUND(01_專案設定_Setup!$C$8/$J23,0))</f>
        <v/>
      </c>
    </row>
    <row r="24" customFormat="false" ht="15" hidden="false" customHeight="false" outlineLevel="0" collapsed="false">
      <c r="A24" s="28"/>
      <c r="B24" s="28"/>
      <c r="C24" s="29"/>
      <c r="D24" s="29"/>
      <c r="E24" s="33"/>
      <c r="F24" s="34" t="str">
        <f aca="false">IF($C24="","",$C24*01_專案設定_Setup!$C$8)</f>
        <v/>
      </c>
      <c r="G24" s="34" t="str">
        <f aca="false">IF($D24="","",$D24*01_專案設定_Setup!$C$8)</f>
        <v/>
      </c>
      <c r="H24" s="34" t="str">
        <f aca="false">IF($E24="","",$E24)</f>
        <v/>
      </c>
      <c r="I24" s="35" t="str">
        <f aca="false">IF(OR($F24="",$G24="",$F24=0),"",ROUND($G24/$F24,2))</f>
        <v/>
      </c>
      <c r="J24" s="35" t="str">
        <f aca="false">IF(OR($G24="",$H24="",$H24=0),"",ROUND($G24/$H24,2))</f>
        <v/>
      </c>
      <c r="K24" s="34" t="str">
        <f aca="false">IF($J24="","",ROUND(01_專案設定_Setup!$C$8/$J24,0))</f>
        <v/>
      </c>
    </row>
    <row r="25" customFormat="false" ht="15" hidden="false" customHeight="false" outlineLevel="0" collapsed="false">
      <c r="A25" s="28"/>
      <c r="B25" s="28"/>
      <c r="C25" s="29"/>
      <c r="D25" s="29"/>
      <c r="E25" s="33"/>
      <c r="F25" s="34" t="str">
        <f aca="false">IF($C25="","",$C25*01_專案設定_Setup!$C$8)</f>
        <v/>
      </c>
      <c r="G25" s="34" t="str">
        <f aca="false">IF($D25="","",$D25*01_專案設定_Setup!$C$8)</f>
        <v/>
      </c>
      <c r="H25" s="34" t="str">
        <f aca="false">IF($E25="","",$E25)</f>
        <v/>
      </c>
      <c r="I25" s="35" t="str">
        <f aca="false">IF(OR($F25="",$G25="",$F25=0),"",ROUND($G25/$F25,2))</f>
        <v/>
      </c>
      <c r="J25" s="35" t="str">
        <f aca="false">IF(OR($G25="",$H25="",$H25=0),"",ROUND($G25/$H25,2))</f>
        <v/>
      </c>
      <c r="K25" s="34" t="str">
        <f aca="false">IF($J25="","",ROUND(01_專案設定_Setup!$C$8/$J25,0))</f>
        <v/>
      </c>
    </row>
    <row r="26" customFormat="false" ht="15" hidden="false" customHeight="false" outlineLevel="0" collapsed="false">
      <c r="A26" s="28"/>
      <c r="B26" s="28"/>
      <c r="C26" s="29"/>
      <c r="D26" s="29"/>
      <c r="E26" s="33"/>
      <c r="F26" s="34" t="str">
        <f aca="false">IF($C26="","",$C26*01_專案設定_Setup!$C$8)</f>
        <v/>
      </c>
      <c r="G26" s="34" t="str">
        <f aca="false">IF($D26="","",$D26*01_專案設定_Setup!$C$8)</f>
        <v/>
      </c>
      <c r="H26" s="34" t="str">
        <f aca="false">IF($E26="","",$E26)</f>
        <v/>
      </c>
      <c r="I26" s="35" t="str">
        <f aca="false">IF(OR($F26="",$G26="",$F26=0),"",ROUND($G26/$F26,2))</f>
        <v/>
      </c>
      <c r="J26" s="35" t="str">
        <f aca="false">IF(OR($G26="",$H26="",$H26=0),"",ROUND($G26/$H26,2))</f>
        <v/>
      </c>
      <c r="K26" s="34" t="str">
        <f aca="false">IF($J26="","",ROUND(01_專案設定_Setup!$C$8/$J26,0))</f>
        <v/>
      </c>
    </row>
    <row r="27" customFormat="false" ht="15" hidden="false" customHeight="false" outlineLevel="0" collapsed="false">
      <c r="A27" s="28"/>
      <c r="B27" s="28"/>
      <c r="C27" s="29"/>
      <c r="D27" s="29"/>
      <c r="E27" s="33"/>
      <c r="F27" s="34" t="str">
        <f aca="false">IF($C27="","",$C27*01_專案設定_Setup!$C$8)</f>
        <v/>
      </c>
      <c r="G27" s="34" t="str">
        <f aca="false">IF($D27="","",$D27*01_專案設定_Setup!$C$8)</f>
        <v/>
      </c>
      <c r="H27" s="34" t="str">
        <f aca="false">IF($E27="","",$E27)</f>
        <v/>
      </c>
      <c r="I27" s="35" t="str">
        <f aca="false">IF(OR($F27="",$G27="",$F27=0),"",ROUND($G27/$F27,2))</f>
        <v/>
      </c>
      <c r="J27" s="35" t="str">
        <f aca="false">IF(OR($G27="",$H27="",$H27=0),"",ROUND($G27/$H27,2))</f>
        <v/>
      </c>
      <c r="K27" s="34" t="str">
        <f aca="false">IF($J27="","",ROUND(01_專案設定_Setup!$C$8/$J27,0))</f>
        <v/>
      </c>
    </row>
    <row r="28" customFormat="false" ht="15" hidden="false" customHeight="false" outlineLevel="0" collapsed="false">
      <c r="A28" s="28"/>
      <c r="B28" s="28"/>
      <c r="C28" s="29"/>
      <c r="D28" s="29"/>
      <c r="E28" s="33"/>
      <c r="F28" s="34" t="str">
        <f aca="false">IF($C28="","",$C28*01_專案設定_Setup!$C$8)</f>
        <v/>
      </c>
      <c r="G28" s="34" t="str">
        <f aca="false">IF($D28="","",$D28*01_專案設定_Setup!$C$8)</f>
        <v/>
      </c>
      <c r="H28" s="34" t="str">
        <f aca="false">IF($E28="","",$E28)</f>
        <v/>
      </c>
      <c r="I28" s="35" t="str">
        <f aca="false">IF(OR($F28="",$G28="",$F28=0),"",ROUND($G28/$F28,2))</f>
        <v/>
      </c>
      <c r="J28" s="35" t="str">
        <f aca="false">IF(OR($G28="",$H28="",$H28=0),"",ROUND($G28/$H28,2))</f>
        <v/>
      </c>
      <c r="K28" s="34" t="str">
        <f aca="false">IF($J28="","",ROUND(01_專案設定_Setup!$C$8/$J28,0))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3"/>
  </cols>
  <sheetData>
    <row r="1" customFormat="false" ht="23.1" hidden="false" customHeight="false" outlineLevel="0" collapsed="false">
      <c r="A1" s="7" t="s">
        <v>93</v>
      </c>
    </row>
    <row r="2" customFormat="false" ht="15" hidden="false" customHeight="false" outlineLevel="0" collapsed="false">
      <c r="A2" s="8" t="s">
        <v>94</v>
      </c>
    </row>
    <row r="3" customFormat="false" ht="15" hidden="false" customHeight="false" outlineLevel="0" collapsed="false">
      <c r="A3" s="3" t="s">
        <v>31</v>
      </c>
      <c r="B3" s="19" t="s">
        <v>32</v>
      </c>
      <c r="C3" s="20" t="s">
        <v>33</v>
      </c>
      <c r="D3" s="21" t="s">
        <v>34</v>
      </c>
    </row>
    <row r="4" customFormat="false" ht="30" hidden="false" customHeight="true" outlineLevel="0" collapsed="false">
      <c r="A4" s="27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55</v>
      </c>
    </row>
    <row r="5" customFormat="false" ht="15" hidden="false" customHeight="false" outlineLevel="0" collapsed="false">
      <c r="A5" s="28" t="s">
        <v>103</v>
      </c>
      <c r="B5" s="29" t="n">
        <v>0.15</v>
      </c>
      <c r="C5" s="34" t="n">
        <f aca="false">ROUND($B5*01_專案設定_Setup!$C$7,0)</f>
        <v>138</v>
      </c>
      <c r="D5" s="30" t="s">
        <v>43</v>
      </c>
      <c r="E5" s="30" t="s">
        <v>104</v>
      </c>
      <c r="F5" s="30" t="s">
        <v>105</v>
      </c>
      <c r="G5" s="33" t="n">
        <v>138</v>
      </c>
      <c r="H5" s="31" t="str">
        <f aca="false">IF($F5&lt;&gt;"","",IF($E5="","",MAX(0,DATEVALUE(01_專案設定_Setup!$C$11)-DATEVALUE($E5))))</f>
        <v/>
      </c>
      <c r="I5" s="31" t="str">
        <f aca="false">IF($F5&lt;&gt;"","✓ 已收",IF($E5="","未到請款",IF($H5&gt;0,"🔴 逾期","等待中")))</f>
        <v>✓ 已收</v>
      </c>
    </row>
    <row r="6" customFormat="false" ht="15" hidden="false" customHeight="false" outlineLevel="0" collapsed="false">
      <c r="A6" s="28" t="s">
        <v>106</v>
      </c>
      <c r="B6" s="29" t="n">
        <v>0.25</v>
      </c>
      <c r="C6" s="34" t="n">
        <f aca="false">ROUND($B6*01_專案設定_Setup!$C$7,0)</f>
        <v>230</v>
      </c>
      <c r="D6" s="30" t="s">
        <v>66</v>
      </c>
      <c r="E6" s="30" t="s">
        <v>107</v>
      </c>
      <c r="F6" s="28"/>
      <c r="G6" s="33"/>
      <c r="H6" s="31" t="n">
        <f aca="false">IF($F6&lt;&gt;"","",IF($E6="","",MAX(0,DATEVALUE(01_專案設定_Setup!$C$11)-DATEVALUE($E6))))</f>
        <v>0</v>
      </c>
      <c r="I6" s="31" t="str">
        <f aca="false">IF($F6&lt;&gt;"","✓ 已收",IF($E6="","未到請款",IF($H6&gt;0,"🔴 逾期","等待中")))</f>
        <v>等待中</v>
      </c>
    </row>
    <row r="7" customFormat="false" ht="15" hidden="false" customHeight="false" outlineLevel="0" collapsed="false">
      <c r="A7" s="28" t="s">
        <v>108</v>
      </c>
      <c r="B7" s="29" t="n">
        <v>0.2</v>
      </c>
      <c r="C7" s="34" t="n">
        <f aca="false">ROUND($B7*01_專案設定_Setup!$C$7,0)</f>
        <v>184</v>
      </c>
      <c r="D7" s="28"/>
      <c r="E7" s="28"/>
      <c r="F7" s="28"/>
      <c r="G7" s="33"/>
      <c r="H7" s="31" t="str">
        <f aca="false">IF($F7&lt;&gt;"","",IF($E7="","",MAX(0,DATEVALUE(01_專案設定_Setup!$C$11)-DATEVALUE($E7))))</f>
        <v/>
      </c>
      <c r="I7" s="31" t="str">
        <f aca="false">IF($F7&lt;&gt;"","✓ 已收",IF($E7="","未到請款",IF($H7&gt;0,"🔴 逾期","等待中")))</f>
        <v>未到請款</v>
      </c>
    </row>
    <row r="8" customFormat="false" ht="15" hidden="false" customHeight="false" outlineLevel="0" collapsed="false">
      <c r="A8" s="28" t="s">
        <v>109</v>
      </c>
      <c r="B8" s="29" t="n">
        <v>0.2</v>
      </c>
      <c r="C8" s="34" t="n">
        <f aca="false">ROUND($B8*01_專案設定_Setup!$C$7,0)</f>
        <v>184</v>
      </c>
      <c r="D8" s="28"/>
      <c r="E8" s="28"/>
      <c r="F8" s="28"/>
      <c r="G8" s="33"/>
      <c r="H8" s="31" t="str">
        <f aca="false">IF($F8&lt;&gt;"","",IF($E8="","",MAX(0,DATEVALUE(01_專案設定_Setup!$C$11)-DATEVALUE($E8))))</f>
        <v/>
      </c>
      <c r="I8" s="31" t="str">
        <f aca="false">IF($F8&lt;&gt;"","✓ 已收",IF($E8="","未到請款",IF($H8&gt;0,"🔴 逾期","等待中")))</f>
        <v>未到請款</v>
      </c>
    </row>
    <row r="9" customFormat="false" ht="15" hidden="false" customHeight="false" outlineLevel="0" collapsed="false">
      <c r="A9" s="28" t="s">
        <v>110</v>
      </c>
      <c r="B9" s="29" t="n">
        <v>0.15</v>
      </c>
      <c r="C9" s="34" t="n">
        <f aca="false">ROUND($B9*01_專案設定_Setup!$C$7,0)</f>
        <v>138</v>
      </c>
      <c r="D9" s="28"/>
      <c r="E9" s="28"/>
      <c r="F9" s="28"/>
      <c r="G9" s="33"/>
      <c r="H9" s="31" t="str">
        <f aca="false">IF($F9&lt;&gt;"","",IF($E9="","",MAX(0,DATEVALUE(01_專案設定_Setup!$C$11)-DATEVALUE($E9))))</f>
        <v/>
      </c>
      <c r="I9" s="31" t="str">
        <f aca="false">IF($F9&lt;&gt;"","✓ 已收",IF($E9="","未到請款",IF($H9&gt;0,"🔴 逾期","等待中")))</f>
        <v>未到請款</v>
      </c>
    </row>
    <row r="10" customFormat="false" ht="15" hidden="false" customHeight="false" outlineLevel="0" collapsed="false">
      <c r="A10" s="28" t="s">
        <v>111</v>
      </c>
      <c r="B10" s="29" t="n">
        <v>0.05</v>
      </c>
      <c r="C10" s="34" t="n">
        <f aca="false">ROUND($B10*01_專案設定_Setup!$C$7,0)</f>
        <v>46</v>
      </c>
      <c r="D10" s="28"/>
      <c r="E10" s="28"/>
      <c r="F10" s="28"/>
      <c r="G10" s="33"/>
      <c r="H10" s="31" t="str">
        <f aca="false">IF($F10&lt;&gt;"","",IF($E10="","",MAX(0,DATEVALUE(01_專案設定_Setup!$C$11)-DATEVALUE($E10))))</f>
        <v/>
      </c>
      <c r="I10" s="31" t="str">
        <f aca="false">IF($F10&lt;&gt;"","✓ 已收",IF($E10="","未到請款",IF($H10&gt;0,"🔴 逾期","等待中")))</f>
        <v>未到請款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30" hidden="false" customHeight="true" outlineLevel="0" collapsed="false">
      <c r="A1" s="27" t="s">
        <v>112</v>
      </c>
    </row>
    <row r="2" customFormat="false" ht="15" hidden="false" customHeight="false" outlineLevel="0" collapsed="false">
      <c r="A2" s="36" t="s">
        <v>113</v>
      </c>
    </row>
    <row r="3" customFormat="false" ht="15" hidden="false" customHeight="false" outlineLevel="0" collapsed="false">
      <c r="A3" s="36" t="s">
        <v>114</v>
      </c>
    </row>
    <row r="4" customFormat="false" ht="15" hidden="false" customHeight="false" outlineLevel="0" collapsed="false">
      <c r="A4" s="36" t="s">
        <v>115</v>
      </c>
    </row>
    <row r="5" customFormat="false" ht="15" hidden="false" customHeight="false" outlineLevel="0" collapsed="false">
      <c r="A5" s="36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2026-08-18T03:12:15Z</dcterms:created>
  <dc:creator>openpyxl</dc:creator>
  <dc:description/>
  <dc:language>en-US</dc:language>
  <cp:lastModifiedBy/>
  <dcterms:modified xsi:type="dcterms:W3CDTF">2026-08-18T03:12:15Z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