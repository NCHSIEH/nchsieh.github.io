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_ReadMe" sheetId="1" state="visible" r:id="rId3"/>
    <sheet name="00_體檢儀表板_Dashboard" sheetId="2" state="visible" r:id="rId4"/>
    <sheet name="01_能力覆蓋表_Coverage" sheetId="3" state="visible" r:id="rId5"/>
    <sheet name="02_夥伴依賴表_Dependency" sheetId="4" state="visible" r:id="rId6"/>
    <sheet name="03_補位行動_Actions" sheetId="5" state="visible" r:id="rId7"/>
    <sheet name="_選單_Lists" sheetId="6" state="visible" r:id="rId8"/>
  </sheets>
  <definedNames>
    <definedName function="false" hidden="true" localSheetId="2" name="_xlnm._FilterDatabase" vbProcedure="false">01_能力覆蓋表_Coverage!$A$4:$L$64</definedName>
    <definedName function="false" hidden="true" localSheetId="3" name="_xlnm._FilterDatabase" vbProcedure="false">02_夥伴依賴表_Dependency!$A$4:$G$62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<sst xmlns="http://schemas.openxmlformats.org/spreadsheetml/2006/main" count="777" uniqueCount="354">
  <si>
    <r>
      <rPr>
        <b val="true"/>
        <sz val="15"/>
        <color rgb="FF1F3864"/>
        <rFont val="Arial"/>
        <family val="0"/>
        <charset val="1"/>
      </rPr>
      <t xml:space="preserve">VMH-EcoMap-22 </t>
    </r>
    <r>
      <rPr>
        <b val="true"/>
        <sz val="15"/>
        <color rgb="FF1F3864"/>
        <rFont val="Noto Sans CJK SC"/>
        <family val="2"/>
      </rPr>
      <t xml:space="preserve">聯盟體檢儀表板｜使用說明</t>
    </r>
  </si>
  <si>
    <r>
      <rPr>
        <sz val="10"/>
        <color rgb="FF6B7280"/>
        <rFont val="Arial"/>
        <family val="0"/>
        <charset val="1"/>
      </rPr>
      <t xml:space="preserve">P2 </t>
    </r>
    <r>
      <rPr>
        <sz val="10"/>
        <color rgb="FF6B7280"/>
        <rFont val="Noto Sans CJK SC"/>
        <family val="2"/>
      </rPr>
      <t xml:space="preserve">評估決策工具・資料快照抽取自 </t>
    </r>
    <r>
      <rPr>
        <sz val="10"/>
        <color rgb="FF6B7280"/>
        <rFont val="Arial"/>
        <family val="0"/>
        <charset val="1"/>
      </rPr>
      <t xml:space="preserve">1 </t>
    </r>
    <r>
      <rPr>
        <sz val="10"/>
        <color rgb="FF6B7280"/>
        <rFont val="Noto Sans CJK SC"/>
        <family val="2"/>
      </rPr>
      <t xml:space="preserve">號主工具（</t>
    </r>
    <r>
      <rPr>
        <sz val="10"/>
        <color rgb="FF6B7280"/>
        <rFont val="Arial"/>
        <family val="0"/>
        <charset val="1"/>
      </rPr>
      <t xml:space="preserve">2026-08</t>
    </r>
    <r>
      <rPr>
        <sz val="10"/>
        <color rgb="FF6B7280"/>
        <rFont val="Noto Sans CJK SC"/>
        <family val="2"/>
      </rPr>
      <t xml:space="preserve">）・與 </t>
    </r>
    <r>
      <rPr>
        <sz val="10"/>
        <color rgb="FF6B7280"/>
        <rFont val="Arial"/>
        <family val="0"/>
        <charset val="1"/>
      </rPr>
      <t xml:space="preserve">9 </t>
    </r>
    <r>
      <rPr>
        <sz val="10"/>
        <color rgb="FF6B7280"/>
        <rFont val="Noto Sans CJK SC"/>
        <family val="2"/>
      </rPr>
      <t xml:space="preserve">號導覽器同源</t>
    </r>
  </si>
  <si>
    <t xml:space="preserve">■ 這個工具在回答什麼</t>
  </si>
  <si>
    <r>
      <rPr>
        <sz val="10"/>
        <rFont val="Noto Sans CJK SC"/>
        <family val="2"/>
      </rPr>
      <t xml:space="preserve">導覽器告訴你「缺什麼」（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項零覆蓋缺口），但沒告訴你另一個同樣危險的事實：
目前 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</rPr>
      <t xml:space="preserve">項能力裡，每一項都只有「一家」候選夥伴，而且其中 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家還停留在「目標邀請」——還沒談、沒盡調、沒簽。
這張表把「名單上有人」和「真的靠得住」區分開來，這就是體檢的意義。</t>
    </r>
  </si>
  <si>
    <t xml:space="preserve">■ 有效冗餘分怎麼算</t>
  </si>
  <si>
    <r>
      <rPr>
        <sz val="10"/>
        <rFont val="Noto Sans CJK SC"/>
        <family val="2"/>
      </rPr>
      <t xml:space="preserve">不是數「名單上有幾家」，而是按夥伴的實際狀態加權：
群晶主導＝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（自己的能力最可靠）｜已通過資格 </t>
    </r>
    <r>
      <rPr>
        <sz val="10"/>
        <rFont val="Arial"/>
        <family val="0"/>
        <charset val="1"/>
      </rPr>
      <t xml:space="preserve">Qualified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｜盡職調查中＝</t>
    </r>
    <r>
      <rPr>
        <sz val="10"/>
        <rFont val="Arial"/>
        <family val="0"/>
        <charset val="1"/>
      </rPr>
      <t xml:space="preserve">0.7</t>
    </r>
    <r>
      <rPr>
        <sz val="10"/>
        <rFont val="Noto Sans CJK SC"/>
        <family val="2"/>
      </rPr>
      <t xml:space="preserve">｜已接觸 </t>
    </r>
    <r>
      <rPr>
        <sz val="10"/>
        <rFont val="Arial"/>
        <family val="0"/>
        <charset val="1"/>
      </rPr>
      <t xml:space="preserve">Engaged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｜目標邀請 </t>
    </r>
    <r>
      <rPr>
        <sz val="10"/>
        <rFont val="Arial"/>
        <family val="0"/>
        <charset val="1"/>
      </rPr>
      <t xml:space="preserve">Target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｜缺口＝</t>
    </r>
    <r>
      <rPr>
        <sz val="10"/>
        <rFont val="Arial"/>
        <family val="0"/>
        <charset val="1"/>
      </rPr>
      <t xml:space="preserve">0
</t>
    </r>
    <r>
      <rPr>
        <sz val="10"/>
        <rFont val="Noto Sans CJK SC"/>
        <family val="2"/>
      </rPr>
      <t xml:space="preserve">一項能力的有效冗餘分低於 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，代表這項能力「還不能承諾給客戶」。</t>
    </r>
  </si>
  <si>
    <t xml:space="preserve">■ 燈號規則</t>
  </si>
  <si>
    <r>
      <rPr>
        <sz val="10"/>
        <rFont val="Noto Sans CJK SC"/>
        <family val="2"/>
      </rPr>
      <t xml:space="preserve">🔴 零覆蓋（分數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）：連候選人都沒有，優先補位
🟠 高風險（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＜分數≤</t>
    </r>
    <r>
      <rPr>
        <sz val="10"/>
        <rFont val="Arial"/>
        <family val="0"/>
        <charset val="1"/>
      </rPr>
      <t xml:space="preserve">0.35</t>
    </r>
    <r>
      <rPr>
        <sz val="10"/>
        <rFont val="Noto Sans CJK SC"/>
        <family val="2"/>
      </rPr>
      <t xml:space="preserve">）：只有還沒談的目標對象，等於紙上名單
🟡 待補強（</t>
    </r>
    <r>
      <rPr>
        <sz val="10"/>
        <rFont val="Arial"/>
        <family val="0"/>
        <charset val="1"/>
      </rPr>
      <t xml:space="preserve">0.35</t>
    </r>
    <r>
      <rPr>
        <sz val="10"/>
        <rFont val="Noto Sans CJK SC"/>
        <family val="2"/>
      </rPr>
      <t xml:space="preserve">＜分數＜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）：有進展但還不能承諾
🟢 可承諾（分數≥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）：至少一家可靠來源</t>
    </r>
  </si>
  <si>
    <t xml:space="preserve">■ 每月體檢例行</t>
  </si>
  <si>
    <r>
      <rPr>
        <sz val="10"/>
        <rFont val="Noto Sans CJK SC"/>
        <family val="2"/>
      </rPr>
      <t xml:space="preserve">① 每月初把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號主工具的能力矩陣異動更新到「能力覆蓋表」（夥伴狀態變了就改狀態欄）。
② 看儀表板總分有沒有進步——體檢分數是聯盟建設的 </t>
    </r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，適合放進月報。
③ 零覆蓋與高風險清單，逐項指定補位負責人與期限，填進「補位行動」頁。</t>
    </r>
  </si>
  <si>
    <t xml:space="preserve">■ 與其他工具的銜接</t>
  </si>
  <si>
    <r>
      <rPr>
        <sz val="10"/>
        <rFont val="Noto Sans CJK SC"/>
        <family val="2"/>
      </rPr>
      <t xml:space="preserve">補位人選從 </t>
    </r>
    <r>
      <rPr>
        <sz val="10"/>
        <rFont val="Arial"/>
        <family val="0"/>
        <charset val="1"/>
      </rPr>
      <t xml:space="preserve">18 </t>
    </r>
    <r>
      <rPr>
        <sz val="10"/>
        <rFont val="Noto Sans CJK SC"/>
        <family val="2"/>
      </rPr>
      <t xml:space="preserve">號情報站的 </t>
    </r>
    <r>
      <rPr>
        <sz val="10"/>
        <rFont val="Arial"/>
        <family val="0"/>
        <charset val="1"/>
      </rPr>
      <t xml:space="preserve">115 </t>
    </r>
    <r>
      <rPr>
        <sz val="10"/>
        <rFont val="Noto Sans CJK SC"/>
        <family val="2"/>
      </rPr>
      <t xml:space="preserve">家名冊找；洽談中的補位對象開進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號漏斗當案件追蹤；
夥伴通過資格審查後，回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號主工具改狀態，下次快照更新時體檢分數自動反映。</t>
    </r>
  </si>
  <si>
    <r>
      <rPr>
        <b val="true"/>
        <sz val="15"/>
        <color rgb="FF1F3864"/>
        <rFont val="Noto Sans CJK SC"/>
        <family val="2"/>
      </rPr>
      <t xml:space="preserve">體檢儀表板｜</t>
    </r>
    <r>
      <rPr>
        <b val="true"/>
        <sz val="15"/>
        <color rgb="FF1F3864"/>
        <rFont val="Arial"/>
        <family val="0"/>
        <charset val="1"/>
      </rPr>
      <t xml:space="preserve">Dashboard</t>
    </r>
    <r>
      <rPr>
        <b val="true"/>
        <sz val="15"/>
        <color rgb="FF1F3864"/>
        <rFont val="Noto Sans CJK SC"/>
        <family val="2"/>
      </rPr>
      <t xml:space="preserve">（全自動）</t>
    </r>
  </si>
  <si>
    <t xml:space="preserve">❓這頁在回答：聯盟現在撐得住幾門生意？最脆的地方在哪？</t>
  </si>
  <si>
    <t xml:space="preserve">總體</t>
  </si>
  <si>
    <r>
      <rPr>
        <sz val="10"/>
        <rFont val="Noto Sans CJK SC"/>
        <family val="2"/>
      </rPr>
      <t xml:space="preserve">體檢總分（</t>
    </r>
    <r>
      <rPr>
        <sz val="10"/>
        <rFont val="Arial"/>
        <family val="0"/>
        <charset val="1"/>
      </rPr>
      <t xml:space="preserve">0–100</t>
    </r>
    <r>
      <rPr>
        <sz val="10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</si>
  <si>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平均有效冗餘分</t>
    </r>
    <r>
      <rPr>
        <sz val="9"/>
        <color rgb="FF6B7280"/>
        <rFont val="Arial"/>
        <family val="0"/>
        <charset val="1"/>
      </rPr>
      <t xml:space="preserve">×100</t>
    </r>
    <r>
      <rPr>
        <sz val="9"/>
        <color rgb="FF6B7280"/>
        <rFont val="Noto Sans CJK SC"/>
        <family val="2"/>
      </rPr>
      <t xml:space="preserve">。目標：逐月上升</t>
    </r>
  </si>
  <si>
    <t xml:space="preserve">🔴 零覆蓋能力數</t>
  </si>
  <si>
    <t xml:space="preserve">連候選人都沒有</t>
  </si>
  <si>
    <t xml:space="preserve">🟠 高風險能力數</t>
  </si>
  <si>
    <t xml:space="preserve">只有未接觸的目標對象</t>
  </si>
  <si>
    <t xml:space="preserve">🟢 可承諾能力數</t>
  </si>
  <si>
    <t xml:space="preserve">至少一家可靠來源</t>
  </si>
  <si>
    <t xml:space="preserve">單一來源能力數</t>
  </si>
  <si>
    <t xml:space="preserve">候選只有一家（目前＝全部）——第二來源是中期目標</t>
  </si>
  <si>
    <t xml:space="preserve">依領域</t>
  </si>
  <si>
    <t xml:space="preserve">領域</t>
  </si>
  <si>
    <t xml:space="preserve">能力數</t>
  </si>
  <si>
    <t xml:space="preserve">🔴 零覆蓋</t>
  </si>
  <si>
    <t xml:space="preserve">平均冗餘分</t>
  </si>
  <si>
    <t xml:space="preserve">最弱狀態</t>
  </si>
  <si>
    <r>
      <rPr>
        <sz val="10"/>
        <rFont val="Arial"/>
        <family val="0"/>
        <charset val="1"/>
      </rPr>
      <t xml:space="preserve">D01 </t>
    </r>
    <r>
      <rPr>
        <sz val="10"/>
        <rFont val="Noto Sans CJK SC"/>
        <family val="2"/>
      </rPr>
      <t xml:space="preserve">治理與投資</t>
    </r>
  </si>
  <si>
    <r>
      <rPr>
        <sz val="10"/>
        <rFont val="Arial"/>
        <family val="0"/>
        <charset val="1"/>
      </rPr>
      <t xml:space="preserve">D02 </t>
    </r>
    <r>
      <rPr>
        <sz val="10"/>
        <rFont val="Noto Sans CJK SC"/>
        <family val="2"/>
      </rPr>
      <t xml:space="preserve">臨床服務模式</t>
    </r>
  </si>
  <si>
    <r>
      <rPr>
        <sz val="10"/>
        <rFont val="Arial"/>
        <family val="0"/>
        <charset val="1"/>
      </rPr>
      <t xml:space="preserve">D03 </t>
    </r>
    <r>
      <rPr>
        <sz val="10"/>
        <rFont val="Noto Sans CJK SC"/>
        <family val="2"/>
      </rPr>
      <t xml:space="preserve">醫院設施與機電</t>
    </r>
  </si>
  <si>
    <r>
      <rPr>
        <sz val="10"/>
        <rFont val="Arial"/>
        <family val="0"/>
        <charset val="1"/>
      </rPr>
      <t xml:space="preserve">D04 </t>
    </r>
    <r>
      <rPr>
        <sz val="10"/>
        <rFont val="Noto Sans CJK SC"/>
        <family val="2"/>
      </rPr>
      <t xml:space="preserve">數位基建與物聯網</t>
    </r>
  </si>
  <si>
    <r>
      <rPr>
        <sz val="10"/>
        <rFont val="Arial"/>
        <family val="0"/>
        <charset val="1"/>
      </rPr>
      <t xml:space="preserve">D05 </t>
    </r>
    <r>
      <rPr>
        <sz val="10"/>
        <rFont val="Noto Sans CJK SC"/>
        <family val="2"/>
      </rPr>
      <t xml:space="preserve">醫材與診斷</t>
    </r>
  </si>
  <si>
    <r>
      <rPr>
        <sz val="10"/>
        <rFont val="Arial"/>
        <family val="0"/>
        <charset val="1"/>
      </rPr>
      <t xml:space="preserve">D06 </t>
    </r>
    <r>
      <rPr>
        <sz val="10"/>
        <rFont val="Noto Sans CJK SC"/>
        <family val="2"/>
      </rPr>
      <t xml:space="preserve">醫療資訊與資料</t>
    </r>
  </si>
  <si>
    <r>
      <rPr>
        <sz val="10"/>
        <rFont val="Arial"/>
        <family val="0"/>
        <charset val="1"/>
      </rPr>
      <t xml:space="preserve">D07 </t>
    </r>
    <r>
      <rPr>
        <sz val="10"/>
        <rFont val="Noto Sans CJK SC"/>
        <family val="2"/>
      </rPr>
      <t xml:space="preserve">品質與病安</t>
    </r>
  </si>
  <si>
    <r>
      <rPr>
        <sz val="10"/>
        <rFont val="Arial"/>
        <family val="0"/>
        <charset val="1"/>
      </rPr>
      <t xml:space="preserve">D08 </t>
    </r>
    <r>
      <rPr>
        <sz val="10"/>
        <rFont val="Noto Sans CJK SC"/>
        <family val="2"/>
      </rPr>
      <t xml:space="preserve">人才與技轉</t>
    </r>
  </si>
  <si>
    <r>
      <rPr>
        <sz val="10"/>
        <rFont val="Arial"/>
        <family val="0"/>
        <charset val="1"/>
      </rPr>
      <t xml:space="preserve">D09 </t>
    </r>
    <r>
      <rPr>
        <sz val="10"/>
        <rFont val="Noto Sans CJK SC"/>
        <family val="2"/>
      </rPr>
      <t xml:space="preserve">供應鏈與維運</t>
    </r>
  </si>
  <si>
    <r>
      <rPr>
        <sz val="10"/>
        <rFont val="Arial"/>
        <family val="0"/>
        <charset val="1"/>
      </rPr>
      <t xml:space="preserve">D10 </t>
    </r>
    <r>
      <rPr>
        <sz val="10"/>
        <rFont val="Noto Sans CJK SC"/>
        <family val="2"/>
      </rPr>
      <t xml:space="preserve">商模與病人生態</t>
    </r>
  </si>
  <si>
    <r>
      <rPr>
        <sz val="9"/>
        <color rgb="FF6B7280"/>
        <rFont val="Noto Sans CJK SC"/>
        <family val="2"/>
      </rPr>
      <t xml:space="preserve">讀法：體檢總分是聯盟建設的月度 </t>
    </r>
    <r>
      <rPr>
        <sz val="9"/>
        <color rgb="FF6B7280"/>
        <rFont val="Arial"/>
        <family val="0"/>
        <charset val="1"/>
      </rPr>
      <t xml:space="preserve">KPI</t>
    </r>
    <r>
      <rPr>
        <sz val="9"/>
        <color rgb="FF6B7280"/>
        <rFont val="Noto Sans CJK SC"/>
        <family val="2"/>
      </rPr>
      <t xml:space="preserve">。目前的結構性事實：</t>
    </r>
    <r>
      <rPr>
        <sz val="9"/>
        <color rgb="FF6B7280"/>
        <rFont val="Arial"/>
        <family val="0"/>
        <charset val="1"/>
      </rPr>
      <t xml:space="preserve">60 </t>
    </r>
    <r>
      <rPr>
        <sz val="9"/>
        <color rgb="FF6B7280"/>
        <rFont val="Noto Sans CJK SC"/>
        <family val="2"/>
      </rPr>
      <t xml:space="preserve">項能力全部只有單一候選來源，所以短期 </t>
    </r>
    <r>
      <rPr>
        <sz val="9"/>
        <color rgb="FF6B7280"/>
        <rFont val="Arial"/>
        <family val="0"/>
        <charset val="1"/>
      </rPr>
      <t xml:space="preserve">KPI </t>
    </r>
    <r>
      <rPr>
        <sz val="9"/>
        <color rgb="FF6B7280"/>
        <rFont val="Noto Sans CJK SC"/>
        <family val="2"/>
      </rPr>
      <t xml:space="preserve">是把「目標邀請」推進成「已通過資格」，中期 </t>
    </r>
    <r>
      <rPr>
        <sz val="9"/>
        <color rgb="FF6B7280"/>
        <rFont val="Arial"/>
        <family val="0"/>
        <charset val="1"/>
      </rPr>
      <t xml:space="preserve">KPI </t>
    </r>
    <r>
      <rPr>
        <sz val="9"/>
        <color rgb="FF6B7280"/>
        <rFont val="Noto Sans CJK SC"/>
        <family val="2"/>
      </rPr>
      <t xml:space="preserve">才是替關鍵能力找第二來源。</t>
    </r>
  </si>
  <si>
    <r>
      <rPr>
        <b val="true"/>
        <sz val="15"/>
        <color rgb="FF1F3864"/>
        <rFont val="Noto Sans CJK SC"/>
        <family val="2"/>
      </rPr>
      <t xml:space="preserve">能力覆蓋表｜</t>
    </r>
    <r>
      <rPr>
        <b val="true"/>
        <sz val="15"/>
        <color rgb="FF1F3864"/>
        <rFont val="Arial"/>
        <family val="0"/>
        <charset val="1"/>
      </rPr>
      <t xml:space="preserve">Coverage</t>
    </r>
    <r>
      <rPr>
        <b val="true"/>
        <sz val="15"/>
        <color rgb="FF1F3864"/>
        <rFont val="Noto Sans CJK SC"/>
        <family val="2"/>
      </rPr>
      <t xml:space="preserve">（自 </t>
    </r>
    <r>
      <rPr>
        <b val="true"/>
        <sz val="15"/>
        <color rgb="FF1F3864"/>
        <rFont val="Arial"/>
        <family val="0"/>
        <charset val="1"/>
      </rPr>
      <t xml:space="preserve">1 </t>
    </r>
    <r>
      <rPr>
        <b val="true"/>
        <sz val="15"/>
        <color rgb="FF1F3864"/>
        <rFont val="Noto Sans CJK SC"/>
        <family val="2"/>
      </rPr>
      <t xml:space="preserve">號主工具抽取，狀態變了就改這裡）</t>
    </r>
  </si>
  <si>
    <t xml:space="preserve">❓這頁在回答：每項能力靠誰？那個「誰」現在可靠到什麼程度？</t>
  </si>
  <si>
    <t xml:space="preserve">圖例：</t>
  </si>
  <si>
    <t xml:space="preserve">　要填　</t>
  </si>
  <si>
    <t xml:space="preserve">　自動　</t>
  </si>
  <si>
    <r>
      <rPr>
        <b val="true"/>
        <sz val="10"/>
        <color rgb="FFFFFFFF"/>
        <rFont val="Noto Sans CJK SC"/>
        <family val="2"/>
      </rPr>
      <t xml:space="preserve">能力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</si>
  <si>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能力名稱</t>
  </si>
  <si>
    <t xml:space="preserve">能力狀態</t>
  </si>
  <si>
    <t xml:space="preserve">主責</t>
  </si>
  <si>
    <r>
      <rPr>
        <b val="true"/>
        <sz val="10"/>
        <color rgb="FFFFFFFF"/>
        <rFont val="Noto Sans CJK SC"/>
        <family val="2"/>
      </rPr>
      <t xml:space="preserve">候選夥伴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</si>
  <si>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候選夥伴</t>
  </si>
  <si>
    <t xml:space="preserve">夥伴狀態</t>
  </si>
  <si>
    <t xml:space="preserve">狀態權重</t>
  </si>
  <si>
    <t xml:space="preserve">有效冗餘分</t>
  </si>
  <si>
    <t xml:space="preserve">燈號</t>
  </si>
  <si>
    <t xml:space="preserve">補位優先</t>
  </si>
  <si>
    <t xml:space="preserve">CAP-001</t>
  </si>
  <si>
    <t xml:space="preserve">政府授權與計畫章程</t>
  </si>
  <si>
    <t xml:space="preserve">夥伴洽談中</t>
  </si>
  <si>
    <t xml:space="preserve">PI Office</t>
  </si>
  <si>
    <t xml:space="preserve">P-002</t>
  </si>
  <si>
    <t xml:space="preserve">越南政府贊助單位</t>
  </si>
  <si>
    <t xml:space="preserve">Engaged</t>
  </si>
  <si>
    <t xml:space="preserve">CAP-002</t>
  </si>
  <si>
    <t xml:space="preserve">利害關係人與權力地圖</t>
  </si>
  <si>
    <t xml:space="preserve">P-017</t>
  </si>
  <si>
    <t xml:space="preserve">越南公共事務顧問</t>
  </si>
  <si>
    <t xml:space="preserve">Target</t>
  </si>
  <si>
    <t xml:space="preserve">CAP-003</t>
  </si>
  <si>
    <t xml:space="preserve">交易模式選擇</t>
  </si>
  <si>
    <t xml:space="preserve">PPP Advisor</t>
  </si>
  <si>
    <t xml:space="preserve">P-011</t>
  </si>
  <si>
    <r>
      <rPr>
        <sz val="10"/>
        <rFont val="Noto Sans CJK SC"/>
        <family val="2"/>
      </rPr>
      <t xml:space="preserve">財務與</t>
    </r>
    <r>
      <rPr>
        <sz val="10"/>
        <rFont val="Arial"/>
        <family val="0"/>
        <charset val="1"/>
      </rPr>
      <t xml:space="preserve">PPP</t>
    </r>
    <r>
      <rPr>
        <sz val="10"/>
        <rFont val="Noto Sans CJK SC"/>
        <family val="2"/>
      </rPr>
      <t xml:space="preserve">顧問</t>
    </r>
  </si>
  <si>
    <t xml:space="preserve">CAP-004</t>
  </si>
  <si>
    <t xml:space="preserve">法規與執照路徑</t>
  </si>
  <si>
    <t xml:space="preserve">Regulatory Lead</t>
  </si>
  <si>
    <t xml:space="preserve">P-012</t>
  </si>
  <si>
    <t xml:space="preserve">越南法律與法規顧問</t>
  </si>
  <si>
    <t xml:space="preserve">CAP-005</t>
  </si>
  <si>
    <t xml:space="preserve">聯盟治理與利益衝突</t>
  </si>
  <si>
    <t xml:space="preserve">P-016</t>
  </si>
  <si>
    <r>
      <rPr>
        <sz val="10"/>
        <rFont val="Arial"/>
        <family val="0"/>
        <charset val="1"/>
      </rPr>
      <t xml:space="preserve">PI </t>
    </r>
    <r>
      <rPr>
        <sz val="10"/>
        <rFont val="Noto Sans CJK SC"/>
        <family val="2"/>
      </rPr>
      <t xml:space="preserve">計畫辦公室</t>
    </r>
  </si>
  <si>
    <t xml:space="preserve">Qualified</t>
  </si>
  <si>
    <t xml:space="preserve">CAP-006</t>
  </si>
  <si>
    <t xml:space="preserve">績效契約與變更控制</t>
  </si>
  <si>
    <t xml:space="preserve">Commercial Lead</t>
  </si>
  <si>
    <t xml:space="preserve">P-003</t>
  </si>
  <si>
    <t xml:space="preserve">越南在地醫院營運者</t>
  </si>
  <si>
    <t xml:space="preserve">CAP-007</t>
  </si>
  <si>
    <t xml:space="preserve">人口需求與病例量預測</t>
  </si>
  <si>
    <t xml:space="preserve">Clinical Planner</t>
  </si>
  <si>
    <t xml:space="preserve">P-004</t>
  </si>
  <si>
    <t xml:space="preserve">台灣參考醫院</t>
  </si>
  <si>
    <t xml:space="preserve">CAP-008</t>
  </si>
  <si>
    <t xml:space="preserve">醫院定位與服務組合</t>
  </si>
  <si>
    <t xml:space="preserve">CAP-009</t>
  </si>
  <si>
    <t xml:space="preserve">重點專科優先化</t>
  </si>
  <si>
    <t xml:space="preserve">Clinical Operator</t>
  </si>
  <si>
    <t xml:space="preserve">CAP-010</t>
  </si>
  <si>
    <t xml:space="preserve">病人流程與容量設計</t>
  </si>
  <si>
    <t xml:space="preserve">P-013</t>
  </si>
  <si>
    <r>
      <rPr>
        <sz val="10"/>
        <rFont val="Noto Sans CJK SC"/>
        <family val="2"/>
      </rPr>
      <t xml:space="preserve">品質與</t>
    </r>
    <r>
      <rPr>
        <sz val="10"/>
        <rFont val="Arial"/>
        <family val="0"/>
        <charset val="1"/>
      </rPr>
      <t xml:space="preserve">JCI</t>
    </r>
    <r>
      <rPr>
        <sz val="10"/>
        <rFont val="Noto Sans CJK SC"/>
        <family val="2"/>
      </rPr>
      <t xml:space="preserve">顧問</t>
    </r>
  </si>
  <si>
    <t xml:space="preserve">CAP-011</t>
  </si>
  <si>
    <t xml:space="preserve">轉診與區域照護網絡</t>
  </si>
  <si>
    <t xml:space="preserve">CAP-012</t>
  </si>
  <si>
    <t xml:space="preserve">臨床治理與責任架構</t>
  </si>
  <si>
    <t xml:space="preserve">CAP-013</t>
  </si>
  <si>
    <t xml:space="preserve">場址與醫院總體規劃</t>
  </si>
  <si>
    <t xml:space="preserve">Healthcare Architect</t>
  </si>
  <si>
    <t xml:space="preserve">P-006</t>
  </si>
  <si>
    <r>
      <rPr>
        <sz val="10"/>
        <rFont val="Noto Sans CJK SC"/>
        <family val="2"/>
      </rPr>
      <t xml:space="preserve">越南</t>
    </r>
    <r>
      <rPr>
        <sz val="10"/>
        <rFont val="Arial"/>
        <family val="0"/>
        <charset val="1"/>
      </rPr>
      <t xml:space="preserve">EPC</t>
    </r>
    <r>
      <rPr>
        <sz val="10"/>
        <rFont val="Noto Sans CJK SC"/>
        <family val="2"/>
      </rPr>
      <t xml:space="preserve">／機電夥伴</t>
    </r>
  </si>
  <si>
    <t xml:space="preserve">CAP-014</t>
  </si>
  <si>
    <t xml:space="preserve">醫療建築功能計畫</t>
  </si>
  <si>
    <t xml:space="preserve">P-005</t>
  </si>
  <si>
    <t xml:space="preserve">醫療建築與總體規劃團隊</t>
  </si>
  <si>
    <t xml:space="preserve">CAP-015</t>
  </si>
  <si>
    <t xml:space="preserve">感染控制與潔污動線</t>
  </si>
  <si>
    <t xml:space="preserve">IPC Lead</t>
  </si>
  <si>
    <t xml:space="preserve">CAP-016</t>
  </si>
  <si>
    <t xml:space="preserve">電力、備援與微電網</t>
  </si>
  <si>
    <t xml:space="preserve">群晶主導</t>
  </si>
  <si>
    <t xml:space="preserve">MEP Lead</t>
  </si>
  <si>
    <t xml:space="preserve">P-001</t>
  </si>
  <si>
    <t xml:space="preserve">群晶科技</t>
  </si>
  <si>
    <t xml:space="preserve">CAP-017</t>
  </si>
  <si>
    <t xml:space="preserve">醫療氣體與關鍵公用系統</t>
  </si>
  <si>
    <t xml:space="preserve">CAP-018</t>
  </si>
  <si>
    <t xml:space="preserve">醫療廢棄物與水資源</t>
  </si>
  <si>
    <t xml:space="preserve">ESG/Facility Lead</t>
  </si>
  <si>
    <t xml:space="preserve">P-018</t>
  </si>
  <si>
    <t xml:space="preserve">越南環保與廢棄物處理商</t>
  </si>
  <si>
    <t xml:space="preserve">CAP-019</t>
  </si>
  <si>
    <t xml:space="preserve">綠色與氣候韌性醫院</t>
  </si>
  <si>
    <t xml:space="preserve">ESG Lead</t>
  </si>
  <si>
    <t xml:space="preserve">CAP-020</t>
  </si>
  <si>
    <r>
      <rPr>
        <sz val="10"/>
        <rFont val="Arial"/>
        <family val="0"/>
        <charset val="1"/>
      </rPr>
      <t xml:space="preserve">IDC</t>
    </r>
    <r>
      <rPr>
        <sz val="10"/>
        <rFont val="Noto Sans CJK SC"/>
        <family val="2"/>
      </rPr>
      <t xml:space="preserve">與邊緣運算底座</t>
    </r>
  </si>
  <si>
    <t xml:space="preserve">Digital Infrastructure Lead</t>
  </si>
  <si>
    <t xml:space="preserve">CAP-021</t>
  </si>
  <si>
    <t xml:space="preserve">有線無線網路與分區</t>
  </si>
  <si>
    <t xml:space="preserve">Network Lead</t>
  </si>
  <si>
    <t xml:space="preserve">CAP-022</t>
  </si>
  <si>
    <t xml:space="preserve">資安營運與零信任</t>
  </si>
  <si>
    <t xml:space="preserve">CISO / Security Lead</t>
  </si>
  <si>
    <t xml:space="preserve">P-010</t>
  </si>
  <si>
    <t xml:space="preserve">資安與隱私獨立驗證</t>
  </si>
  <si>
    <t xml:space="preserve">CAP-023</t>
  </si>
  <si>
    <r>
      <rPr>
        <sz val="10"/>
        <rFont val="Arial"/>
        <family val="0"/>
        <charset val="1"/>
      </rPr>
      <t xml:space="preserve">BMS</t>
    </r>
    <r>
      <rPr>
        <sz val="10"/>
        <rFont val="Noto Sans CJK SC"/>
        <family val="2"/>
      </rPr>
      <t xml:space="preserve">與能源管理</t>
    </r>
  </si>
  <si>
    <t xml:space="preserve">Smart Hospital Lead</t>
  </si>
  <si>
    <t xml:space="preserve">CAP-024</t>
  </si>
  <si>
    <r>
      <rPr>
        <sz val="10"/>
        <rFont val="Arial"/>
        <family val="0"/>
        <charset val="1"/>
      </rPr>
      <t xml:space="preserve">RTLS</t>
    </r>
    <r>
      <rPr>
        <sz val="10"/>
        <rFont val="Noto Sans CJK SC"/>
        <family val="2"/>
      </rPr>
      <t xml:space="preserve">與資產／人員定位</t>
    </r>
  </si>
  <si>
    <t xml:space="preserve">CAP-025</t>
  </si>
  <si>
    <t xml:space="preserve">智慧病房、護理呼叫與感測</t>
  </si>
  <si>
    <t xml:space="preserve">CAP-026</t>
  </si>
  <si>
    <t xml:space="preserve">災難復原與營運持續</t>
  </si>
  <si>
    <t xml:space="preserve">BCM Lead</t>
  </si>
  <si>
    <t xml:space="preserve">CAP-027</t>
  </si>
  <si>
    <t xml:space="preserve">醫材需求與設備計畫</t>
  </si>
  <si>
    <t xml:space="preserve">Medical Equipment Planner</t>
  </si>
  <si>
    <t xml:space="preserve">P-009</t>
  </si>
  <si>
    <t xml:space="preserve">醫材整合商</t>
  </si>
  <si>
    <t xml:space="preserve">CAP-028</t>
  </si>
  <si>
    <r>
      <rPr>
        <sz val="10"/>
        <rFont val="Noto Sans CJK SC"/>
        <family val="2"/>
      </rPr>
      <t xml:space="preserve">影像設備、</t>
    </r>
    <r>
      <rPr>
        <sz val="10"/>
        <rFont val="Arial"/>
        <family val="0"/>
        <charset val="1"/>
      </rPr>
      <t xml:space="preserve">PACS</t>
    </r>
    <r>
      <rPr>
        <sz val="10"/>
        <rFont val="Noto Sans CJK SC"/>
        <family val="2"/>
      </rPr>
      <t xml:space="preserve">與報告流程</t>
    </r>
  </si>
  <si>
    <r>
      <rPr>
        <sz val="10"/>
        <rFont val="Noto Sans CJK SC"/>
        <family val="2"/>
      </rPr>
      <t xml:space="preserve">缺口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待尋找</t>
    </r>
  </si>
  <si>
    <t xml:space="preserve">Imaging Lead</t>
  </si>
  <si>
    <t xml:space="preserve">P-019</t>
  </si>
  <si>
    <r>
      <rPr>
        <sz val="10"/>
        <rFont val="Noto Sans CJK SC"/>
        <family val="2"/>
      </rPr>
      <t xml:space="preserve">影像設備與</t>
    </r>
    <r>
      <rPr>
        <sz val="10"/>
        <rFont val="Arial"/>
        <family val="0"/>
        <charset val="1"/>
      </rPr>
      <t xml:space="preserve">PACS</t>
    </r>
    <r>
      <rPr>
        <sz val="10"/>
        <rFont val="Noto Sans CJK SC"/>
        <family val="2"/>
      </rPr>
      <t xml:space="preserve">整合商</t>
    </r>
  </si>
  <si>
    <t xml:space="preserve">CAP-029</t>
  </si>
  <si>
    <r>
      <rPr>
        <sz val="10"/>
        <rFont val="Noto Sans CJK SC"/>
        <family val="2"/>
      </rPr>
      <t xml:space="preserve">實驗室自動化與</t>
    </r>
    <r>
      <rPr>
        <sz val="10"/>
        <rFont val="Arial"/>
        <family val="0"/>
        <charset val="1"/>
      </rPr>
      <t xml:space="preserve">LIS</t>
    </r>
  </si>
  <si>
    <t xml:space="preserve">Laboratory Lead</t>
  </si>
  <si>
    <t xml:space="preserve">P-020</t>
  </si>
  <si>
    <r>
      <rPr>
        <sz val="10"/>
        <rFont val="Noto Sans CJK SC"/>
        <family val="2"/>
      </rPr>
      <t xml:space="preserve">檢驗自動化與</t>
    </r>
    <r>
      <rPr>
        <sz val="10"/>
        <rFont val="Arial"/>
        <family val="0"/>
        <charset val="1"/>
      </rPr>
      <t xml:space="preserve">LIS</t>
    </r>
    <r>
      <rPr>
        <sz val="10"/>
        <rFont val="Noto Sans CJK SC"/>
        <family val="2"/>
      </rPr>
      <t xml:space="preserve">供應商</t>
    </r>
  </si>
  <si>
    <t xml:space="preserve">CAP-030</t>
  </si>
  <si>
    <t xml:space="preserve">手術室與重症整合</t>
  </si>
  <si>
    <t xml:space="preserve">Clinical Engineering Lead</t>
  </si>
  <si>
    <t xml:space="preserve">P-021</t>
  </si>
  <si>
    <t xml:space="preserve">手術室與重症設備整合商</t>
  </si>
  <si>
    <t xml:space="preserve">CAP-031</t>
  </si>
  <si>
    <t xml:space="preserve">醫材介接與裝置身分</t>
  </si>
  <si>
    <t xml:space="preserve">P-007</t>
  </si>
  <si>
    <t xml:space="preserve">醫療資訊整合商</t>
  </si>
  <si>
    <t xml:space="preserve">CAP-032</t>
  </si>
  <si>
    <t xml:space="preserve">醫療工程與設備生命週期</t>
  </si>
  <si>
    <t xml:space="preserve">P-028</t>
  </si>
  <si>
    <t xml:space="preserve">越南在地維修服務網</t>
  </si>
  <si>
    <t xml:space="preserve">CAP-033</t>
  </si>
  <si>
    <r>
      <rPr>
        <sz val="10"/>
        <rFont val="Arial"/>
        <family val="0"/>
        <charset val="1"/>
      </rPr>
      <t xml:space="preserve">HIS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EMR</t>
    </r>
    <r>
      <rPr>
        <sz val="10"/>
        <rFont val="Noto Sans CJK SC"/>
        <family val="2"/>
      </rPr>
      <t xml:space="preserve">核心平台</t>
    </r>
  </si>
  <si>
    <t xml:space="preserve">Health IT Lead</t>
  </si>
  <si>
    <t xml:space="preserve">CAP-034</t>
  </si>
  <si>
    <r>
      <rPr>
        <sz val="10"/>
        <rFont val="Arial"/>
        <family val="0"/>
        <charset val="1"/>
      </rPr>
      <t xml:space="preserve">FHIR</t>
    </r>
    <r>
      <rPr>
        <sz val="10"/>
        <rFont val="Noto Sans CJK SC"/>
        <family val="2"/>
      </rPr>
      <t xml:space="preserve">介接與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管理</t>
    </r>
  </si>
  <si>
    <t xml:space="preserve">Interoperability Architect</t>
  </si>
  <si>
    <t xml:space="preserve">CAP-035</t>
  </si>
  <si>
    <t xml:space="preserve">主病人索引與身分整合</t>
  </si>
  <si>
    <t xml:space="preserve">Data Architect</t>
  </si>
  <si>
    <t xml:space="preserve">P-022</t>
  </si>
  <si>
    <t xml:space="preserve">越南數位身分介接夥伴</t>
  </si>
  <si>
    <t xml:space="preserve">CAP-036</t>
  </si>
  <si>
    <t xml:space="preserve">臨床術語與主資料治理</t>
  </si>
  <si>
    <t xml:space="preserve">Data Governance Lead</t>
  </si>
  <si>
    <t xml:space="preserve">CAP-037</t>
  </si>
  <si>
    <t xml:space="preserve">電子醫囑、用藥與決策支援</t>
  </si>
  <si>
    <t xml:space="preserve">CMIO / Pharmacy Lead</t>
  </si>
  <si>
    <t xml:space="preserve">CAP-038</t>
  </si>
  <si>
    <r>
      <rPr>
        <sz val="10"/>
        <rFont val="Noto Sans CJK SC"/>
        <family val="2"/>
      </rPr>
      <t xml:space="preserve">資料平台、</t>
    </r>
    <r>
      <rPr>
        <sz val="10"/>
        <rFont val="Arial"/>
        <family val="0"/>
        <charset val="1"/>
      </rPr>
      <t xml:space="preserve">BI</t>
    </r>
    <r>
      <rPr>
        <sz val="10"/>
        <rFont val="Noto Sans CJK SC"/>
        <family val="2"/>
      </rPr>
      <t xml:space="preserve">與營運指揮</t>
    </r>
  </si>
  <si>
    <t xml:space="preserve">Data/Analytics Lead</t>
  </si>
  <si>
    <t xml:space="preserve">P-008</t>
  </si>
  <si>
    <t xml:space="preserve">美國雲端服務商</t>
  </si>
  <si>
    <t xml:space="preserve">Due diligence</t>
  </si>
  <si>
    <t xml:space="preserve">CAP-039</t>
  </si>
  <si>
    <r>
      <rPr>
        <sz val="10"/>
        <rFont val="Noto Sans CJK SC"/>
        <family val="2"/>
      </rPr>
      <t xml:space="preserve">病人入口、行動服務與</t>
    </r>
    <r>
      <rPr>
        <sz val="10"/>
        <rFont val="Arial"/>
        <family val="0"/>
        <charset val="1"/>
      </rPr>
      <t xml:space="preserve">VNeID</t>
    </r>
    <r>
      <rPr>
        <sz val="10"/>
        <rFont val="Noto Sans CJK SC"/>
        <family val="2"/>
      </rPr>
      <t xml:space="preserve">準備</t>
    </r>
  </si>
  <si>
    <t xml:space="preserve">Digital Patient Lead</t>
  </si>
  <si>
    <t xml:space="preserve">P-023</t>
  </si>
  <si>
    <r>
      <rPr>
        <sz val="10"/>
        <rFont val="Noto Sans CJK SC"/>
        <family val="2"/>
      </rPr>
      <t xml:space="preserve">病人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與在地支付夥伴</t>
    </r>
  </si>
  <si>
    <t xml:space="preserve">CAP-040</t>
  </si>
  <si>
    <r>
      <rPr>
        <sz val="10"/>
        <rFont val="Noto Sans CJK SC"/>
        <family val="2"/>
      </rPr>
      <t xml:space="preserve">品質管理與</t>
    </r>
    <r>
      <rPr>
        <sz val="10"/>
        <rFont val="Arial"/>
        <family val="0"/>
        <charset val="1"/>
      </rPr>
      <t xml:space="preserve">JCI</t>
    </r>
    <r>
      <rPr>
        <sz val="10"/>
        <rFont val="Noto Sans CJK SC"/>
        <family val="2"/>
      </rPr>
      <t xml:space="preserve">路線圖</t>
    </r>
  </si>
  <si>
    <t xml:space="preserve">Quality Director</t>
  </si>
  <si>
    <t xml:space="preserve">CAP-041</t>
  </si>
  <si>
    <t xml:space="preserve">感染預防與控制制度</t>
  </si>
  <si>
    <t xml:space="preserve">CAP-042</t>
  </si>
  <si>
    <t xml:space="preserve">用藥安全閉環</t>
  </si>
  <si>
    <t xml:space="preserve">Pharmacy Lead</t>
  </si>
  <si>
    <t xml:space="preserve">CAP-043</t>
  </si>
  <si>
    <t xml:space="preserve">事件通報與根因改善</t>
  </si>
  <si>
    <t xml:space="preserve">CAP-044</t>
  </si>
  <si>
    <t xml:space="preserve">開院臨床安全驗證</t>
  </si>
  <si>
    <t xml:space="preserve">Independent Clinical Assurance</t>
  </si>
  <si>
    <t xml:space="preserve">P-015</t>
  </si>
  <si>
    <t xml:space="preserve">獨立臨床與成本驗證</t>
  </si>
  <si>
    <t xml:space="preserve">CAP-045</t>
  </si>
  <si>
    <t xml:space="preserve">人力與輪班模型</t>
  </si>
  <si>
    <t xml:space="preserve">HR/Clinical Workforce Lead</t>
  </si>
  <si>
    <t xml:space="preserve">P-024</t>
  </si>
  <si>
    <t xml:space="preserve">越南醫護大學／人力機構</t>
  </si>
  <si>
    <t xml:space="preserve">CAP-046</t>
  </si>
  <si>
    <t xml:space="preserve">職能矩陣與授權</t>
  </si>
  <si>
    <t xml:space="preserve">Clinical Education Lead</t>
  </si>
  <si>
    <t xml:space="preserve">CAP-047</t>
  </si>
  <si>
    <t xml:space="preserve">種子教師與技術移轉</t>
  </si>
  <si>
    <t xml:space="preserve">Transfer Lead</t>
  </si>
  <si>
    <t xml:space="preserve">CAP-048</t>
  </si>
  <si>
    <t xml:space="preserve">模擬中心與開院演練</t>
  </si>
  <si>
    <t xml:space="preserve">Simulation Lead</t>
  </si>
  <si>
    <t xml:space="preserve">CAP-049</t>
  </si>
  <si>
    <t xml:space="preserve">變革管理與使用者採納</t>
  </si>
  <si>
    <t xml:space="preserve">Change Lead</t>
  </si>
  <si>
    <t xml:space="preserve">CAP-050</t>
  </si>
  <si>
    <t xml:space="preserve">整合採購與供應商治理</t>
  </si>
  <si>
    <t xml:space="preserve">Procurement Lead</t>
  </si>
  <si>
    <t xml:space="preserve">CAP-051</t>
  </si>
  <si>
    <r>
      <rPr>
        <sz val="10"/>
        <rFont val="Noto Sans CJK SC"/>
        <family val="2"/>
      </rPr>
      <t xml:space="preserve">藥品耗材與</t>
    </r>
    <r>
      <rPr>
        <sz val="10"/>
        <rFont val="Arial"/>
        <family val="0"/>
        <charset val="1"/>
      </rPr>
      <t xml:space="preserve">SPD</t>
    </r>
    <r>
      <rPr>
        <sz val="10"/>
        <rFont val="Noto Sans CJK SC"/>
        <family val="2"/>
      </rPr>
      <t xml:space="preserve">物流</t>
    </r>
  </si>
  <si>
    <t xml:space="preserve">Supply Chain Lead</t>
  </si>
  <si>
    <t xml:space="preserve">P-014</t>
  </si>
  <si>
    <r>
      <rPr>
        <sz val="10"/>
        <rFont val="Noto Sans CJK SC"/>
        <family val="2"/>
      </rPr>
      <t xml:space="preserve">物流／</t>
    </r>
    <r>
      <rPr>
        <sz val="10"/>
        <rFont val="Arial"/>
        <family val="0"/>
        <charset val="1"/>
      </rPr>
      <t xml:space="preserve">SPD</t>
    </r>
    <r>
      <rPr>
        <sz val="10"/>
        <rFont val="Noto Sans CJK SC"/>
        <family val="2"/>
      </rPr>
      <t xml:space="preserve">與冷鏈夥伴</t>
    </r>
  </si>
  <si>
    <t xml:space="preserve">CAP-052</t>
  </si>
  <si>
    <t xml:space="preserve">冷鏈與特殊物料</t>
  </si>
  <si>
    <t xml:space="preserve">CAP-053</t>
  </si>
  <si>
    <r>
      <rPr>
        <sz val="10"/>
        <rFont val="Arial"/>
        <family val="0"/>
        <charset val="1"/>
      </rPr>
      <t xml:space="preserve">CMMS</t>
    </r>
    <r>
      <rPr>
        <sz val="10"/>
        <rFont val="Noto Sans CJK SC"/>
        <family val="2"/>
      </rPr>
      <t xml:space="preserve">與設施維運</t>
    </r>
  </si>
  <si>
    <t xml:space="preserve">FM Lead</t>
  </si>
  <si>
    <t xml:space="preserve">CAP-054</t>
  </si>
  <si>
    <t xml:space="preserve">在地備品、維修與汰換</t>
  </si>
  <si>
    <t xml:space="preserve">CAP-055</t>
  </si>
  <si>
    <t xml:space="preserve">全生命週期成本模型</t>
  </si>
  <si>
    <t xml:space="preserve">Financial Model Lead</t>
  </si>
  <si>
    <t xml:space="preserve">CAP-056</t>
  </si>
  <si>
    <t xml:space="preserve">健保申報與數位理賠</t>
  </si>
  <si>
    <t xml:space="preserve">Revenue Cycle Lead</t>
  </si>
  <si>
    <t xml:space="preserve">P-025</t>
  </si>
  <si>
    <t xml:space="preserve">越南健保申報介接夥伴</t>
  </si>
  <si>
    <t xml:space="preserve">CAP-057</t>
  </si>
  <si>
    <t xml:space="preserve">現金流、支付與收入週期</t>
  </si>
  <si>
    <t xml:space="preserve">CFO / Revenue Cycle Lead</t>
  </si>
  <si>
    <t xml:space="preserve">P-026</t>
  </si>
  <si>
    <t xml:space="preserve">醫院收費與金流服務商</t>
  </si>
  <si>
    <t xml:space="preserve">CAP-058</t>
  </si>
  <si>
    <t xml:space="preserve">國際醫療與高價值服務</t>
  </si>
  <si>
    <t xml:space="preserve">Commercial Director</t>
  </si>
  <si>
    <t xml:space="preserve">P-027</t>
  </si>
  <si>
    <t xml:space="preserve">國際醫療行銷與保險通路</t>
  </si>
  <si>
    <t xml:space="preserve">CAP-059</t>
  </si>
  <si>
    <r>
      <rPr>
        <sz val="10"/>
        <rFont val="Arial"/>
        <family val="0"/>
        <charset val="1"/>
      </rPr>
      <t xml:space="preserve">PPP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財務與風險分配</t>
    </r>
  </si>
  <si>
    <t xml:space="preserve">CAP-060</t>
  </si>
  <si>
    <t xml:space="preserve">效益實現與複製藍圖</t>
  </si>
  <si>
    <r>
      <rPr>
        <b val="true"/>
        <sz val="15"/>
        <color rgb="FF1F3864"/>
        <rFont val="Noto Sans CJK SC"/>
        <family val="2"/>
      </rPr>
      <t xml:space="preserve">夥伴依賴表｜</t>
    </r>
    <r>
      <rPr>
        <b val="true"/>
        <sz val="15"/>
        <color rgb="FF1F3864"/>
        <rFont val="Arial"/>
        <family val="0"/>
        <charset val="1"/>
      </rPr>
      <t xml:space="preserve">Dependency</t>
    </r>
    <r>
      <rPr>
        <b val="true"/>
        <sz val="15"/>
        <color rgb="FF1F3864"/>
        <rFont val="Noto Sans CJK SC"/>
        <family val="2"/>
      </rPr>
      <t xml:space="preserve">（自動統計，誰倒了我們最痛）</t>
    </r>
  </si>
  <si>
    <t xml:space="preserve">❓這頁在回答：哪家夥伴承擔最多能力？它現在可靠嗎？</t>
  </si>
  <si>
    <r>
      <rPr>
        <b val="true"/>
        <sz val="10"/>
        <color rgb="FFFFFFFF"/>
        <rFont val="Noto Sans CJK SC"/>
        <family val="2"/>
      </rPr>
      <t xml:space="preserve">夥伴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</si>
  <si>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夥伴名稱</t>
  </si>
  <si>
    <t xml:space="preserve">國別</t>
  </si>
  <si>
    <t xml:space="preserve">承擔能力數</t>
  </si>
  <si>
    <t xml:space="preserve">其中唯一來源</t>
  </si>
  <si>
    <t xml:space="preserve">依賴風險</t>
  </si>
  <si>
    <t xml:space="preserve">Taiwan</t>
  </si>
  <si>
    <t xml:space="preserve">Vietnam</t>
  </si>
  <si>
    <t xml:space="preserve">TBD</t>
  </si>
  <si>
    <t xml:space="preserve">United States</t>
  </si>
  <si>
    <r>
      <rPr>
        <sz val="10"/>
        <rFont val="Arial"/>
        <family val="0"/>
        <charset val="1"/>
      </rPr>
      <t xml:space="preserve">TBD / </t>
    </r>
    <r>
      <rPr>
        <sz val="10"/>
        <rFont val="Noto Sans CJK SC"/>
        <family val="2"/>
      </rPr>
      <t xml:space="preserve">待確認</t>
    </r>
  </si>
  <si>
    <t xml:space="preserve">P-029</t>
  </si>
  <si>
    <r>
      <rPr>
        <sz val="10"/>
        <rFont val="Noto Sans CJK SC"/>
        <family val="2"/>
      </rPr>
      <t xml:space="preserve">智慧院區設備商（</t>
    </r>
    <r>
      <rPr>
        <sz val="10"/>
        <rFont val="Arial"/>
        <family val="0"/>
        <charset val="1"/>
      </rPr>
      <t xml:space="preserve">BMS/RTLS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</si>
  <si>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P-001 </t>
    </r>
    <r>
      <rPr>
        <sz val="10"/>
        <rFont val="Noto Sans CJK SC"/>
        <family val="2"/>
      </rPr>
      <t xml:space="preserve">群晶科技</t>
    </r>
  </si>
  <si>
    <t xml:space="preserve">✓</t>
  </si>
  <si>
    <t xml:space="preserve">未登錄</t>
  </si>
  <si>
    <r>
      <rPr>
        <sz val="10"/>
        <rFont val="Arial"/>
        <family val="0"/>
        <charset val="1"/>
      </rPr>
      <t xml:space="preserve">P-002 </t>
    </r>
    <r>
      <rPr>
        <sz val="10"/>
        <rFont val="Noto Sans CJK SC"/>
        <family val="2"/>
      </rPr>
      <t xml:space="preserve">越南政府贊助單位</t>
    </r>
  </si>
  <si>
    <r>
      <rPr>
        <sz val="10"/>
        <rFont val="Arial"/>
        <family val="0"/>
        <charset val="1"/>
      </rPr>
      <t xml:space="preserve">P-003 </t>
    </r>
    <r>
      <rPr>
        <sz val="10"/>
        <rFont val="Noto Sans CJK SC"/>
        <family val="2"/>
      </rPr>
      <t xml:space="preserve">越南在地醫院營運者</t>
    </r>
  </si>
  <si>
    <r>
      <rPr>
        <sz val="10"/>
        <rFont val="Arial"/>
        <family val="0"/>
        <charset val="1"/>
      </rPr>
      <t xml:space="preserve">P-004 </t>
    </r>
    <r>
      <rPr>
        <sz val="10"/>
        <rFont val="Noto Sans CJK SC"/>
        <family val="2"/>
      </rPr>
      <t xml:space="preserve">台灣參考醫院</t>
    </r>
  </si>
  <si>
    <r>
      <rPr>
        <sz val="10"/>
        <rFont val="Arial"/>
        <family val="0"/>
        <charset val="1"/>
      </rPr>
      <t xml:space="preserve">P-005 </t>
    </r>
    <r>
      <rPr>
        <sz val="10"/>
        <rFont val="Noto Sans CJK SC"/>
        <family val="2"/>
      </rPr>
      <t xml:space="preserve">醫療建築與總體規劃團隊</t>
    </r>
  </si>
  <si>
    <r>
      <rPr>
        <sz val="10"/>
        <rFont val="Arial"/>
        <family val="0"/>
        <charset val="1"/>
      </rPr>
      <t xml:space="preserve">P-006 </t>
    </r>
    <r>
      <rPr>
        <sz val="10"/>
        <rFont val="Noto Sans CJK SC"/>
        <family val="2"/>
      </rPr>
      <t xml:space="preserve">越南</t>
    </r>
    <r>
      <rPr>
        <sz val="10"/>
        <rFont val="Arial"/>
        <family val="0"/>
        <charset val="1"/>
      </rPr>
      <t xml:space="preserve">EPC</t>
    </r>
    <r>
      <rPr>
        <sz val="10"/>
        <rFont val="Noto Sans CJK SC"/>
        <family val="2"/>
      </rPr>
      <t xml:space="preserve">／機電夥伴</t>
    </r>
  </si>
  <si>
    <r>
      <rPr>
        <sz val="10"/>
        <rFont val="Arial"/>
        <family val="0"/>
        <charset val="1"/>
      </rPr>
      <t xml:space="preserve">P-007 </t>
    </r>
    <r>
      <rPr>
        <sz val="10"/>
        <rFont val="Noto Sans CJK SC"/>
        <family val="2"/>
      </rPr>
      <t xml:space="preserve">醫療資訊整合商</t>
    </r>
  </si>
  <si>
    <r>
      <rPr>
        <sz val="10"/>
        <rFont val="Arial"/>
        <family val="0"/>
        <charset val="1"/>
      </rPr>
      <t xml:space="preserve">P-008 </t>
    </r>
    <r>
      <rPr>
        <sz val="10"/>
        <rFont val="Noto Sans CJK SC"/>
        <family val="2"/>
      </rPr>
      <t xml:space="preserve">美國雲端服務商</t>
    </r>
  </si>
  <si>
    <r>
      <rPr>
        <sz val="10"/>
        <rFont val="Arial"/>
        <family val="0"/>
        <charset val="1"/>
      </rPr>
      <t xml:space="preserve">P-009 </t>
    </r>
    <r>
      <rPr>
        <sz val="10"/>
        <rFont val="Noto Sans CJK SC"/>
        <family val="2"/>
      </rPr>
      <t xml:space="preserve">醫材整合商</t>
    </r>
  </si>
  <si>
    <r>
      <rPr>
        <sz val="10"/>
        <rFont val="Arial"/>
        <family val="0"/>
        <charset val="1"/>
      </rPr>
      <t xml:space="preserve">P-010 </t>
    </r>
    <r>
      <rPr>
        <sz val="10"/>
        <rFont val="Noto Sans CJK SC"/>
        <family val="2"/>
      </rPr>
      <t xml:space="preserve">資安與隱私獨立驗證</t>
    </r>
  </si>
  <si>
    <r>
      <rPr>
        <sz val="10"/>
        <rFont val="Arial"/>
        <family val="0"/>
        <charset val="1"/>
      </rPr>
      <t xml:space="preserve">P-011 </t>
    </r>
    <r>
      <rPr>
        <sz val="10"/>
        <rFont val="Noto Sans CJK SC"/>
        <family val="2"/>
      </rPr>
      <t xml:space="preserve">財務與</t>
    </r>
    <r>
      <rPr>
        <sz val="10"/>
        <rFont val="Arial"/>
        <family val="0"/>
        <charset val="1"/>
      </rPr>
      <t xml:space="preserve">PPP</t>
    </r>
    <r>
      <rPr>
        <sz val="10"/>
        <rFont val="Noto Sans CJK SC"/>
        <family val="2"/>
      </rPr>
      <t xml:space="preserve">顧問</t>
    </r>
  </si>
  <si>
    <r>
      <rPr>
        <sz val="10"/>
        <rFont val="Arial"/>
        <family val="0"/>
        <charset val="1"/>
      </rPr>
      <t xml:space="preserve">P-012 </t>
    </r>
    <r>
      <rPr>
        <sz val="10"/>
        <rFont val="Noto Sans CJK SC"/>
        <family val="2"/>
      </rPr>
      <t xml:space="preserve">越南法律與法規顧問</t>
    </r>
  </si>
  <si>
    <r>
      <rPr>
        <sz val="10"/>
        <rFont val="Arial"/>
        <family val="0"/>
        <charset val="1"/>
      </rPr>
      <t xml:space="preserve">P-013 </t>
    </r>
    <r>
      <rPr>
        <sz val="10"/>
        <rFont val="Noto Sans CJK SC"/>
        <family val="2"/>
      </rPr>
      <t xml:space="preserve">品質與</t>
    </r>
    <r>
      <rPr>
        <sz val="10"/>
        <rFont val="Arial"/>
        <family val="0"/>
        <charset val="1"/>
      </rPr>
      <t xml:space="preserve">JCI</t>
    </r>
    <r>
      <rPr>
        <sz val="10"/>
        <rFont val="Noto Sans CJK SC"/>
        <family val="2"/>
      </rPr>
      <t xml:space="preserve">顧問</t>
    </r>
  </si>
  <si>
    <r>
      <rPr>
        <sz val="10"/>
        <rFont val="Arial"/>
        <family val="0"/>
        <charset val="1"/>
      </rPr>
      <t xml:space="preserve">P-014 </t>
    </r>
    <r>
      <rPr>
        <sz val="10"/>
        <rFont val="Noto Sans CJK SC"/>
        <family val="2"/>
      </rPr>
      <t xml:space="preserve">物流／</t>
    </r>
    <r>
      <rPr>
        <sz val="10"/>
        <rFont val="Arial"/>
        <family val="0"/>
        <charset val="1"/>
      </rPr>
      <t xml:space="preserve">SPD</t>
    </r>
    <r>
      <rPr>
        <sz val="10"/>
        <rFont val="Noto Sans CJK SC"/>
        <family val="2"/>
      </rPr>
      <t xml:space="preserve">與冷鏈夥伴</t>
    </r>
  </si>
  <si>
    <r>
      <rPr>
        <sz val="10"/>
        <rFont val="Arial"/>
        <family val="0"/>
        <charset val="1"/>
      </rPr>
      <t xml:space="preserve">P-015 </t>
    </r>
    <r>
      <rPr>
        <sz val="10"/>
        <rFont val="Noto Sans CJK SC"/>
        <family val="2"/>
      </rPr>
      <t xml:space="preserve">獨立臨床與成本驗證</t>
    </r>
  </si>
  <si>
    <r>
      <rPr>
        <sz val="10"/>
        <rFont val="Arial"/>
        <family val="0"/>
        <charset val="1"/>
      </rPr>
      <t xml:space="preserve">P-016 PI </t>
    </r>
    <r>
      <rPr>
        <sz val="10"/>
        <rFont val="Noto Sans CJK SC"/>
        <family val="2"/>
      </rPr>
      <t xml:space="preserve">計畫辦公室</t>
    </r>
  </si>
  <si>
    <r>
      <rPr>
        <sz val="10"/>
        <rFont val="Arial"/>
        <family val="0"/>
        <charset val="1"/>
      </rPr>
      <t xml:space="preserve">P-017 </t>
    </r>
    <r>
      <rPr>
        <sz val="10"/>
        <rFont val="Noto Sans CJK SC"/>
        <family val="2"/>
      </rPr>
      <t xml:space="preserve">越南公共事務顧問</t>
    </r>
  </si>
  <si>
    <r>
      <rPr>
        <sz val="10"/>
        <rFont val="Arial"/>
        <family val="0"/>
        <charset val="1"/>
      </rPr>
      <t xml:space="preserve">P-018 </t>
    </r>
    <r>
      <rPr>
        <sz val="10"/>
        <rFont val="Noto Sans CJK SC"/>
        <family val="2"/>
      </rPr>
      <t xml:space="preserve">越南環保與廢棄物處理商</t>
    </r>
  </si>
  <si>
    <r>
      <rPr>
        <sz val="10"/>
        <rFont val="Arial"/>
        <family val="0"/>
        <charset val="1"/>
      </rPr>
      <t xml:space="preserve">P-019 </t>
    </r>
    <r>
      <rPr>
        <sz val="10"/>
        <rFont val="Noto Sans CJK SC"/>
        <family val="2"/>
      </rPr>
      <t xml:space="preserve">影像設備與</t>
    </r>
    <r>
      <rPr>
        <sz val="10"/>
        <rFont val="Arial"/>
        <family val="0"/>
        <charset val="1"/>
      </rPr>
      <t xml:space="preserve">PACS</t>
    </r>
    <r>
      <rPr>
        <sz val="10"/>
        <rFont val="Noto Sans CJK SC"/>
        <family val="2"/>
      </rPr>
      <t xml:space="preserve">整合商</t>
    </r>
  </si>
  <si>
    <r>
      <rPr>
        <sz val="10"/>
        <rFont val="Arial"/>
        <family val="0"/>
        <charset val="1"/>
      </rPr>
      <t xml:space="preserve">P-020 </t>
    </r>
    <r>
      <rPr>
        <sz val="10"/>
        <rFont val="Noto Sans CJK SC"/>
        <family val="2"/>
      </rPr>
      <t xml:space="preserve">檢驗自動化與</t>
    </r>
    <r>
      <rPr>
        <sz val="10"/>
        <rFont val="Arial"/>
        <family val="0"/>
        <charset val="1"/>
      </rPr>
      <t xml:space="preserve">LIS</t>
    </r>
    <r>
      <rPr>
        <sz val="10"/>
        <rFont val="Noto Sans CJK SC"/>
        <family val="2"/>
      </rPr>
      <t xml:space="preserve">供應商</t>
    </r>
  </si>
  <si>
    <r>
      <rPr>
        <sz val="10"/>
        <rFont val="Arial"/>
        <family val="0"/>
        <charset val="1"/>
      </rPr>
      <t xml:space="preserve">P-021 </t>
    </r>
    <r>
      <rPr>
        <sz val="10"/>
        <rFont val="Noto Sans CJK SC"/>
        <family val="2"/>
      </rPr>
      <t xml:space="preserve">手術室與重症設備整合商</t>
    </r>
  </si>
  <si>
    <r>
      <rPr>
        <sz val="10"/>
        <rFont val="Arial"/>
        <family val="0"/>
        <charset val="1"/>
      </rPr>
      <t xml:space="preserve">P-022 </t>
    </r>
    <r>
      <rPr>
        <sz val="10"/>
        <rFont val="Noto Sans CJK SC"/>
        <family val="2"/>
      </rPr>
      <t xml:space="preserve">越南數位身分介接夥伴</t>
    </r>
  </si>
  <si>
    <r>
      <rPr>
        <sz val="10"/>
        <rFont val="Arial"/>
        <family val="0"/>
        <charset val="1"/>
      </rPr>
      <t xml:space="preserve">P-023 </t>
    </r>
    <r>
      <rPr>
        <sz val="10"/>
        <rFont val="Noto Sans CJK SC"/>
        <family val="2"/>
      </rPr>
      <t xml:space="preserve">病人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與在地支付夥伴</t>
    </r>
  </si>
  <si>
    <r>
      <rPr>
        <sz val="10"/>
        <rFont val="Arial"/>
        <family val="0"/>
        <charset val="1"/>
      </rPr>
      <t xml:space="preserve">P-024 </t>
    </r>
    <r>
      <rPr>
        <sz val="10"/>
        <rFont val="Noto Sans CJK SC"/>
        <family val="2"/>
      </rPr>
      <t xml:space="preserve">越南醫護大學／人力機構</t>
    </r>
  </si>
  <si>
    <r>
      <rPr>
        <sz val="10"/>
        <rFont val="Arial"/>
        <family val="0"/>
        <charset val="1"/>
      </rPr>
      <t xml:space="preserve">P-025 </t>
    </r>
    <r>
      <rPr>
        <sz val="10"/>
        <rFont val="Noto Sans CJK SC"/>
        <family val="2"/>
      </rPr>
      <t xml:space="preserve">越南健保申報介接夥伴</t>
    </r>
  </si>
  <si>
    <r>
      <rPr>
        <sz val="10"/>
        <rFont val="Arial"/>
        <family val="0"/>
        <charset val="1"/>
      </rPr>
      <t xml:space="preserve">P-026 </t>
    </r>
    <r>
      <rPr>
        <sz val="10"/>
        <rFont val="Noto Sans CJK SC"/>
        <family val="2"/>
      </rPr>
      <t xml:space="preserve">醫院收費與金流服務商</t>
    </r>
  </si>
  <si>
    <r>
      <rPr>
        <sz val="10"/>
        <rFont val="Arial"/>
        <family val="0"/>
        <charset val="1"/>
      </rPr>
      <t xml:space="preserve">P-027 </t>
    </r>
    <r>
      <rPr>
        <sz val="10"/>
        <rFont val="Noto Sans CJK SC"/>
        <family val="2"/>
      </rPr>
      <t xml:space="preserve">國際醫療行銷與保險通路</t>
    </r>
  </si>
  <si>
    <r>
      <rPr>
        <sz val="10"/>
        <rFont val="Arial"/>
        <family val="0"/>
        <charset val="1"/>
      </rPr>
      <t xml:space="preserve">P-028 </t>
    </r>
    <r>
      <rPr>
        <sz val="10"/>
        <rFont val="Noto Sans CJK SC"/>
        <family val="2"/>
      </rPr>
      <t xml:space="preserve">越南在地維修服務網</t>
    </r>
  </si>
  <si>
    <r>
      <rPr>
        <sz val="10"/>
        <rFont val="Arial"/>
        <family val="0"/>
        <charset val="1"/>
      </rPr>
      <t xml:space="preserve">P-029 </t>
    </r>
    <r>
      <rPr>
        <sz val="10"/>
        <rFont val="Noto Sans CJK SC"/>
        <family val="2"/>
      </rPr>
      <t xml:space="preserve">智慧院區設備商（</t>
    </r>
    <r>
      <rPr>
        <sz val="10"/>
        <rFont val="Arial"/>
        <family val="0"/>
        <charset val="1"/>
      </rPr>
      <t xml:space="preserve">BMS/RTLS</t>
    </r>
    <r>
      <rPr>
        <sz val="10"/>
        <rFont val="Noto Sans CJK SC"/>
        <family val="2"/>
      </rPr>
      <t xml:space="preserve">）</t>
    </r>
  </si>
  <si>
    <r>
      <rPr>
        <b val="true"/>
        <sz val="15"/>
        <color rgb="FF1F3864"/>
        <rFont val="Noto Sans CJK SC"/>
        <family val="2"/>
      </rPr>
      <t xml:space="preserve">補位行動｜</t>
    </r>
    <r>
      <rPr>
        <b val="true"/>
        <sz val="15"/>
        <color rgb="FF1F3864"/>
        <rFont val="Arial"/>
        <family val="0"/>
        <charset val="1"/>
      </rPr>
      <t xml:space="preserve">Actions</t>
    </r>
    <r>
      <rPr>
        <b val="true"/>
        <sz val="15"/>
        <color rgb="FF1F3864"/>
        <rFont val="Noto Sans CJK SC"/>
        <family val="2"/>
      </rPr>
      <t xml:space="preserve">（零覆蓋與高風險能力，逐項指定負責人）</t>
    </r>
  </si>
  <si>
    <t xml:space="preserve">❓這頁在回答：誰、在什麼期限前、要把哪個缺口補起來？</t>
  </si>
  <si>
    <t xml:space="preserve">缺口描述</t>
  </si>
  <si>
    <t xml:space="preserve">補位方向</t>
  </si>
  <si>
    <r>
      <rPr>
        <b val="true"/>
        <sz val="10"/>
        <color rgb="FFFFFFFF"/>
        <rFont val="Noto Sans CJK SC"/>
        <family val="2"/>
      </rPr>
      <t xml:space="preserve">候選來源（從 </t>
    </r>
    <r>
      <rPr>
        <b val="true"/>
        <sz val="10"/>
        <color rgb="FFFFFFFF"/>
        <rFont val="Arial"/>
        <family val="0"/>
        <charset val="1"/>
      </rPr>
      <t xml:space="preserve">18 </t>
    </r>
    <r>
      <rPr>
        <b val="true"/>
        <sz val="10"/>
        <color rgb="FFFFFFFF"/>
        <rFont val="Noto Sans CJK SC"/>
        <family val="2"/>
      </rPr>
      <t xml:space="preserve">號名冊）</t>
    </r>
  </si>
  <si>
    <t xml:space="preserve">負責人</t>
  </si>
  <si>
    <t xml:space="preserve">期限</t>
  </si>
  <si>
    <t xml:space="preserve">狀態</t>
  </si>
  <si>
    <r>
      <rPr>
        <b val="true"/>
        <sz val="10"/>
        <color rgb="FFFFFFFF"/>
        <rFont val="Noto Sans CJK SC"/>
        <family val="2"/>
      </rPr>
      <t xml:space="preserve">進 </t>
    </r>
    <r>
      <rPr>
        <b val="true"/>
        <sz val="10"/>
        <color rgb="FFFFFFFF"/>
        <rFont val="Arial"/>
        <family val="0"/>
        <charset val="1"/>
      </rPr>
      <t xml:space="preserve">20 </t>
    </r>
    <r>
      <rPr>
        <b val="true"/>
        <sz val="10"/>
        <color rgb="FFFFFFFF"/>
        <rFont val="Noto Sans CJK SC"/>
        <family val="2"/>
      </rPr>
      <t xml:space="preserve">號漏斗案件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</si>
  <si>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備註</t>
  </si>
  <si>
    <t xml:space="preserve">（範例）越南醫材註冊代理</t>
  </si>
  <si>
    <t xml:space="preserve">找在地法規顧問所</t>
  </si>
  <si>
    <r>
      <rPr>
        <sz val="10"/>
        <rFont val="Noto Sans CJK SC"/>
        <family val="2"/>
      </rPr>
      <t xml:space="preserve">情報站名冊：法規類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家</t>
    </r>
  </si>
  <si>
    <t xml:space="preserve">王</t>
  </si>
  <si>
    <t xml:space="preserve">2026-10-31</t>
  </si>
  <si>
    <t xml:space="preserve">洽談中</t>
  </si>
  <si>
    <r>
      <rPr>
        <sz val="10"/>
        <rFont val="Noto Sans CJK SC"/>
        <family val="2"/>
      </rPr>
      <t xml:space="preserve">已接觸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家，等報價</t>
    </r>
  </si>
  <si>
    <t xml:space="preserve">權重</t>
  </si>
  <si>
    <t xml:space="preserve">說明</t>
  </si>
  <si>
    <t xml:space="preserve">已通過資格審查</t>
  </si>
  <si>
    <t xml:space="preserve">盡職調查中</t>
  </si>
  <si>
    <t xml:space="preserve">已實際接觸洽談</t>
  </si>
  <si>
    <t xml:space="preserve">目標邀請——只是名單</t>
  </si>
  <si>
    <t xml:space="preserve">夥伴檔案不完整</t>
  </si>
  <si>
    <t xml:space="preserve">無候選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</si>
</sst>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sz val="10"/>
      <color rgb="FF6B7280"/>
      <name val="Arial"/>
      <family val="0"/>
      <charset val="1"/>
    </font>
    <font>
      <sz val="10"/>
      <color rgb="FF6B7280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2"/>
      <color rgb="FF1F3864"/>
      <name val="Arial"/>
      <family val="0"/>
      <charset val="1"/>
    </font>
    <font>
      <sz val="9"/>
      <color rgb="FF6B7280"/>
      <name val="Noto Sans CJK SC"/>
      <family val="2"/>
    </font>
    <font>
      <sz val="9"/>
      <color rgb="FF6B7280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Noto Sans CJK SC"/>
      <family val="2"/>
    </font>
    <font>
      <sz val="9"/>
      <color rgb="FF55607A"/>
      <name val="Noto Sans CJK SC"/>
      <family val="2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4F9"/>
        <bgColor rgb="FFFFF9E3"/>
      </patternFill>
    </fill>
    <fill>
      <patternFill patternType="solid">
        <fgColor rgb="FF1F3864"/>
        <bgColor rgb="FF333333"/>
      </patternFill>
    </fill>
    <fill>
      <patternFill patternType="solid">
        <fgColor rgb="FFFFF9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1F4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607A"/>
      <rgbColor rgb="FF9999FF"/>
      <rgbColor rgb="FF993366"/>
      <rgbColor rgb="FFFFF9E3"/>
      <rgbColor rgb="FFF1F4F9"/>
      <rgbColor rgb="FF660066"/>
      <rgbColor rgb="FFFF8080"/>
      <rgbColor rgb="FF0066CC"/>
      <rgbColor rgb="FFD9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60" hidden="false" customHeight="true" outlineLevel="0" collapsed="false">
      <c r="B5" s="4" t="s">
        <v>3</v>
      </c>
    </row>
    <row r="7" customFormat="false" ht="15" hidden="false" customHeight="false" outlineLevel="0" collapsed="false">
      <c r="B7" s="3" t="s">
        <v>4</v>
      </c>
    </row>
    <row r="8" customFormat="false" ht="60" hidden="false" customHeight="true" outlineLevel="0" collapsed="false">
      <c r="B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75" hidden="false" customHeight="true" outlineLevel="0" collapsed="false">
      <c r="B11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60" hidden="false" customHeight="true" outlineLevel="0" collapsed="false">
      <c r="B14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45" hidden="false" customHeight="true" outlineLevel="0" collapsed="false">
      <c r="B17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40"/>
    <col collapsed="false" customWidth="true" hidden="false" outlineLevel="0" max="7" min="6" style="0" width="13"/>
  </cols>
  <sheetData>
    <row r="1" customFormat="false" ht="23.1" hidden="false" customHeight="false" outlineLevel="0" collapsed="false">
      <c r="A1" s="5" t="s">
        <v>12</v>
      </c>
    </row>
    <row r="2" customFormat="false" ht="15" hidden="false" customHeight="false" outlineLevel="0" collapsed="false">
      <c r="A2" s="6" t="s">
        <v>13</v>
      </c>
    </row>
    <row r="4" customFormat="false" ht="15" hidden="false" customHeight="false" outlineLevel="0" collapsed="false">
      <c r="B4" s="7" t="s">
        <v>14</v>
      </c>
    </row>
    <row r="5" customFormat="false" ht="15" hidden="false" customHeight="false" outlineLevel="0" collapsed="false">
      <c r="B5" s="8" t="s">
        <v>15</v>
      </c>
      <c r="C5" s="9" t="n">
        <f aca="false">ROUND(AVERAGE(01_能力覆蓋表_Coverage!$J$5:$J$64)*100,0)</f>
        <v>37</v>
      </c>
      <c r="D5" s="10" t="s">
        <v>16</v>
      </c>
    </row>
    <row r="6" customFormat="false" ht="15" hidden="false" customHeight="false" outlineLevel="0" collapsed="false">
      <c r="B6" s="8" t="s">
        <v>17</v>
      </c>
      <c r="C6" s="9" t="n">
        <f aca="false">COUNTIF(01_能力覆蓋表_Coverage!$J$5:$J$64,0)</f>
        <v>9</v>
      </c>
      <c r="D6" s="10" t="s">
        <v>18</v>
      </c>
    </row>
    <row r="7" customFormat="false" ht="15" hidden="false" customHeight="false" outlineLevel="0" collapsed="false">
      <c r="B7" s="8" t="s">
        <v>19</v>
      </c>
      <c r="C7" s="9" t="n">
        <f aca="false">COUNTIFS(01_能力覆蓋表_Coverage!$J$5:$J$64,"&gt;0",01_能力覆蓋表_Coverage!$J$5:$J$64,"&lt;=0.35")</f>
        <v>37</v>
      </c>
      <c r="D7" s="10" t="s">
        <v>20</v>
      </c>
    </row>
    <row r="8" customFormat="false" ht="15" hidden="false" customHeight="false" outlineLevel="0" collapsed="false">
      <c r="B8" s="8" t="s">
        <v>21</v>
      </c>
      <c r="C8" s="9" t="n">
        <f aca="false">COUNTIF(01_能力覆蓋表_Coverage!$J$5:$J$64,"&gt;=1")</f>
        <v>12</v>
      </c>
      <c r="D8" s="10" t="s">
        <v>22</v>
      </c>
    </row>
    <row r="9" customFormat="false" ht="15" hidden="false" customHeight="false" outlineLevel="0" collapsed="false">
      <c r="B9" s="8" t="s">
        <v>23</v>
      </c>
      <c r="C9" s="9" t="n">
        <f aca="false">COUNTIF(01_能力覆蓋表_Coverage!$F$5:$F$64,"P-*")</f>
        <v>60</v>
      </c>
      <c r="D9" s="10" t="s">
        <v>24</v>
      </c>
    </row>
    <row r="11" customFormat="false" ht="15" hidden="false" customHeight="false" outlineLevel="0" collapsed="false">
      <c r="B11" s="7" t="s">
        <v>25</v>
      </c>
    </row>
    <row r="12" customFormat="false" ht="15" hidden="false" customHeight="false" outlineLevel="0" collapsed="false">
      <c r="B12" s="11" t="s">
        <v>26</v>
      </c>
      <c r="C12" s="11" t="s">
        <v>27</v>
      </c>
      <c r="D12" s="11" t="s">
        <v>28</v>
      </c>
      <c r="E12" s="11" t="s">
        <v>29</v>
      </c>
      <c r="F12" s="11" t="s">
        <v>30</v>
      </c>
    </row>
    <row r="13" customFormat="false" ht="15" hidden="false" customHeight="false" outlineLevel="0" collapsed="false">
      <c r="B13" s="12" t="s">
        <v>31</v>
      </c>
      <c r="C13" s="13" t="n">
        <f aca="false">COUNTIF(01_能力覆蓋表_Coverage!$C$5:$C$64,$B13)</f>
        <v>6</v>
      </c>
      <c r="D13" s="13" t="n">
        <f aca="false">COUNTIFS(01_能力覆蓋表_Coverage!$C$5:$C$64,$B13,01_能力覆蓋表_Coverage!$J$5:$J$64,0)</f>
        <v>0</v>
      </c>
      <c r="E13" s="14" t="n">
        <f aca="false">ROUND(AVERAGEIF(01_能力覆蓋表_Coverage!$C$5:$C$64,$B13,01_能力覆蓋表_Coverage!$J$5:$J$64),2)</f>
        <v>0.42</v>
      </c>
      <c r="F13" s="15" t="str">
        <f aca="false">IF($D13&gt;0,"🔴 有零覆蓋",IF($E13&lt;=0.35,"🟠 整體單薄","🟡 持續補強"))</f>
        <v>🟡 持續補強</v>
      </c>
    </row>
    <row r="14" customFormat="false" ht="15" hidden="false" customHeight="false" outlineLevel="0" collapsed="false">
      <c r="B14" s="12" t="s">
        <v>32</v>
      </c>
      <c r="C14" s="13" t="n">
        <f aca="false">COUNTIF(01_能力覆蓋表_Coverage!$C$5:$C$64,$B14)</f>
        <v>6</v>
      </c>
      <c r="D14" s="13" t="n">
        <f aca="false">COUNTIFS(01_能力覆蓋表_Coverage!$C$5:$C$64,$B14,01_能力覆蓋表_Coverage!$J$5:$J$64,0)</f>
        <v>0</v>
      </c>
      <c r="E14" s="14" t="n">
        <f aca="false">ROUND(AVERAGEIF(01_能力覆蓋表_Coverage!$C$5:$C$64,$B14,01_能力覆蓋表_Coverage!$J$5:$J$64),2)</f>
        <v>0.25</v>
      </c>
      <c r="F14" s="15" t="str">
        <f aca="false">IF($D14&gt;0,"🔴 有零覆蓋",IF($E14&lt;=0.35,"🟠 整體單薄","🟡 持續補強"))</f>
        <v>🟠 整體單薄</v>
      </c>
    </row>
    <row r="15" customFormat="false" ht="15" hidden="false" customHeight="false" outlineLevel="0" collapsed="false">
      <c r="B15" s="12" t="s">
        <v>33</v>
      </c>
      <c r="C15" s="13" t="n">
        <f aca="false">COUNTIF(01_能力覆蓋表_Coverage!$C$5:$C$64,$B15)</f>
        <v>7</v>
      </c>
      <c r="D15" s="13" t="n">
        <f aca="false">COUNTIFS(01_能力覆蓋表_Coverage!$C$5:$C$64,$B15,01_能力覆蓋表_Coverage!$J$5:$J$64,0)</f>
        <v>0</v>
      </c>
      <c r="E15" s="14" t="n">
        <f aca="false">ROUND(AVERAGEIF(01_能力覆蓋表_Coverage!$C$5:$C$64,$B15,01_能力覆蓋表_Coverage!$J$5:$J$64),2)</f>
        <v>0.36</v>
      </c>
      <c r="F15" s="15" t="str">
        <f aca="false">IF($D15&gt;0,"🔴 有零覆蓋",IF($E15&lt;=0.35,"🟠 整體單薄","🟡 持續補強"))</f>
        <v>🟡 持續補強</v>
      </c>
    </row>
    <row r="16" customFormat="false" ht="15" hidden="false" customHeight="false" outlineLevel="0" collapsed="false">
      <c r="B16" s="12" t="s">
        <v>34</v>
      </c>
      <c r="C16" s="13" t="n">
        <f aca="false">COUNTIF(01_能力覆蓋表_Coverage!$C$5:$C$64,$B16)</f>
        <v>7</v>
      </c>
      <c r="D16" s="13" t="n">
        <f aca="false">COUNTIFS(01_能力覆蓋表_Coverage!$C$5:$C$64,$B16,01_能力覆蓋表_Coverage!$J$5:$J$64,0)</f>
        <v>0</v>
      </c>
      <c r="E16" s="14" t="n">
        <f aca="false">ROUND(AVERAGEIF(01_能力覆蓋表_Coverage!$C$5:$C$64,$B16,01_能力覆蓋表_Coverage!$J$5:$J$64),2)</f>
        <v>0.89</v>
      </c>
      <c r="F16" s="15" t="str">
        <f aca="false">IF($D16&gt;0,"🔴 有零覆蓋",IF($E16&lt;=0.35,"🟠 整體單薄","🟡 持續補強"))</f>
        <v>🟡 持續補強</v>
      </c>
    </row>
    <row r="17" customFormat="false" ht="15" hidden="false" customHeight="false" outlineLevel="0" collapsed="false">
      <c r="B17" s="12" t="s">
        <v>35</v>
      </c>
      <c r="C17" s="13" t="n">
        <f aca="false">COUNTIF(01_能力覆蓋表_Coverage!$C$5:$C$64,$B17)</f>
        <v>6</v>
      </c>
      <c r="D17" s="13" t="n">
        <f aca="false">COUNTIFS(01_能力覆蓋表_Coverage!$C$5:$C$64,$B17,01_能力覆蓋表_Coverage!$J$5:$J$64,0)</f>
        <v>3</v>
      </c>
      <c r="E17" s="14" t="n">
        <f aca="false">ROUND(AVERAGEIF(01_能力覆蓋表_Coverage!$C$5:$C$64,$B17,01_能力覆蓋表_Coverage!$J$5:$J$64),2)</f>
        <v>0.13</v>
      </c>
      <c r="F17" s="15" t="str">
        <f aca="false">IF($D17&gt;0,"🔴 有零覆蓋",IF($E17&lt;=0.35,"🟠 整體單薄","🟡 持續補強"))</f>
        <v>🔴 有零覆蓋</v>
      </c>
    </row>
    <row r="18" customFormat="false" ht="15" hidden="false" customHeight="false" outlineLevel="0" collapsed="false">
      <c r="B18" s="12" t="s">
        <v>36</v>
      </c>
      <c r="C18" s="13" t="n">
        <f aca="false">COUNTIF(01_能力覆蓋表_Coverage!$C$5:$C$64,$B18)</f>
        <v>7</v>
      </c>
      <c r="D18" s="13" t="n">
        <f aca="false">COUNTIFS(01_能力覆蓋表_Coverage!$C$5:$C$64,$B18,01_能力覆蓋表_Coverage!$J$5:$J$64,0)</f>
        <v>2</v>
      </c>
      <c r="E18" s="14" t="n">
        <f aca="false">ROUND(AVERAGEIF(01_能力覆蓋表_Coverage!$C$5:$C$64,$B18,01_能力覆蓋表_Coverage!$J$5:$J$64),2)</f>
        <v>0.24</v>
      </c>
      <c r="F18" s="15" t="str">
        <f aca="false">IF($D18&gt;0,"🔴 有零覆蓋",IF($E18&lt;=0.35,"🟠 整體單薄","🟡 持續補強"))</f>
        <v>🔴 有零覆蓋</v>
      </c>
    </row>
    <row r="19" customFormat="false" ht="15" hidden="false" customHeight="false" outlineLevel="0" collapsed="false">
      <c r="B19" s="12" t="s">
        <v>37</v>
      </c>
      <c r="C19" s="13" t="n">
        <f aca="false">COUNTIF(01_能力覆蓋表_Coverage!$C$5:$C$64,$B19)</f>
        <v>5</v>
      </c>
      <c r="D19" s="13" t="n">
        <f aca="false">COUNTIFS(01_能力覆蓋表_Coverage!$C$5:$C$64,$B19,01_能力覆蓋表_Coverage!$J$5:$J$64,0)</f>
        <v>0</v>
      </c>
      <c r="E19" s="14" t="n">
        <f aca="false">ROUND(AVERAGEIF(01_能力覆蓋表_Coverage!$C$5:$C$64,$B19,01_能力覆蓋表_Coverage!$J$5:$J$64),2)</f>
        <v>0.25</v>
      </c>
      <c r="F19" s="15" t="str">
        <f aca="false">IF($D19&gt;0,"🔴 有零覆蓋",IF($E19&lt;=0.35,"🟠 整體單薄","🟡 持續補強"))</f>
        <v>🟠 整體單薄</v>
      </c>
    </row>
    <row r="20" customFormat="false" ht="15" hidden="false" customHeight="false" outlineLevel="0" collapsed="false">
      <c r="B20" s="12" t="s">
        <v>38</v>
      </c>
      <c r="C20" s="13" t="n">
        <f aca="false">COUNTIF(01_能力覆蓋表_Coverage!$C$5:$C$64,$B20)</f>
        <v>5</v>
      </c>
      <c r="D20" s="13" t="n">
        <f aca="false">COUNTIFS(01_能力覆蓋表_Coverage!$C$5:$C$64,$B20,01_能力覆蓋表_Coverage!$J$5:$J$64,0)</f>
        <v>1</v>
      </c>
      <c r="E20" s="14" t="n">
        <f aca="false">ROUND(AVERAGEIF(01_能力覆蓋表_Coverage!$C$5:$C$64,$B20,01_能力覆蓋表_Coverage!$J$5:$J$64),2)</f>
        <v>0.35</v>
      </c>
      <c r="F20" s="15" t="str">
        <f aca="false">IF($D20&gt;0,"🔴 有零覆蓋",IF($E20&lt;=0.35,"🟠 整體單薄","🟡 持續補強"))</f>
        <v>🔴 有零覆蓋</v>
      </c>
    </row>
    <row r="21" customFormat="false" ht="15" hidden="false" customHeight="false" outlineLevel="0" collapsed="false">
      <c r="B21" s="12" t="s">
        <v>39</v>
      </c>
      <c r="C21" s="13" t="n">
        <f aca="false">COUNTIF(01_能力覆蓋表_Coverage!$C$5:$C$64,$B21)</f>
        <v>5</v>
      </c>
      <c r="D21" s="13" t="n">
        <f aca="false">COUNTIFS(01_能力覆蓋表_Coverage!$C$5:$C$64,$B21,01_能力覆蓋表_Coverage!$J$5:$J$64,0)</f>
        <v>0</v>
      </c>
      <c r="E21" s="14" t="n">
        <f aca="false">ROUND(AVERAGEIF(01_能力覆蓋表_Coverage!$C$5:$C$64,$B21,01_能力覆蓋表_Coverage!$J$5:$J$64),2)</f>
        <v>0.55</v>
      </c>
      <c r="F21" s="15" t="str">
        <f aca="false">IF($D21&gt;0,"🔴 有零覆蓋",IF($E21&lt;=0.35,"🟠 整體單薄","🟡 持續補強"))</f>
        <v>🟡 持續補強</v>
      </c>
    </row>
    <row r="22" customFormat="false" ht="15" hidden="false" customHeight="false" outlineLevel="0" collapsed="false">
      <c r="B22" s="12" t="s">
        <v>40</v>
      </c>
      <c r="C22" s="13" t="n">
        <f aca="false">COUNTIF(01_能力覆蓋表_Coverage!$C$5:$C$64,$B22)</f>
        <v>6</v>
      </c>
      <c r="D22" s="13" t="n">
        <f aca="false">COUNTIFS(01_能力覆蓋表_Coverage!$C$5:$C$64,$B22,01_能力覆蓋表_Coverage!$J$5:$J$64,0)</f>
        <v>3</v>
      </c>
      <c r="E22" s="14" t="n">
        <f aca="false">ROUND(AVERAGEIF(01_能力覆蓋表_Coverage!$C$5:$C$64,$B22,01_能力覆蓋表_Coverage!$J$5:$J$64),2)</f>
        <v>0.25</v>
      </c>
      <c r="F22" s="15" t="str">
        <f aca="false">IF($D22&gt;0,"🔴 有零覆蓋",IF($E22&lt;=0.35,"🟠 整體單薄","🟡 持續補強"))</f>
        <v>🔴 有零覆蓋</v>
      </c>
    </row>
    <row r="24" customFormat="false" ht="15" hidden="false" customHeight="true" outlineLevel="0" collapsed="false">
      <c r="B24" s="16" t="s">
        <v>41</v>
      </c>
      <c r="C24" s="16"/>
      <c r="D24" s="16"/>
      <c r="E24" s="16"/>
      <c r="F24" s="16"/>
      <c r="G24" s="16"/>
    </row>
    <row r="25" customFormat="false" ht="15" hidden="false" customHeight="false" outlineLevel="0" collapsed="false">
      <c r="B25" s="16"/>
      <c r="C25" s="16"/>
      <c r="D25" s="16"/>
      <c r="E25" s="16"/>
      <c r="F25" s="16"/>
      <c r="G25" s="16"/>
    </row>
  </sheetData>
  <mergeCells count="1">
    <mergeCell ref="B24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0"/>
  </cols>
  <sheetData>
    <row r="1" customFormat="false" ht="23.1" hidden="false" customHeight="false" outlineLevel="0" collapsed="false">
      <c r="A1" s="5" t="s">
        <v>42</v>
      </c>
    </row>
    <row r="2" customFormat="false" ht="15" hidden="false" customHeight="false" outlineLevel="0" collapsed="false">
      <c r="A2" s="6" t="s">
        <v>43</v>
      </c>
    </row>
    <row r="3" customFormat="false" ht="15" hidden="false" customHeight="false" outlineLevel="0" collapsed="false">
      <c r="A3" s="3" t="s">
        <v>44</v>
      </c>
      <c r="B3" s="17" t="s">
        <v>45</v>
      </c>
      <c r="C3" s="18" t="s">
        <v>46</v>
      </c>
    </row>
    <row r="4" customFormat="false" ht="30" hidden="false" customHeight="true" outlineLevel="0" collapsed="false">
      <c r="A4" s="19" t="s">
        <v>47</v>
      </c>
      <c r="B4" s="19" t="s">
        <v>48</v>
      </c>
      <c r="C4" s="19" t="s">
        <v>26</v>
      </c>
      <c r="D4" s="19" t="s">
        <v>49</v>
      </c>
      <c r="E4" s="19" t="s">
        <v>50</v>
      </c>
      <c r="F4" s="19" t="s">
        <v>51</v>
      </c>
      <c r="G4" s="19" t="s">
        <v>52</v>
      </c>
      <c r="H4" s="19" t="s">
        <v>53</v>
      </c>
      <c r="I4" s="19" t="s">
        <v>54</v>
      </c>
      <c r="J4" s="19" t="s">
        <v>55</v>
      </c>
      <c r="K4" s="19" t="s">
        <v>56</v>
      </c>
      <c r="L4" s="19" t="s">
        <v>57</v>
      </c>
    </row>
    <row r="5" customFormat="false" ht="15" hidden="false" customHeight="false" outlineLevel="0" collapsed="false">
      <c r="A5" s="20" t="s">
        <v>58</v>
      </c>
      <c r="B5" s="21" t="s">
        <v>59</v>
      </c>
      <c r="C5" s="20" t="s">
        <v>31</v>
      </c>
      <c r="D5" s="22" t="s">
        <v>60</v>
      </c>
      <c r="E5" s="20" t="s">
        <v>61</v>
      </c>
      <c r="F5" s="20" t="s">
        <v>62</v>
      </c>
      <c r="G5" s="21" t="s">
        <v>63</v>
      </c>
      <c r="H5" s="20" t="s">
        <v>64</v>
      </c>
      <c r="I5" s="23" t="n">
        <f aca="false">IFERROR(INDEX(_選單_Lists!$B$2:$B$8,MATCH($H5,_選單_Lists!$A$2:$A$8,0)),0)</f>
        <v>0.5</v>
      </c>
      <c r="J5" s="23" t="n">
        <f aca="false">IF($D5="群晶主導",1,IF($D5="缺口-待尋找",0,$I5))</f>
        <v>0.5</v>
      </c>
      <c r="K5" s="24" t="str">
        <f aca="false">IF($J5=0,"🔴 零覆蓋",IF($J5&lt;=0.35,"🟠 高風險",IF($J5&lt;1,"🟡 待補強","🟢 可承諾")))</f>
        <v>🟡 待補強</v>
      </c>
      <c r="L5" s="24" t="str">
        <f aca="false">IF($J5=0,"P1 最優先",IF($J5&lt;=0.35,"P2","—"))</f>
        <v>—</v>
      </c>
    </row>
    <row r="6" customFormat="false" ht="15" hidden="false" customHeight="false" outlineLevel="0" collapsed="false">
      <c r="A6" s="20" t="s">
        <v>65</v>
      </c>
      <c r="B6" s="21" t="s">
        <v>66</v>
      </c>
      <c r="C6" s="20" t="s">
        <v>31</v>
      </c>
      <c r="D6" s="22" t="s">
        <v>60</v>
      </c>
      <c r="E6" s="20" t="s">
        <v>61</v>
      </c>
      <c r="F6" s="20" t="s">
        <v>67</v>
      </c>
      <c r="G6" s="21" t="s">
        <v>68</v>
      </c>
      <c r="H6" s="20" t="s">
        <v>69</v>
      </c>
      <c r="I6" s="23" t="n">
        <f aca="false">IFERROR(INDEX(_選單_Lists!$B$2:$B$8,MATCH($H6,_選單_Lists!$A$2:$A$8,0)),0)</f>
        <v>0.25</v>
      </c>
      <c r="J6" s="23" t="n">
        <f aca="false">IF($D6="群晶主導",1,IF($D6="缺口-待尋找",0,$I6))</f>
        <v>0.25</v>
      </c>
      <c r="K6" s="24" t="str">
        <f aca="false">IF($J6=0,"🔴 零覆蓋",IF($J6&lt;=0.35,"🟠 高風險",IF($J6&lt;1,"🟡 待補強","🟢 可承諾")))</f>
        <v>🟠 高風險</v>
      </c>
      <c r="L6" s="24" t="str">
        <f aca="false">IF($J6=0,"P1 最優先",IF($J6&lt;=0.35,"P2","—"))</f>
        <v>P2</v>
      </c>
    </row>
    <row r="7" customFormat="false" ht="15" hidden="false" customHeight="false" outlineLevel="0" collapsed="false">
      <c r="A7" s="20" t="s">
        <v>70</v>
      </c>
      <c r="B7" s="21" t="s">
        <v>71</v>
      </c>
      <c r="C7" s="20" t="s">
        <v>31</v>
      </c>
      <c r="D7" s="22" t="s">
        <v>60</v>
      </c>
      <c r="E7" s="20" t="s">
        <v>72</v>
      </c>
      <c r="F7" s="20" t="s">
        <v>73</v>
      </c>
      <c r="G7" s="21" t="s">
        <v>74</v>
      </c>
      <c r="H7" s="20" t="s">
        <v>69</v>
      </c>
      <c r="I7" s="23" t="n">
        <f aca="false">IFERROR(INDEX(_選單_Lists!$B$2:$B$8,MATCH($H7,_選單_Lists!$A$2:$A$8,0)),0)</f>
        <v>0.25</v>
      </c>
      <c r="J7" s="23" t="n">
        <f aca="false">IF($D7="群晶主導",1,IF($D7="缺口-待尋找",0,$I7))</f>
        <v>0.25</v>
      </c>
      <c r="K7" s="24" t="str">
        <f aca="false">IF($J7=0,"🔴 零覆蓋",IF($J7&lt;=0.35,"🟠 高風險",IF($J7&lt;1,"🟡 待補強","🟢 可承諾")))</f>
        <v>🟠 高風險</v>
      </c>
      <c r="L7" s="24" t="str">
        <f aca="false">IF($J7=0,"P1 最優先",IF($J7&lt;=0.35,"P2","—"))</f>
        <v>P2</v>
      </c>
    </row>
    <row r="8" customFormat="false" ht="15" hidden="false" customHeight="false" outlineLevel="0" collapsed="false">
      <c r="A8" s="20" t="s">
        <v>75</v>
      </c>
      <c r="B8" s="21" t="s">
        <v>76</v>
      </c>
      <c r="C8" s="20" t="s">
        <v>31</v>
      </c>
      <c r="D8" s="22" t="s">
        <v>60</v>
      </c>
      <c r="E8" s="20" t="s">
        <v>77</v>
      </c>
      <c r="F8" s="20" t="s">
        <v>78</v>
      </c>
      <c r="G8" s="21" t="s">
        <v>79</v>
      </c>
      <c r="H8" s="20" t="s">
        <v>69</v>
      </c>
      <c r="I8" s="23" t="n">
        <f aca="false">IFERROR(INDEX(_選單_Lists!$B$2:$B$8,MATCH($H8,_選單_Lists!$A$2:$A$8,0)),0)</f>
        <v>0.25</v>
      </c>
      <c r="J8" s="23" t="n">
        <f aca="false">IF($D8="群晶主導",1,IF($D8="缺口-待尋找",0,$I8))</f>
        <v>0.25</v>
      </c>
      <c r="K8" s="24" t="str">
        <f aca="false">IF($J8=0,"🔴 零覆蓋",IF($J8&lt;=0.35,"🟠 高風險",IF($J8&lt;1,"🟡 待補強","🟢 可承諾")))</f>
        <v>🟠 高風險</v>
      </c>
      <c r="L8" s="24" t="str">
        <f aca="false">IF($J8=0,"P1 最優先",IF($J8&lt;=0.35,"P2","—"))</f>
        <v>P2</v>
      </c>
    </row>
    <row r="9" customFormat="false" ht="15" hidden="false" customHeight="false" outlineLevel="0" collapsed="false">
      <c r="A9" s="20" t="s">
        <v>80</v>
      </c>
      <c r="B9" s="21" t="s">
        <v>81</v>
      </c>
      <c r="C9" s="20" t="s">
        <v>31</v>
      </c>
      <c r="D9" s="22" t="s">
        <v>60</v>
      </c>
      <c r="E9" s="20" t="s">
        <v>61</v>
      </c>
      <c r="F9" s="20" t="s">
        <v>82</v>
      </c>
      <c r="G9" s="25" t="s">
        <v>83</v>
      </c>
      <c r="H9" s="20" t="s">
        <v>84</v>
      </c>
      <c r="I9" s="23" t="n">
        <f aca="false">IFERROR(INDEX(_選單_Lists!$B$2:$B$8,MATCH($H9,_選單_Lists!$A$2:$A$8,0)),0)</f>
        <v>1</v>
      </c>
      <c r="J9" s="23" t="n">
        <f aca="false">IF($D9="群晶主導",1,IF($D9="缺口-待尋找",0,$I9))</f>
        <v>1</v>
      </c>
      <c r="K9" s="24" t="str">
        <f aca="false">IF($J9=0,"🔴 零覆蓋",IF($J9&lt;=0.35,"🟠 高風險",IF($J9&lt;1,"🟡 待補強","🟢 可承諾")))</f>
        <v>🟢 可承諾</v>
      </c>
      <c r="L9" s="24" t="str">
        <f aca="false">IF($J9=0,"P1 最優先",IF($J9&lt;=0.35,"P2","—"))</f>
        <v>—</v>
      </c>
    </row>
    <row r="10" customFormat="false" ht="15" hidden="false" customHeight="false" outlineLevel="0" collapsed="false">
      <c r="A10" s="20" t="s">
        <v>85</v>
      </c>
      <c r="B10" s="21" t="s">
        <v>86</v>
      </c>
      <c r="C10" s="20" t="s">
        <v>31</v>
      </c>
      <c r="D10" s="22" t="s">
        <v>60</v>
      </c>
      <c r="E10" s="20" t="s">
        <v>87</v>
      </c>
      <c r="F10" s="20" t="s">
        <v>88</v>
      </c>
      <c r="G10" s="21" t="s">
        <v>89</v>
      </c>
      <c r="H10" s="20" t="s">
        <v>69</v>
      </c>
      <c r="I10" s="23" t="n">
        <f aca="false">IFERROR(INDEX(_選單_Lists!$B$2:$B$8,MATCH($H10,_選單_Lists!$A$2:$A$8,0)),0)</f>
        <v>0.25</v>
      </c>
      <c r="J10" s="23" t="n">
        <f aca="false">IF($D10="群晶主導",1,IF($D10="缺口-待尋找",0,$I10))</f>
        <v>0.25</v>
      </c>
      <c r="K10" s="24" t="str">
        <f aca="false">IF($J10=0,"🔴 零覆蓋",IF($J10&lt;=0.35,"🟠 高風險",IF($J10&lt;1,"🟡 待補強","🟢 可承諾")))</f>
        <v>🟠 高風險</v>
      </c>
      <c r="L10" s="24" t="str">
        <f aca="false">IF($J10=0,"P1 最優先",IF($J10&lt;=0.35,"P2","—"))</f>
        <v>P2</v>
      </c>
    </row>
    <row r="11" customFormat="false" ht="15" hidden="false" customHeight="false" outlineLevel="0" collapsed="false">
      <c r="A11" s="20" t="s">
        <v>90</v>
      </c>
      <c r="B11" s="21" t="s">
        <v>91</v>
      </c>
      <c r="C11" s="20" t="s">
        <v>32</v>
      </c>
      <c r="D11" s="22" t="s">
        <v>60</v>
      </c>
      <c r="E11" s="20" t="s">
        <v>92</v>
      </c>
      <c r="F11" s="20" t="s">
        <v>93</v>
      </c>
      <c r="G11" s="21" t="s">
        <v>94</v>
      </c>
      <c r="H11" s="20" t="s">
        <v>69</v>
      </c>
      <c r="I11" s="23" t="n">
        <f aca="false">IFERROR(INDEX(_選單_Lists!$B$2:$B$8,MATCH($H11,_選單_Lists!$A$2:$A$8,0)),0)</f>
        <v>0.25</v>
      </c>
      <c r="J11" s="23" t="n">
        <f aca="false">IF($D11="群晶主導",1,IF($D11="缺口-待尋找",0,$I11))</f>
        <v>0.25</v>
      </c>
      <c r="K11" s="24" t="str">
        <f aca="false">IF($J11=0,"🔴 零覆蓋",IF($J11&lt;=0.35,"🟠 高風險",IF($J11&lt;1,"🟡 待補強","🟢 可承諾")))</f>
        <v>🟠 高風險</v>
      </c>
      <c r="L11" s="24" t="str">
        <f aca="false">IF($J11=0,"P1 最優先",IF($J11&lt;=0.35,"P2","—"))</f>
        <v>P2</v>
      </c>
    </row>
    <row r="12" customFormat="false" ht="15" hidden="false" customHeight="false" outlineLevel="0" collapsed="false">
      <c r="A12" s="20" t="s">
        <v>95</v>
      </c>
      <c r="B12" s="21" t="s">
        <v>96</v>
      </c>
      <c r="C12" s="20" t="s">
        <v>32</v>
      </c>
      <c r="D12" s="22" t="s">
        <v>60</v>
      </c>
      <c r="E12" s="20" t="s">
        <v>92</v>
      </c>
      <c r="F12" s="20" t="s">
        <v>88</v>
      </c>
      <c r="G12" s="21" t="s">
        <v>89</v>
      </c>
      <c r="H12" s="20" t="s">
        <v>69</v>
      </c>
      <c r="I12" s="23" t="n">
        <f aca="false">IFERROR(INDEX(_選單_Lists!$B$2:$B$8,MATCH($H12,_選單_Lists!$A$2:$A$8,0)),0)</f>
        <v>0.25</v>
      </c>
      <c r="J12" s="23" t="n">
        <f aca="false">IF($D12="群晶主導",1,IF($D12="缺口-待尋找",0,$I12))</f>
        <v>0.25</v>
      </c>
      <c r="K12" s="24" t="str">
        <f aca="false">IF($J12=0,"🔴 零覆蓋",IF($J12&lt;=0.35,"🟠 高風險",IF($J12&lt;1,"🟡 待補強","🟢 可承諾")))</f>
        <v>🟠 高風險</v>
      </c>
      <c r="L12" s="24" t="str">
        <f aca="false">IF($J12=0,"P1 最優先",IF($J12&lt;=0.35,"P2","—"))</f>
        <v>P2</v>
      </c>
    </row>
    <row r="13" customFormat="false" ht="15" hidden="false" customHeight="false" outlineLevel="0" collapsed="false">
      <c r="A13" s="20" t="s">
        <v>97</v>
      </c>
      <c r="B13" s="21" t="s">
        <v>98</v>
      </c>
      <c r="C13" s="20" t="s">
        <v>32</v>
      </c>
      <c r="D13" s="22" t="s">
        <v>60</v>
      </c>
      <c r="E13" s="20" t="s">
        <v>99</v>
      </c>
      <c r="F13" s="20" t="s">
        <v>93</v>
      </c>
      <c r="G13" s="21" t="s">
        <v>94</v>
      </c>
      <c r="H13" s="20" t="s">
        <v>69</v>
      </c>
      <c r="I13" s="23" t="n">
        <f aca="false">IFERROR(INDEX(_選單_Lists!$B$2:$B$8,MATCH($H13,_選單_Lists!$A$2:$A$8,0)),0)</f>
        <v>0.25</v>
      </c>
      <c r="J13" s="23" t="n">
        <f aca="false">IF($D13="群晶主導",1,IF($D13="缺口-待尋找",0,$I13))</f>
        <v>0.25</v>
      </c>
      <c r="K13" s="24" t="str">
        <f aca="false">IF($J13=0,"🔴 零覆蓋",IF($J13&lt;=0.35,"🟠 高風險",IF($J13&lt;1,"🟡 待補強","🟢 可承諾")))</f>
        <v>🟠 高風險</v>
      </c>
      <c r="L13" s="24" t="str">
        <f aca="false">IF($J13=0,"P1 最優先",IF($J13&lt;=0.35,"P2","—"))</f>
        <v>P2</v>
      </c>
    </row>
    <row r="14" customFormat="false" ht="15" hidden="false" customHeight="false" outlineLevel="0" collapsed="false">
      <c r="A14" s="20" t="s">
        <v>100</v>
      </c>
      <c r="B14" s="21" t="s">
        <v>101</v>
      </c>
      <c r="C14" s="20" t="s">
        <v>32</v>
      </c>
      <c r="D14" s="22" t="s">
        <v>60</v>
      </c>
      <c r="E14" s="20" t="s">
        <v>92</v>
      </c>
      <c r="F14" s="20" t="s">
        <v>102</v>
      </c>
      <c r="G14" s="21" t="s">
        <v>103</v>
      </c>
      <c r="H14" s="20" t="s">
        <v>69</v>
      </c>
      <c r="I14" s="23" t="n">
        <f aca="false">IFERROR(INDEX(_選單_Lists!$B$2:$B$8,MATCH($H14,_選單_Lists!$A$2:$A$8,0)),0)</f>
        <v>0.25</v>
      </c>
      <c r="J14" s="23" t="n">
        <f aca="false">IF($D14="群晶主導",1,IF($D14="缺口-待尋找",0,$I14))</f>
        <v>0.25</v>
      </c>
      <c r="K14" s="24" t="str">
        <f aca="false">IF($J14=0,"🔴 零覆蓋",IF($J14&lt;=0.35,"🟠 高風險",IF($J14&lt;1,"🟡 待補強","🟢 可承諾")))</f>
        <v>🟠 高風險</v>
      </c>
      <c r="L14" s="24" t="str">
        <f aca="false">IF($J14=0,"P1 最優先",IF($J14&lt;=0.35,"P2","—"))</f>
        <v>P2</v>
      </c>
    </row>
    <row r="15" customFormat="false" ht="15" hidden="false" customHeight="false" outlineLevel="0" collapsed="false">
      <c r="A15" s="20" t="s">
        <v>104</v>
      </c>
      <c r="B15" s="21" t="s">
        <v>105</v>
      </c>
      <c r="C15" s="20" t="s">
        <v>32</v>
      </c>
      <c r="D15" s="22" t="s">
        <v>60</v>
      </c>
      <c r="E15" s="20" t="s">
        <v>99</v>
      </c>
      <c r="F15" s="20" t="s">
        <v>88</v>
      </c>
      <c r="G15" s="21" t="s">
        <v>89</v>
      </c>
      <c r="H15" s="20" t="s">
        <v>69</v>
      </c>
      <c r="I15" s="23" t="n">
        <f aca="false">IFERROR(INDEX(_選單_Lists!$B$2:$B$8,MATCH($H15,_選單_Lists!$A$2:$A$8,0)),0)</f>
        <v>0.25</v>
      </c>
      <c r="J15" s="23" t="n">
        <f aca="false">IF($D15="群晶主導",1,IF($D15="缺口-待尋找",0,$I15))</f>
        <v>0.25</v>
      </c>
      <c r="K15" s="24" t="str">
        <f aca="false">IF($J15=0,"🔴 零覆蓋",IF($J15&lt;=0.35,"🟠 高風險",IF($J15&lt;1,"🟡 待補強","🟢 可承諾")))</f>
        <v>🟠 高風險</v>
      </c>
      <c r="L15" s="24" t="str">
        <f aca="false">IF($J15=0,"P1 最優先",IF($J15&lt;=0.35,"P2","—"))</f>
        <v>P2</v>
      </c>
    </row>
    <row r="16" customFormat="false" ht="15" hidden="false" customHeight="false" outlineLevel="0" collapsed="false">
      <c r="A16" s="20" t="s">
        <v>106</v>
      </c>
      <c r="B16" s="21" t="s">
        <v>107</v>
      </c>
      <c r="C16" s="20" t="s">
        <v>32</v>
      </c>
      <c r="D16" s="22" t="s">
        <v>60</v>
      </c>
      <c r="E16" s="20" t="s">
        <v>99</v>
      </c>
      <c r="F16" s="20" t="s">
        <v>93</v>
      </c>
      <c r="G16" s="21" t="s">
        <v>94</v>
      </c>
      <c r="H16" s="20" t="s">
        <v>69</v>
      </c>
      <c r="I16" s="23" t="n">
        <f aca="false">IFERROR(INDEX(_選單_Lists!$B$2:$B$8,MATCH($H16,_選單_Lists!$A$2:$A$8,0)),0)</f>
        <v>0.25</v>
      </c>
      <c r="J16" s="23" t="n">
        <f aca="false">IF($D16="群晶主導",1,IF($D16="缺口-待尋找",0,$I16))</f>
        <v>0.25</v>
      </c>
      <c r="K16" s="24" t="str">
        <f aca="false">IF($J16=0,"🔴 零覆蓋",IF($J16&lt;=0.35,"🟠 高風險",IF($J16&lt;1,"🟡 待補強","🟢 可承諾")))</f>
        <v>🟠 高風險</v>
      </c>
      <c r="L16" s="24" t="str">
        <f aca="false">IF($J16=0,"P1 最優先",IF($J16&lt;=0.35,"P2","—"))</f>
        <v>P2</v>
      </c>
    </row>
    <row r="17" customFormat="false" ht="15" hidden="false" customHeight="false" outlineLevel="0" collapsed="false">
      <c r="A17" s="20" t="s">
        <v>108</v>
      </c>
      <c r="B17" s="21" t="s">
        <v>109</v>
      </c>
      <c r="C17" s="20" t="s">
        <v>33</v>
      </c>
      <c r="D17" s="22" t="s">
        <v>60</v>
      </c>
      <c r="E17" s="20" t="s">
        <v>110</v>
      </c>
      <c r="F17" s="20" t="s">
        <v>111</v>
      </c>
      <c r="G17" s="21" t="s">
        <v>112</v>
      </c>
      <c r="H17" s="20" t="s">
        <v>69</v>
      </c>
      <c r="I17" s="23" t="n">
        <f aca="false">IFERROR(INDEX(_選單_Lists!$B$2:$B$8,MATCH($H17,_選單_Lists!$A$2:$A$8,0)),0)</f>
        <v>0.25</v>
      </c>
      <c r="J17" s="23" t="n">
        <f aca="false">IF($D17="群晶主導",1,IF($D17="缺口-待尋找",0,$I17))</f>
        <v>0.25</v>
      </c>
      <c r="K17" s="24" t="str">
        <f aca="false">IF($J17=0,"🔴 零覆蓋",IF($J17&lt;=0.35,"🟠 高風險",IF($J17&lt;1,"🟡 待補強","🟢 可承諾")))</f>
        <v>🟠 高風險</v>
      </c>
      <c r="L17" s="24" t="str">
        <f aca="false">IF($J17=0,"P1 最優先",IF($J17&lt;=0.35,"P2","—"))</f>
        <v>P2</v>
      </c>
    </row>
    <row r="18" customFormat="false" ht="15" hidden="false" customHeight="false" outlineLevel="0" collapsed="false">
      <c r="A18" s="20" t="s">
        <v>113</v>
      </c>
      <c r="B18" s="21" t="s">
        <v>114</v>
      </c>
      <c r="C18" s="20" t="s">
        <v>33</v>
      </c>
      <c r="D18" s="22" t="s">
        <v>60</v>
      </c>
      <c r="E18" s="20" t="s">
        <v>110</v>
      </c>
      <c r="F18" s="20" t="s">
        <v>115</v>
      </c>
      <c r="G18" s="21" t="s">
        <v>116</v>
      </c>
      <c r="H18" s="20" t="s">
        <v>69</v>
      </c>
      <c r="I18" s="23" t="n">
        <f aca="false">IFERROR(INDEX(_選單_Lists!$B$2:$B$8,MATCH($H18,_選單_Lists!$A$2:$A$8,0)),0)</f>
        <v>0.25</v>
      </c>
      <c r="J18" s="23" t="n">
        <f aca="false">IF($D18="群晶主導",1,IF($D18="缺口-待尋找",0,$I18))</f>
        <v>0.25</v>
      </c>
      <c r="K18" s="24" t="str">
        <f aca="false">IF($J18=0,"🔴 零覆蓋",IF($J18&lt;=0.35,"🟠 高風險",IF($J18&lt;1,"🟡 待補強","🟢 可承諾")))</f>
        <v>🟠 高風險</v>
      </c>
      <c r="L18" s="24" t="str">
        <f aca="false">IF($J18=0,"P1 最優先",IF($J18&lt;=0.35,"P2","—"))</f>
        <v>P2</v>
      </c>
    </row>
    <row r="19" customFormat="false" ht="15" hidden="false" customHeight="false" outlineLevel="0" collapsed="false">
      <c r="A19" s="20" t="s">
        <v>117</v>
      </c>
      <c r="B19" s="21" t="s">
        <v>118</v>
      </c>
      <c r="C19" s="20" t="s">
        <v>33</v>
      </c>
      <c r="D19" s="22" t="s">
        <v>60</v>
      </c>
      <c r="E19" s="20" t="s">
        <v>119</v>
      </c>
      <c r="F19" s="20" t="s">
        <v>115</v>
      </c>
      <c r="G19" s="21" t="s">
        <v>116</v>
      </c>
      <c r="H19" s="20" t="s">
        <v>69</v>
      </c>
      <c r="I19" s="23" t="n">
        <f aca="false">IFERROR(INDEX(_選單_Lists!$B$2:$B$8,MATCH($H19,_選單_Lists!$A$2:$A$8,0)),0)</f>
        <v>0.25</v>
      </c>
      <c r="J19" s="23" t="n">
        <f aca="false">IF($D19="群晶主導",1,IF($D19="缺口-待尋找",0,$I19))</f>
        <v>0.25</v>
      </c>
      <c r="K19" s="24" t="str">
        <f aca="false">IF($J19=0,"🔴 零覆蓋",IF($J19&lt;=0.35,"🟠 高風險",IF($J19&lt;1,"🟡 待補強","🟢 可承諾")))</f>
        <v>🟠 高風險</v>
      </c>
      <c r="L19" s="24" t="str">
        <f aca="false">IF($J19=0,"P1 最優先",IF($J19&lt;=0.35,"P2","—"))</f>
        <v>P2</v>
      </c>
    </row>
    <row r="20" customFormat="false" ht="15" hidden="false" customHeight="false" outlineLevel="0" collapsed="false">
      <c r="A20" s="20" t="s">
        <v>120</v>
      </c>
      <c r="B20" s="21" t="s">
        <v>121</v>
      </c>
      <c r="C20" s="20" t="s">
        <v>33</v>
      </c>
      <c r="D20" s="22" t="s">
        <v>122</v>
      </c>
      <c r="E20" s="20" t="s">
        <v>123</v>
      </c>
      <c r="F20" s="20" t="s">
        <v>124</v>
      </c>
      <c r="G20" s="21" t="s">
        <v>125</v>
      </c>
      <c r="H20" s="20" t="s">
        <v>69</v>
      </c>
      <c r="I20" s="23" t="n">
        <f aca="false">IFERROR(INDEX(_選單_Lists!$B$2:$B$8,MATCH($H20,_選單_Lists!$A$2:$A$8,0)),0)</f>
        <v>0.25</v>
      </c>
      <c r="J20" s="23" t="n">
        <f aca="false">IF($D20="群晶主導",1,IF($D20="缺口-待尋找",0,$I20))</f>
        <v>1</v>
      </c>
      <c r="K20" s="24" t="str">
        <f aca="false">IF($J20=0,"🔴 零覆蓋",IF($J20&lt;=0.35,"🟠 高風險",IF($J20&lt;1,"🟡 待補強","🟢 可承諾")))</f>
        <v>🟢 可承諾</v>
      </c>
      <c r="L20" s="24" t="str">
        <f aca="false">IF($J20=0,"P1 最優先",IF($J20&lt;=0.35,"P2","—"))</f>
        <v>—</v>
      </c>
    </row>
    <row r="21" customFormat="false" ht="15" hidden="false" customHeight="false" outlineLevel="0" collapsed="false">
      <c r="A21" s="20" t="s">
        <v>126</v>
      </c>
      <c r="B21" s="21" t="s">
        <v>127</v>
      </c>
      <c r="C21" s="20" t="s">
        <v>33</v>
      </c>
      <c r="D21" s="22" t="s">
        <v>60</v>
      </c>
      <c r="E21" s="20" t="s">
        <v>123</v>
      </c>
      <c r="F21" s="20" t="s">
        <v>111</v>
      </c>
      <c r="G21" s="21" t="s">
        <v>112</v>
      </c>
      <c r="H21" s="20" t="s">
        <v>69</v>
      </c>
      <c r="I21" s="23" t="n">
        <f aca="false">IFERROR(INDEX(_選單_Lists!$B$2:$B$8,MATCH($H21,_選單_Lists!$A$2:$A$8,0)),0)</f>
        <v>0.25</v>
      </c>
      <c r="J21" s="23" t="n">
        <f aca="false">IF($D21="群晶主導",1,IF($D21="缺口-待尋找",0,$I21))</f>
        <v>0.25</v>
      </c>
      <c r="K21" s="24" t="str">
        <f aca="false">IF($J21=0,"🔴 零覆蓋",IF($J21&lt;=0.35,"🟠 高風險",IF($J21&lt;1,"🟡 待補強","🟢 可承諾")))</f>
        <v>🟠 高風險</v>
      </c>
      <c r="L21" s="24" t="str">
        <f aca="false">IF($J21=0,"P1 最優先",IF($J21&lt;=0.35,"P2","—"))</f>
        <v>P2</v>
      </c>
    </row>
    <row r="22" customFormat="false" ht="15" hidden="false" customHeight="false" outlineLevel="0" collapsed="false">
      <c r="A22" s="20" t="s">
        <v>128</v>
      </c>
      <c r="B22" s="21" t="s">
        <v>129</v>
      </c>
      <c r="C22" s="20" t="s">
        <v>33</v>
      </c>
      <c r="D22" s="22" t="s">
        <v>60</v>
      </c>
      <c r="E22" s="20" t="s">
        <v>130</v>
      </c>
      <c r="F22" s="20" t="s">
        <v>131</v>
      </c>
      <c r="G22" s="21" t="s">
        <v>132</v>
      </c>
      <c r="H22" s="20" t="s">
        <v>69</v>
      </c>
      <c r="I22" s="23" t="n">
        <f aca="false">IFERROR(INDEX(_選單_Lists!$B$2:$B$8,MATCH($H22,_選單_Lists!$A$2:$A$8,0)),0)</f>
        <v>0.25</v>
      </c>
      <c r="J22" s="23" t="n">
        <f aca="false">IF($D22="群晶主導",1,IF($D22="缺口-待尋找",0,$I22))</f>
        <v>0.25</v>
      </c>
      <c r="K22" s="24" t="str">
        <f aca="false">IF($J22=0,"🔴 零覆蓋",IF($J22&lt;=0.35,"🟠 高風險",IF($J22&lt;1,"🟡 待補強","🟢 可承諾")))</f>
        <v>🟠 高風險</v>
      </c>
      <c r="L22" s="24" t="str">
        <f aca="false">IF($J22=0,"P1 最優先",IF($J22&lt;=0.35,"P2","—"))</f>
        <v>P2</v>
      </c>
    </row>
    <row r="23" customFormat="false" ht="15" hidden="false" customHeight="false" outlineLevel="0" collapsed="false">
      <c r="A23" s="20" t="s">
        <v>133</v>
      </c>
      <c r="B23" s="21" t="s">
        <v>134</v>
      </c>
      <c r="C23" s="20" t="s">
        <v>33</v>
      </c>
      <c r="D23" s="22" t="s">
        <v>60</v>
      </c>
      <c r="E23" s="20" t="s">
        <v>135</v>
      </c>
      <c r="F23" s="20" t="s">
        <v>111</v>
      </c>
      <c r="G23" s="21" t="s">
        <v>112</v>
      </c>
      <c r="H23" s="20" t="s">
        <v>69</v>
      </c>
      <c r="I23" s="23" t="n">
        <f aca="false">IFERROR(INDEX(_選單_Lists!$B$2:$B$8,MATCH($H23,_選單_Lists!$A$2:$A$8,0)),0)</f>
        <v>0.25</v>
      </c>
      <c r="J23" s="23" t="n">
        <f aca="false">IF($D23="群晶主導",1,IF($D23="缺口-待尋找",0,$I23))</f>
        <v>0.25</v>
      </c>
      <c r="K23" s="24" t="str">
        <f aca="false">IF($J23=0,"🔴 零覆蓋",IF($J23&lt;=0.35,"🟠 高風險",IF($J23&lt;1,"🟡 待補強","🟢 可承諾")))</f>
        <v>🟠 高風險</v>
      </c>
      <c r="L23" s="24" t="str">
        <f aca="false">IF($J23=0,"P1 最優先",IF($J23&lt;=0.35,"P2","—"))</f>
        <v>P2</v>
      </c>
    </row>
    <row r="24" customFormat="false" ht="15" hidden="false" customHeight="false" outlineLevel="0" collapsed="false">
      <c r="A24" s="20" t="s">
        <v>136</v>
      </c>
      <c r="B24" s="25" t="s">
        <v>137</v>
      </c>
      <c r="C24" s="20" t="s">
        <v>34</v>
      </c>
      <c r="D24" s="22" t="s">
        <v>122</v>
      </c>
      <c r="E24" s="20" t="s">
        <v>138</v>
      </c>
      <c r="F24" s="20" t="s">
        <v>124</v>
      </c>
      <c r="G24" s="21" t="s">
        <v>125</v>
      </c>
      <c r="H24" s="20" t="s">
        <v>69</v>
      </c>
      <c r="I24" s="23" t="n">
        <f aca="false">IFERROR(INDEX(_選單_Lists!$B$2:$B$8,MATCH($H24,_選單_Lists!$A$2:$A$8,0)),0)</f>
        <v>0.25</v>
      </c>
      <c r="J24" s="23" t="n">
        <f aca="false">IF($D24="群晶主導",1,IF($D24="缺口-待尋找",0,$I24))</f>
        <v>1</v>
      </c>
      <c r="K24" s="24" t="str">
        <f aca="false">IF($J24=0,"🔴 零覆蓋",IF($J24&lt;=0.35,"🟠 高風險",IF($J24&lt;1,"🟡 待補強","🟢 可承諾")))</f>
        <v>🟢 可承諾</v>
      </c>
      <c r="L24" s="24" t="str">
        <f aca="false">IF($J24=0,"P1 最優先",IF($J24&lt;=0.35,"P2","—"))</f>
        <v>—</v>
      </c>
    </row>
    <row r="25" customFormat="false" ht="15" hidden="false" customHeight="false" outlineLevel="0" collapsed="false">
      <c r="A25" s="20" t="s">
        <v>139</v>
      </c>
      <c r="B25" s="21" t="s">
        <v>140</v>
      </c>
      <c r="C25" s="20" t="s">
        <v>34</v>
      </c>
      <c r="D25" s="22" t="s">
        <v>122</v>
      </c>
      <c r="E25" s="20" t="s">
        <v>141</v>
      </c>
      <c r="F25" s="20" t="s">
        <v>124</v>
      </c>
      <c r="G25" s="21" t="s">
        <v>125</v>
      </c>
      <c r="H25" s="20" t="s">
        <v>69</v>
      </c>
      <c r="I25" s="23" t="n">
        <f aca="false">IFERROR(INDEX(_選單_Lists!$B$2:$B$8,MATCH($H25,_選單_Lists!$A$2:$A$8,0)),0)</f>
        <v>0.25</v>
      </c>
      <c r="J25" s="23" t="n">
        <f aca="false">IF($D25="群晶主導",1,IF($D25="缺口-待尋找",0,$I25))</f>
        <v>1</v>
      </c>
      <c r="K25" s="24" t="str">
        <f aca="false">IF($J25=0,"🔴 零覆蓋",IF($J25&lt;=0.35,"🟠 高風險",IF($J25&lt;1,"🟡 待補強","🟢 可承諾")))</f>
        <v>🟢 可承諾</v>
      </c>
      <c r="L25" s="24" t="str">
        <f aca="false">IF($J25=0,"P1 最優先",IF($J25&lt;=0.35,"P2","—"))</f>
        <v>—</v>
      </c>
    </row>
    <row r="26" customFormat="false" ht="15" hidden="false" customHeight="false" outlineLevel="0" collapsed="false">
      <c r="A26" s="20" t="s">
        <v>142</v>
      </c>
      <c r="B26" s="21" t="s">
        <v>143</v>
      </c>
      <c r="C26" s="20" t="s">
        <v>34</v>
      </c>
      <c r="D26" s="22" t="s">
        <v>60</v>
      </c>
      <c r="E26" s="20" t="s">
        <v>144</v>
      </c>
      <c r="F26" s="20" t="s">
        <v>145</v>
      </c>
      <c r="G26" s="21" t="s">
        <v>146</v>
      </c>
      <c r="H26" s="20" t="s">
        <v>69</v>
      </c>
      <c r="I26" s="23" t="n">
        <f aca="false">IFERROR(INDEX(_選單_Lists!$B$2:$B$8,MATCH($H26,_選單_Lists!$A$2:$A$8,0)),0)</f>
        <v>0.25</v>
      </c>
      <c r="J26" s="23" t="n">
        <f aca="false">IF($D26="群晶主導",1,IF($D26="缺口-待尋找",0,$I26))</f>
        <v>0.25</v>
      </c>
      <c r="K26" s="24" t="str">
        <f aca="false">IF($J26=0,"🔴 零覆蓋",IF($J26&lt;=0.35,"🟠 高風險",IF($J26&lt;1,"🟡 待補強","🟢 可承諾")))</f>
        <v>🟠 高風險</v>
      </c>
      <c r="L26" s="24" t="str">
        <f aca="false">IF($J26=0,"P1 最優先",IF($J26&lt;=0.35,"P2","—"))</f>
        <v>P2</v>
      </c>
    </row>
    <row r="27" customFormat="false" ht="15" hidden="false" customHeight="false" outlineLevel="0" collapsed="false">
      <c r="A27" s="20" t="s">
        <v>147</v>
      </c>
      <c r="B27" s="25" t="s">
        <v>148</v>
      </c>
      <c r="C27" s="20" t="s">
        <v>34</v>
      </c>
      <c r="D27" s="22" t="s">
        <v>122</v>
      </c>
      <c r="E27" s="20" t="s">
        <v>149</v>
      </c>
      <c r="F27" s="20" t="s">
        <v>124</v>
      </c>
      <c r="G27" s="21" t="s">
        <v>125</v>
      </c>
      <c r="H27" s="20" t="s">
        <v>69</v>
      </c>
      <c r="I27" s="23" t="n">
        <f aca="false">IFERROR(INDEX(_選單_Lists!$B$2:$B$8,MATCH($H27,_選單_Lists!$A$2:$A$8,0)),0)</f>
        <v>0.25</v>
      </c>
      <c r="J27" s="23" t="n">
        <f aca="false">IF($D27="群晶主導",1,IF($D27="缺口-待尋找",0,$I27))</f>
        <v>1</v>
      </c>
      <c r="K27" s="24" t="str">
        <f aca="false">IF($J27=0,"🔴 零覆蓋",IF($J27&lt;=0.35,"🟠 高風險",IF($J27&lt;1,"🟡 待補強","🟢 可承諾")))</f>
        <v>🟢 可承諾</v>
      </c>
      <c r="L27" s="24" t="str">
        <f aca="false">IF($J27=0,"P1 最優先",IF($J27&lt;=0.35,"P2","—"))</f>
        <v>—</v>
      </c>
    </row>
    <row r="28" customFormat="false" ht="15" hidden="false" customHeight="false" outlineLevel="0" collapsed="false">
      <c r="A28" s="20" t="s">
        <v>150</v>
      </c>
      <c r="B28" s="25" t="s">
        <v>151</v>
      </c>
      <c r="C28" s="20" t="s">
        <v>34</v>
      </c>
      <c r="D28" s="22" t="s">
        <v>122</v>
      </c>
      <c r="E28" s="20" t="s">
        <v>149</v>
      </c>
      <c r="F28" s="20" t="s">
        <v>124</v>
      </c>
      <c r="G28" s="21" t="s">
        <v>125</v>
      </c>
      <c r="H28" s="20" t="s">
        <v>69</v>
      </c>
      <c r="I28" s="23" t="n">
        <f aca="false">IFERROR(INDEX(_選單_Lists!$B$2:$B$8,MATCH($H28,_選單_Lists!$A$2:$A$8,0)),0)</f>
        <v>0.25</v>
      </c>
      <c r="J28" s="23" t="n">
        <f aca="false">IF($D28="群晶主導",1,IF($D28="缺口-待尋找",0,$I28))</f>
        <v>1</v>
      </c>
      <c r="K28" s="24" t="str">
        <f aca="false">IF($J28=0,"🔴 零覆蓋",IF($J28&lt;=0.35,"🟠 高風險",IF($J28&lt;1,"🟡 待補強","🟢 可承諾")))</f>
        <v>🟢 可承諾</v>
      </c>
      <c r="L28" s="24" t="str">
        <f aca="false">IF($J28=0,"P1 最優先",IF($J28&lt;=0.35,"P2","—"))</f>
        <v>—</v>
      </c>
    </row>
    <row r="29" customFormat="false" ht="15" hidden="false" customHeight="false" outlineLevel="0" collapsed="false">
      <c r="A29" s="20" t="s">
        <v>152</v>
      </c>
      <c r="B29" s="21" t="s">
        <v>153</v>
      </c>
      <c r="C29" s="20" t="s">
        <v>34</v>
      </c>
      <c r="D29" s="22" t="s">
        <v>122</v>
      </c>
      <c r="E29" s="20" t="s">
        <v>149</v>
      </c>
      <c r="F29" s="20" t="s">
        <v>124</v>
      </c>
      <c r="G29" s="21" t="s">
        <v>125</v>
      </c>
      <c r="H29" s="20" t="s">
        <v>69</v>
      </c>
      <c r="I29" s="23" t="n">
        <f aca="false">IFERROR(INDEX(_選單_Lists!$B$2:$B$8,MATCH($H29,_選單_Lists!$A$2:$A$8,0)),0)</f>
        <v>0.25</v>
      </c>
      <c r="J29" s="23" t="n">
        <f aca="false">IF($D29="群晶主導",1,IF($D29="缺口-待尋找",0,$I29))</f>
        <v>1</v>
      </c>
      <c r="K29" s="24" t="str">
        <f aca="false">IF($J29=0,"🔴 零覆蓋",IF($J29&lt;=0.35,"🟠 高風險",IF($J29&lt;1,"🟡 待補強","🟢 可承諾")))</f>
        <v>🟢 可承諾</v>
      </c>
      <c r="L29" s="24" t="str">
        <f aca="false">IF($J29=0,"P1 最優先",IF($J29&lt;=0.35,"P2","—"))</f>
        <v>—</v>
      </c>
    </row>
    <row r="30" customFormat="false" ht="15" hidden="false" customHeight="false" outlineLevel="0" collapsed="false">
      <c r="A30" s="20" t="s">
        <v>154</v>
      </c>
      <c r="B30" s="21" t="s">
        <v>155</v>
      </c>
      <c r="C30" s="20" t="s">
        <v>34</v>
      </c>
      <c r="D30" s="22" t="s">
        <v>122</v>
      </c>
      <c r="E30" s="20" t="s">
        <v>156</v>
      </c>
      <c r="F30" s="20" t="s">
        <v>124</v>
      </c>
      <c r="G30" s="21" t="s">
        <v>125</v>
      </c>
      <c r="H30" s="20" t="s">
        <v>69</v>
      </c>
      <c r="I30" s="23" t="n">
        <f aca="false">IFERROR(INDEX(_選單_Lists!$B$2:$B$8,MATCH($H30,_選單_Lists!$A$2:$A$8,0)),0)</f>
        <v>0.25</v>
      </c>
      <c r="J30" s="23" t="n">
        <f aca="false">IF($D30="群晶主導",1,IF($D30="缺口-待尋找",0,$I30))</f>
        <v>1</v>
      </c>
      <c r="K30" s="24" t="str">
        <f aca="false">IF($J30=0,"🔴 零覆蓋",IF($J30&lt;=0.35,"🟠 高風險",IF($J30&lt;1,"🟡 待補強","🟢 可承諾")))</f>
        <v>🟢 可承諾</v>
      </c>
      <c r="L30" s="24" t="str">
        <f aca="false">IF($J30=0,"P1 最優先",IF($J30&lt;=0.35,"P2","—"))</f>
        <v>—</v>
      </c>
    </row>
    <row r="31" customFormat="false" ht="15" hidden="false" customHeight="false" outlineLevel="0" collapsed="false">
      <c r="A31" s="20" t="s">
        <v>157</v>
      </c>
      <c r="B31" s="21" t="s">
        <v>158</v>
      </c>
      <c r="C31" s="20" t="s">
        <v>35</v>
      </c>
      <c r="D31" s="22" t="s">
        <v>60</v>
      </c>
      <c r="E31" s="20" t="s">
        <v>159</v>
      </c>
      <c r="F31" s="20" t="s">
        <v>160</v>
      </c>
      <c r="G31" s="21" t="s">
        <v>161</v>
      </c>
      <c r="H31" s="20" t="s">
        <v>69</v>
      </c>
      <c r="I31" s="23" t="n">
        <f aca="false">IFERROR(INDEX(_選單_Lists!$B$2:$B$8,MATCH($H31,_選單_Lists!$A$2:$A$8,0)),0)</f>
        <v>0.25</v>
      </c>
      <c r="J31" s="23" t="n">
        <f aca="false">IF($D31="群晶主導",1,IF($D31="缺口-待尋找",0,$I31))</f>
        <v>0.25</v>
      </c>
      <c r="K31" s="24" t="str">
        <f aca="false">IF($J31=0,"🔴 零覆蓋",IF($J31&lt;=0.35,"🟠 高風險",IF($J31&lt;1,"🟡 待補強","🟢 可承諾")))</f>
        <v>🟠 高風險</v>
      </c>
      <c r="L31" s="24" t="str">
        <f aca="false">IF($J31=0,"P1 最優先",IF($J31&lt;=0.35,"P2","—"))</f>
        <v>P2</v>
      </c>
    </row>
    <row r="32" customFormat="false" ht="15" hidden="false" customHeight="false" outlineLevel="0" collapsed="false">
      <c r="A32" s="20" t="s">
        <v>162</v>
      </c>
      <c r="B32" s="21" t="s">
        <v>163</v>
      </c>
      <c r="C32" s="20" t="s">
        <v>35</v>
      </c>
      <c r="D32" s="22" t="s">
        <v>164</v>
      </c>
      <c r="E32" s="20" t="s">
        <v>165</v>
      </c>
      <c r="F32" s="20" t="s">
        <v>166</v>
      </c>
      <c r="G32" s="21" t="s">
        <v>167</v>
      </c>
      <c r="H32" s="22" t="s">
        <v>164</v>
      </c>
      <c r="I32" s="23" t="n">
        <f aca="false">IFERROR(INDEX(_選單_Lists!$B$2:$B$8,MATCH($H32,_選單_Lists!$A$2:$A$8,0)),0)</f>
        <v>0</v>
      </c>
      <c r="J32" s="23" t="n">
        <f aca="false">IF($D32="群晶主導",1,IF($D32="缺口-待尋找",0,$I32))</f>
        <v>0</v>
      </c>
      <c r="K32" s="24" t="str">
        <f aca="false">IF($J32=0,"🔴 零覆蓋",IF($J32&lt;=0.35,"🟠 高風險",IF($J32&lt;1,"🟡 待補強","🟢 可承諾")))</f>
        <v>🔴 零覆蓋</v>
      </c>
      <c r="L32" s="24" t="str">
        <f aca="false">IF($J32=0,"P1 最優先",IF($J32&lt;=0.35,"P2","—"))</f>
        <v>P1 最優先</v>
      </c>
    </row>
    <row r="33" customFormat="false" ht="15" hidden="false" customHeight="false" outlineLevel="0" collapsed="false">
      <c r="A33" s="20" t="s">
        <v>168</v>
      </c>
      <c r="B33" s="21" t="s">
        <v>169</v>
      </c>
      <c r="C33" s="20" t="s">
        <v>35</v>
      </c>
      <c r="D33" s="22" t="s">
        <v>164</v>
      </c>
      <c r="E33" s="20" t="s">
        <v>170</v>
      </c>
      <c r="F33" s="20" t="s">
        <v>171</v>
      </c>
      <c r="G33" s="21" t="s">
        <v>172</v>
      </c>
      <c r="H33" s="22" t="s">
        <v>164</v>
      </c>
      <c r="I33" s="23" t="n">
        <f aca="false">IFERROR(INDEX(_選單_Lists!$B$2:$B$8,MATCH($H33,_選單_Lists!$A$2:$A$8,0)),0)</f>
        <v>0</v>
      </c>
      <c r="J33" s="23" t="n">
        <f aca="false">IF($D33="群晶主導",1,IF($D33="缺口-待尋找",0,$I33))</f>
        <v>0</v>
      </c>
      <c r="K33" s="24" t="str">
        <f aca="false">IF($J33=0,"🔴 零覆蓋",IF($J33&lt;=0.35,"🟠 高風險",IF($J33&lt;1,"🟡 待補強","🟢 可承諾")))</f>
        <v>🔴 零覆蓋</v>
      </c>
      <c r="L33" s="24" t="str">
        <f aca="false">IF($J33=0,"P1 最優先",IF($J33&lt;=0.35,"P2","—"))</f>
        <v>P1 最優先</v>
      </c>
    </row>
    <row r="34" customFormat="false" ht="15" hidden="false" customHeight="false" outlineLevel="0" collapsed="false">
      <c r="A34" s="20" t="s">
        <v>173</v>
      </c>
      <c r="B34" s="21" t="s">
        <v>174</v>
      </c>
      <c r="C34" s="20" t="s">
        <v>35</v>
      </c>
      <c r="D34" s="22" t="s">
        <v>164</v>
      </c>
      <c r="E34" s="20" t="s">
        <v>175</v>
      </c>
      <c r="F34" s="20" t="s">
        <v>176</v>
      </c>
      <c r="G34" s="21" t="s">
        <v>177</v>
      </c>
      <c r="H34" s="22" t="s">
        <v>164</v>
      </c>
      <c r="I34" s="23" t="n">
        <f aca="false">IFERROR(INDEX(_選單_Lists!$B$2:$B$8,MATCH($H34,_選單_Lists!$A$2:$A$8,0)),0)</f>
        <v>0</v>
      </c>
      <c r="J34" s="23" t="n">
        <f aca="false">IF($D34="群晶主導",1,IF($D34="缺口-待尋找",0,$I34))</f>
        <v>0</v>
      </c>
      <c r="K34" s="24" t="str">
        <f aca="false">IF($J34=0,"🔴 零覆蓋",IF($J34&lt;=0.35,"🟠 高風險",IF($J34&lt;1,"🟡 待補強","🟢 可承諾")))</f>
        <v>🔴 零覆蓋</v>
      </c>
      <c r="L34" s="24" t="str">
        <f aca="false">IF($J34=0,"P1 最優先",IF($J34&lt;=0.35,"P2","—"))</f>
        <v>P1 最優先</v>
      </c>
    </row>
    <row r="35" customFormat="false" ht="15" hidden="false" customHeight="false" outlineLevel="0" collapsed="false">
      <c r="A35" s="20" t="s">
        <v>178</v>
      </c>
      <c r="B35" s="21" t="s">
        <v>179</v>
      </c>
      <c r="C35" s="20" t="s">
        <v>35</v>
      </c>
      <c r="D35" s="22" t="s">
        <v>60</v>
      </c>
      <c r="E35" s="20" t="s">
        <v>175</v>
      </c>
      <c r="F35" s="20" t="s">
        <v>180</v>
      </c>
      <c r="G35" s="21" t="s">
        <v>181</v>
      </c>
      <c r="H35" s="20" t="s">
        <v>69</v>
      </c>
      <c r="I35" s="23" t="n">
        <f aca="false">IFERROR(INDEX(_選單_Lists!$B$2:$B$8,MATCH($H35,_選單_Lists!$A$2:$A$8,0)),0)</f>
        <v>0.25</v>
      </c>
      <c r="J35" s="23" t="n">
        <f aca="false">IF($D35="群晶主導",1,IF($D35="缺口-待尋找",0,$I35))</f>
        <v>0.25</v>
      </c>
      <c r="K35" s="24" t="str">
        <f aca="false">IF($J35=0,"🔴 零覆蓋",IF($J35&lt;=0.35,"🟠 高風險",IF($J35&lt;1,"🟡 待補強","🟢 可承諾")))</f>
        <v>🟠 高風險</v>
      </c>
      <c r="L35" s="24" t="str">
        <f aca="false">IF($J35=0,"P1 最優先",IF($J35&lt;=0.35,"P2","—"))</f>
        <v>P2</v>
      </c>
    </row>
    <row r="36" customFormat="false" ht="15" hidden="false" customHeight="false" outlineLevel="0" collapsed="false">
      <c r="A36" s="20" t="s">
        <v>182</v>
      </c>
      <c r="B36" s="21" t="s">
        <v>183</v>
      </c>
      <c r="C36" s="20" t="s">
        <v>35</v>
      </c>
      <c r="D36" s="22" t="s">
        <v>60</v>
      </c>
      <c r="E36" s="20" t="s">
        <v>175</v>
      </c>
      <c r="F36" s="20" t="s">
        <v>184</v>
      </c>
      <c r="G36" s="21" t="s">
        <v>185</v>
      </c>
      <c r="H36" s="20" t="s">
        <v>69</v>
      </c>
      <c r="I36" s="23" t="n">
        <f aca="false">IFERROR(INDEX(_選單_Lists!$B$2:$B$8,MATCH($H36,_選單_Lists!$A$2:$A$8,0)),0)</f>
        <v>0.25</v>
      </c>
      <c r="J36" s="23" t="n">
        <f aca="false">IF($D36="群晶主導",1,IF($D36="缺口-待尋找",0,$I36))</f>
        <v>0.25</v>
      </c>
      <c r="K36" s="24" t="str">
        <f aca="false">IF($J36=0,"🔴 零覆蓋",IF($J36&lt;=0.35,"🟠 高風險",IF($J36&lt;1,"🟡 待補強","🟢 可承諾")))</f>
        <v>🟠 高風險</v>
      </c>
      <c r="L36" s="24" t="str">
        <f aca="false">IF($J36=0,"P1 最優先",IF($J36&lt;=0.35,"P2","—"))</f>
        <v>P2</v>
      </c>
    </row>
    <row r="37" customFormat="false" ht="15" hidden="false" customHeight="false" outlineLevel="0" collapsed="false">
      <c r="A37" s="20" t="s">
        <v>186</v>
      </c>
      <c r="B37" s="25" t="s">
        <v>187</v>
      </c>
      <c r="C37" s="20" t="s">
        <v>36</v>
      </c>
      <c r="D37" s="22" t="s">
        <v>60</v>
      </c>
      <c r="E37" s="20" t="s">
        <v>188</v>
      </c>
      <c r="F37" s="20" t="s">
        <v>180</v>
      </c>
      <c r="G37" s="21" t="s">
        <v>181</v>
      </c>
      <c r="H37" s="20" t="s">
        <v>69</v>
      </c>
      <c r="I37" s="23" t="n">
        <f aca="false">IFERROR(INDEX(_選單_Lists!$B$2:$B$8,MATCH($H37,_選單_Lists!$A$2:$A$8,0)),0)</f>
        <v>0.25</v>
      </c>
      <c r="J37" s="23" t="n">
        <f aca="false">IF($D37="群晶主導",1,IF($D37="缺口-待尋找",0,$I37))</f>
        <v>0.25</v>
      </c>
      <c r="K37" s="24" t="str">
        <f aca="false">IF($J37=0,"🔴 零覆蓋",IF($J37&lt;=0.35,"🟠 高風險",IF($J37&lt;1,"🟡 待補強","🟢 可承諾")))</f>
        <v>🟠 高風險</v>
      </c>
      <c r="L37" s="24" t="str">
        <f aca="false">IF($J37=0,"P1 最優先",IF($J37&lt;=0.35,"P2","—"))</f>
        <v>P2</v>
      </c>
    </row>
    <row r="38" customFormat="false" ht="15" hidden="false" customHeight="false" outlineLevel="0" collapsed="false">
      <c r="A38" s="20" t="s">
        <v>189</v>
      </c>
      <c r="B38" s="25" t="s">
        <v>190</v>
      </c>
      <c r="C38" s="20" t="s">
        <v>36</v>
      </c>
      <c r="D38" s="22" t="s">
        <v>60</v>
      </c>
      <c r="E38" s="20" t="s">
        <v>191</v>
      </c>
      <c r="F38" s="20" t="s">
        <v>180</v>
      </c>
      <c r="G38" s="21" t="s">
        <v>181</v>
      </c>
      <c r="H38" s="20" t="s">
        <v>69</v>
      </c>
      <c r="I38" s="23" t="n">
        <f aca="false">IFERROR(INDEX(_選單_Lists!$B$2:$B$8,MATCH($H38,_選單_Lists!$A$2:$A$8,0)),0)</f>
        <v>0.25</v>
      </c>
      <c r="J38" s="23" t="n">
        <f aca="false">IF($D38="群晶主導",1,IF($D38="缺口-待尋找",0,$I38))</f>
        <v>0.25</v>
      </c>
      <c r="K38" s="24" t="str">
        <f aca="false">IF($J38=0,"🔴 零覆蓋",IF($J38&lt;=0.35,"🟠 高風險",IF($J38&lt;1,"🟡 待補強","🟢 可承諾")))</f>
        <v>🟠 高風險</v>
      </c>
      <c r="L38" s="24" t="str">
        <f aca="false">IF($J38=0,"P1 最優先",IF($J38&lt;=0.35,"P2","—"))</f>
        <v>P2</v>
      </c>
    </row>
    <row r="39" customFormat="false" ht="15" hidden="false" customHeight="false" outlineLevel="0" collapsed="false">
      <c r="A39" s="20" t="s">
        <v>192</v>
      </c>
      <c r="B39" s="21" t="s">
        <v>193</v>
      </c>
      <c r="C39" s="20" t="s">
        <v>36</v>
      </c>
      <c r="D39" s="22" t="s">
        <v>164</v>
      </c>
      <c r="E39" s="20" t="s">
        <v>194</v>
      </c>
      <c r="F39" s="20" t="s">
        <v>195</v>
      </c>
      <c r="G39" s="21" t="s">
        <v>196</v>
      </c>
      <c r="H39" s="22" t="s">
        <v>164</v>
      </c>
      <c r="I39" s="23" t="n">
        <f aca="false">IFERROR(INDEX(_選單_Lists!$B$2:$B$8,MATCH($H39,_選單_Lists!$A$2:$A$8,0)),0)</f>
        <v>0</v>
      </c>
      <c r="J39" s="23" t="n">
        <f aca="false">IF($D39="群晶主導",1,IF($D39="缺口-待尋找",0,$I39))</f>
        <v>0</v>
      </c>
      <c r="K39" s="24" t="str">
        <f aca="false">IF($J39=0,"🔴 零覆蓋",IF($J39&lt;=0.35,"🟠 高風險",IF($J39&lt;1,"🟡 待補強","🟢 可承諾")))</f>
        <v>🔴 零覆蓋</v>
      </c>
      <c r="L39" s="24" t="str">
        <f aca="false">IF($J39=0,"P1 最優先",IF($J39&lt;=0.35,"P2","—"))</f>
        <v>P1 最優先</v>
      </c>
    </row>
    <row r="40" customFormat="false" ht="15" hidden="false" customHeight="false" outlineLevel="0" collapsed="false">
      <c r="A40" s="20" t="s">
        <v>197</v>
      </c>
      <c r="B40" s="21" t="s">
        <v>198</v>
      </c>
      <c r="C40" s="20" t="s">
        <v>36</v>
      </c>
      <c r="D40" s="22" t="s">
        <v>60</v>
      </c>
      <c r="E40" s="20" t="s">
        <v>199</v>
      </c>
      <c r="F40" s="20" t="s">
        <v>93</v>
      </c>
      <c r="G40" s="21" t="s">
        <v>94</v>
      </c>
      <c r="H40" s="20" t="s">
        <v>69</v>
      </c>
      <c r="I40" s="23" t="n">
        <f aca="false">IFERROR(INDEX(_選單_Lists!$B$2:$B$8,MATCH($H40,_選單_Lists!$A$2:$A$8,0)),0)</f>
        <v>0.25</v>
      </c>
      <c r="J40" s="23" t="n">
        <f aca="false">IF($D40="群晶主導",1,IF($D40="缺口-待尋找",0,$I40))</f>
        <v>0.25</v>
      </c>
      <c r="K40" s="24" t="str">
        <f aca="false">IF($J40=0,"🔴 零覆蓋",IF($J40&lt;=0.35,"🟠 高風險",IF($J40&lt;1,"🟡 待補強","🟢 可承諾")))</f>
        <v>🟠 高風險</v>
      </c>
      <c r="L40" s="24" t="str">
        <f aca="false">IF($J40=0,"P1 最優先",IF($J40&lt;=0.35,"P2","—"))</f>
        <v>P2</v>
      </c>
    </row>
    <row r="41" customFormat="false" ht="15" hidden="false" customHeight="false" outlineLevel="0" collapsed="false">
      <c r="A41" s="20" t="s">
        <v>200</v>
      </c>
      <c r="B41" s="21" t="s">
        <v>201</v>
      </c>
      <c r="C41" s="20" t="s">
        <v>36</v>
      </c>
      <c r="D41" s="22" t="s">
        <v>60</v>
      </c>
      <c r="E41" s="20" t="s">
        <v>202</v>
      </c>
      <c r="F41" s="20" t="s">
        <v>180</v>
      </c>
      <c r="G41" s="21" t="s">
        <v>181</v>
      </c>
      <c r="H41" s="20" t="s">
        <v>69</v>
      </c>
      <c r="I41" s="23" t="n">
        <f aca="false">IFERROR(INDEX(_選單_Lists!$B$2:$B$8,MATCH($H41,_選單_Lists!$A$2:$A$8,0)),0)</f>
        <v>0.25</v>
      </c>
      <c r="J41" s="23" t="n">
        <f aca="false">IF($D41="群晶主導",1,IF($D41="缺口-待尋找",0,$I41))</f>
        <v>0.25</v>
      </c>
      <c r="K41" s="24" t="str">
        <f aca="false">IF($J41=0,"🔴 零覆蓋",IF($J41&lt;=0.35,"🟠 高風險",IF($J41&lt;1,"🟡 待補強","🟢 可承諾")))</f>
        <v>🟠 高風險</v>
      </c>
      <c r="L41" s="24" t="str">
        <f aca="false">IF($J41=0,"P1 最優先",IF($J41&lt;=0.35,"P2","—"))</f>
        <v>P2</v>
      </c>
    </row>
    <row r="42" customFormat="false" ht="15" hidden="false" customHeight="false" outlineLevel="0" collapsed="false">
      <c r="A42" s="20" t="s">
        <v>203</v>
      </c>
      <c r="B42" s="21" t="s">
        <v>204</v>
      </c>
      <c r="C42" s="20" t="s">
        <v>36</v>
      </c>
      <c r="D42" s="22" t="s">
        <v>60</v>
      </c>
      <c r="E42" s="20" t="s">
        <v>205</v>
      </c>
      <c r="F42" s="20" t="s">
        <v>206</v>
      </c>
      <c r="G42" s="21" t="s">
        <v>207</v>
      </c>
      <c r="H42" s="20" t="s">
        <v>208</v>
      </c>
      <c r="I42" s="23" t="n">
        <f aca="false">IFERROR(INDEX(_選單_Lists!$B$2:$B$8,MATCH($H42,_選單_Lists!$A$2:$A$8,0)),0)</f>
        <v>0.7</v>
      </c>
      <c r="J42" s="23" t="n">
        <f aca="false">IF($D42="群晶主導",1,IF($D42="缺口-待尋找",0,$I42))</f>
        <v>0.7</v>
      </c>
      <c r="K42" s="24" t="str">
        <f aca="false">IF($J42=0,"🔴 零覆蓋",IF($J42&lt;=0.35,"🟠 高風險",IF($J42&lt;1,"🟡 待補強","🟢 可承諾")))</f>
        <v>🟡 待補強</v>
      </c>
      <c r="L42" s="24" t="str">
        <f aca="false">IF($J42=0,"P1 最優先",IF($J42&lt;=0.35,"P2","—"))</f>
        <v>—</v>
      </c>
    </row>
    <row r="43" customFormat="false" ht="15" hidden="false" customHeight="false" outlineLevel="0" collapsed="false">
      <c r="A43" s="20" t="s">
        <v>209</v>
      </c>
      <c r="B43" s="21" t="s">
        <v>210</v>
      </c>
      <c r="C43" s="20" t="s">
        <v>36</v>
      </c>
      <c r="D43" s="22" t="s">
        <v>164</v>
      </c>
      <c r="E43" s="20" t="s">
        <v>211</v>
      </c>
      <c r="F43" s="20" t="s">
        <v>212</v>
      </c>
      <c r="G43" s="21" t="s">
        <v>213</v>
      </c>
      <c r="H43" s="22" t="s">
        <v>164</v>
      </c>
      <c r="I43" s="23" t="n">
        <f aca="false">IFERROR(INDEX(_選單_Lists!$B$2:$B$8,MATCH($H43,_選單_Lists!$A$2:$A$8,0)),0)</f>
        <v>0</v>
      </c>
      <c r="J43" s="23" t="n">
        <f aca="false">IF($D43="群晶主導",1,IF($D43="缺口-待尋找",0,$I43))</f>
        <v>0</v>
      </c>
      <c r="K43" s="24" t="str">
        <f aca="false">IF($J43=0,"🔴 零覆蓋",IF($J43&lt;=0.35,"🟠 高風險",IF($J43&lt;1,"🟡 待補強","🟢 可承諾")))</f>
        <v>🔴 零覆蓋</v>
      </c>
      <c r="L43" s="24" t="str">
        <f aca="false">IF($J43=0,"P1 最優先",IF($J43&lt;=0.35,"P2","—"))</f>
        <v>P1 最優先</v>
      </c>
    </row>
    <row r="44" customFormat="false" ht="15" hidden="false" customHeight="false" outlineLevel="0" collapsed="false">
      <c r="A44" s="20" t="s">
        <v>214</v>
      </c>
      <c r="B44" s="21" t="s">
        <v>215</v>
      </c>
      <c r="C44" s="20" t="s">
        <v>37</v>
      </c>
      <c r="D44" s="22" t="s">
        <v>60</v>
      </c>
      <c r="E44" s="20" t="s">
        <v>216</v>
      </c>
      <c r="F44" s="20" t="s">
        <v>102</v>
      </c>
      <c r="G44" s="21" t="s">
        <v>103</v>
      </c>
      <c r="H44" s="20" t="s">
        <v>69</v>
      </c>
      <c r="I44" s="23" t="n">
        <f aca="false">IFERROR(INDEX(_選單_Lists!$B$2:$B$8,MATCH($H44,_選單_Lists!$A$2:$A$8,0)),0)</f>
        <v>0.25</v>
      </c>
      <c r="J44" s="23" t="n">
        <f aca="false">IF($D44="群晶主導",1,IF($D44="缺口-待尋找",0,$I44))</f>
        <v>0.25</v>
      </c>
      <c r="K44" s="24" t="str">
        <f aca="false">IF($J44=0,"🔴 零覆蓋",IF($J44&lt;=0.35,"🟠 高風險",IF($J44&lt;1,"🟡 待補強","🟢 可承諾")))</f>
        <v>🟠 高風險</v>
      </c>
      <c r="L44" s="24" t="str">
        <f aca="false">IF($J44=0,"P1 最優先",IF($J44&lt;=0.35,"P2","—"))</f>
        <v>P2</v>
      </c>
    </row>
    <row r="45" customFormat="false" ht="15" hidden="false" customHeight="false" outlineLevel="0" collapsed="false">
      <c r="A45" s="20" t="s">
        <v>217</v>
      </c>
      <c r="B45" s="21" t="s">
        <v>218</v>
      </c>
      <c r="C45" s="20" t="s">
        <v>37</v>
      </c>
      <c r="D45" s="22" t="s">
        <v>60</v>
      </c>
      <c r="E45" s="20" t="s">
        <v>119</v>
      </c>
      <c r="F45" s="20" t="s">
        <v>88</v>
      </c>
      <c r="G45" s="21" t="s">
        <v>89</v>
      </c>
      <c r="H45" s="20" t="s">
        <v>69</v>
      </c>
      <c r="I45" s="23" t="n">
        <f aca="false">IFERROR(INDEX(_選單_Lists!$B$2:$B$8,MATCH($H45,_選單_Lists!$A$2:$A$8,0)),0)</f>
        <v>0.25</v>
      </c>
      <c r="J45" s="23" t="n">
        <f aca="false">IF($D45="群晶主導",1,IF($D45="缺口-待尋找",0,$I45))</f>
        <v>0.25</v>
      </c>
      <c r="K45" s="24" t="str">
        <f aca="false">IF($J45=0,"🔴 零覆蓋",IF($J45&lt;=0.35,"🟠 高風險",IF($J45&lt;1,"🟡 待補強","🟢 可承諾")))</f>
        <v>🟠 高風險</v>
      </c>
      <c r="L45" s="24" t="str">
        <f aca="false">IF($J45=0,"P1 最優先",IF($J45&lt;=0.35,"P2","—"))</f>
        <v>P2</v>
      </c>
    </row>
    <row r="46" customFormat="false" ht="15" hidden="false" customHeight="false" outlineLevel="0" collapsed="false">
      <c r="A46" s="20" t="s">
        <v>219</v>
      </c>
      <c r="B46" s="21" t="s">
        <v>220</v>
      </c>
      <c r="C46" s="20" t="s">
        <v>37</v>
      </c>
      <c r="D46" s="22" t="s">
        <v>60</v>
      </c>
      <c r="E46" s="20" t="s">
        <v>221</v>
      </c>
      <c r="F46" s="20" t="s">
        <v>88</v>
      </c>
      <c r="G46" s="21" t="s">
        <v>89</v>
      </c>
      <c r="H46" s="20" t="s">
        <v>69</v>
      </c>
      <c r="I46" s="23" t="n">
        <f aca="false">IFERROR(INDEX(_選單_Lists!$B$2:$B$8,MATCH($H46,_選單_Lists!$A$2:$A$8,0)),0)</f>
        <v>0.25</v>
      </c>
      <c r="J46" s="23" t="n">
        <f aca="false">IF($D46="群晶主導",1,IF($D46="缺口-待尋找",0,$I46))</f>
        <v>0.25</v>
      </c>
      <c r="K46" s="24" t="str">
        <f aca="false">IF($J46=0,"🔴 零覆蓋",IF($J46&lt;=0.35,"🟠 高風險",IF($J46&lt;1,"🟡 待補強","🟢 可承諾")))</f>
        <v>🟠 高風險</v>
      </c>
      <c r="L46" s="24" t="str">
        <f aca="false">IF($J46=0,"P1 最優先",IF($J46&lt;=0.35,"P2","—"))</f>
        <v>P2</v>
      </c>
    </row>
    <row r="47" customFormat="false" ht="15" hidden="false" customHeight="false" outlineLevel="0" collapsed="false">
      <c r="A47" s="20" t="s">
        <v>222</v>
      </c>
      <c r="B47" s="21" t="s">
        <v>223</v>
      </c>
      <c r="C47" s="20" t="s">
        <v>37</v>
      </c>
      <c r="D47" s="22" t="s">
        <v>60</v>
      </c>
      <c r="E47" s="20" t="s">
        <v>216</v>
      </c>
      <c r="F47" s="20" t="s">
        <v>88</v>
      </c>
      <c r="G47" s="21" t="s">
        <v>89</v>
      </c>
      <c r="H47" s="20" t="s">
        <v>69</v>
      </c>
      <c r="I47" s="23" t="n">
        <f aca="false">IFERROR(INDEX(_選單_Lists!$B$2:$B$8,MATCH($H47,_選單_Lists!$A$2:$A$8,0)),0)</f>
        <v>0.25</v>
      </c>
      <c r="J47" s="23" t="n">
        <f aca="false">IF($D47="群晶主導",1,IF($D47="缺口-待尋找",0,$I47))</f>
        <v>0.25</v>
      </c>
      <c r="K47" s="24" t="str">
        <f aca="false">IF($J47=0,"🔴 零覆蓋",IF($J47&lt;=0.35,"🟠 高風險",IF($J47&lt;1,"🟡 待補強","🟢 可承諾")))</f>
        <v>🟠 高風險</v>
      </c>
      <c r="L47" s="24" t="str">
        <f aca="false">IF($J47=0,"P1 最優先",IF($J47&lt;=0.35,"P2","—"))</f>
        <v>P2</v>
      </c>
    </row>
    <row r="48" customFormat="false" ht="15" hidden="false" customHeight="false" outlineLevel="0" collapsed="false">
      <c r="A48" s="20" t="s">
        <v>224</v>
      </c>
      <c r="B48" s="21" t="s">
        <v>225</v>
      </c>
      <c r="C48" s="20" t="s">
        <v>37</v>
      </c>
      <c r="D48" s="22" t="s">
        <v>60</v>
      </c>
      <c r="E48" s="20" t="s">
        <v>226</v>
      </c>
      <c r="F48" s="20" t="s">
        <v>227</v>
      </c>
      <c r="G48" s="21" t="s">
        <v>228</v>
      </c>
      <c r="H48" s="20" t="s">
        <v>69</v>
      </c>
      <c r="I48" s="23" t="n">
        <f aca="false">IFERROR(INDEX(_選單_Lists!$B$2:$B$8,MATCH($H48,_選單_Lists!$A$2:$A$8,0)),0)</f>
        <v>0.25</v>
      </c>
      <c r="J48" s="23" t="n">
        <f aca="false">IF($D48="群晶主導",1,IF($D48="缺口-待尋找",0,$I48))</f>
        <v>0.25</v>
      </c>
      <c r="K48" s="24" t="str">
        <f aca="false">IF($J48=0,"🔴 零覆蓋",IF($J48&lt;=0.35,"🟠 高風險",IF($J48&lt;1,"🟡 待補強","🟢 可承諾")))</f>
        <v>🟠 高風險</v>
      </c>
      <c r="L48" s="24" t="str">
        <f aca="false">IF($J48=0,"P1 最優先",IF($J48&lt;=0.35,"P2","—"))</f>
        <v>P2</v>
      </c>
    </row>
    <row r="49" customFormat="false" ht="15" hidden="false" customHeight="false" outlineLevel="0" collapsed="false">
      <c r="A49" s="20" t="s">
        <v>229</v>
      </c>
      <c r="B49" s="21" t="s">
        <v>230</v>
      </c>
      <c r="C49" s="20" t="s">
        <v>38</v>
      </c>
      <c r="D49" s="22" t="s">
        <v>164</v>
      </c>
      <c r="E49" s="20" t="s">
        <v>231</v>
      </c>
      <c r="F49" s="20" t="s">
        <v>232</v>
      </c>
      <c r="G49" s="21" t="s">
        <v>233</v>
      </c>
      <c r="H49" s="22" t="s">
        <v>164</v>
      </c>
      <c r="I49" s="23" t="n">
        <f aca="false">IFERROR(INDEX(_選單_Lists!$B$2:$B$8,MATCH($H49,_選單_Lists!$A$2:$A$8,0)),0)</f>
        <v>0</v>
      </c>
      <c r="J49" s="23" t="n">
        <f aca="false">IF($D49="群晶主導",1,IF($D49="缺口-待尋找",0,$I49))</f>
        <v>0</v>
      </c>
      <c r="K49" s="24" t="str">
        <f aca="false">IF($J49=0,"🔴 零覆蓋",IF($J49&lt;=0.35,"🟠 高風險",IF($J49&lt;1,"🟡 待補強","🟢 可承諾")))</f>
        <v>🔴 零覆蓋</v>
      </c>
      <c r="L49" s="24" t="str">
        <f aca="false">IF($J49=0,"P1 最優先",IF($J49&lt;=0.35,"P2","—"))</f>
        <v>P1 最優先</v>
      </c>
    </row>
    <row r="50" customFormat="false" ht="15" hidden="false" customHeight="false" outlineLevel="0" collapsed="false">
      <c r="A50" s="20" t="s">
        <v>234</v>
      </c>
      <c r="B50" s="21" t="s">
        <v>235</v>
      </c>
      <c r="C50" s="20" t="s">
        <v>38</v>
      </c>
      <c r="D50" s="22" t="s">
        <v>60</v>
      </c>
      <c r="E50" s="20" t="s">
        <v>236</v>
      </c>
      <c r="F50" s="20" t="s">
        <v>93</v>
      </c>
      <c r="G50" s="21" t="s">
        <v>94</v>
      </c>
      <c r="H50" s="20" t="s">
        <v>69</v>
      </c>
      <c r="I50" s="23" t="n">
        <f aca="false">IFERROR(INDEX(_選單_Lists!$B$2:$B$8,MATCH($H50,_選單_Lists!$A$2:$A$8,0)),0)</f>
        <v>0.25</v>
      </c>
      <c r="J50" s="23" t="n">
        <f aca="false">IF($D50="群晶主導",1,IF($D50="缺口-待尋找",0,$I50))</f>
        <v>0.25</v>
      </c>
      <c r="K50" s="24" t="str">
        <f aca="false">IF($J50=0,"🔴 零覆蓋",IF($J50&lt;=0.35,"🟠 高風險",IF($J50&lt;1,"🟡 待補強","🟢 可承諾")))</f>
        <v>🟠 高風險</v>
      </c>
      <c r="L50" s="24" t="str">
        <f aca="false">IF($J50=0,"P1 最優先",IF($J50&lt;=0.35,"P2","—"))</f>
        <v>P2</v>
      </c>
    </row>
    <row r="51" customFormat="false" ht="15" hidden="false" customHeight="false" outlineLevel="0" collapsed="false">
      <c r="A51" s="20" t="s">
        <v>237</v>
      </c>
      <c r="B51" s="21" t="s">
        <v>238</v>
      </c>
      <c r="C51" s="20" t="s">
        <v>38</v>
      </c>
      <c r="D51" s="22" t="s">
        <v>60</v>
      </c>
      <c r="E51" s="20" t="s">
        <v>239</v>
      </c>
      <c r="F51" s="20" t="s">
        <v>93</v>
      </c>
      <c r="G51" s="21" t="s">
        <v>94</v>
      </c>
      <c r="H51" s="20" t="s">
        <v>69</v>
      </c>
      <c r="I51" s="23" t="n">
        <f aca="false">IFERROR(INDEX(_選單_Lists!$B$2:$B$8,MATCH($H51,_選單_Lists!$A$2:$A$8,0)),0)</f>
        <v>0.25</v>
      </c>
      <c r="J51" s="23" t="n">
        <f aca="false">IF($D51="群晶主導",1,IF($D51="缺口-待尋找",0,$I51))</f>
        <v>0.25</v>
      </c>
      <c r="K51" s="24" t="str">
        <f aca="false">IF($J51=0,"🔴 零覆蓋",IF($J51&lt;=0.35,"🟠 高風險",IF($J51&lt;1,"🟡 待補強","🟢 可承諾")))</f>
        <v>🟠 高風險</v>
      </c>
      <c r="L51" s="24" t="str">
        <f aca="false">IF($J51=0,"P1 最優先",IF($J51&lt;=0.35,"P2","—"))</f>
        <v>P2</v>
      </c>
    </row>
    <row r="52" customFormat="false" ht="15" hidden="false" customHeight="false" outlineLevel="0" collapsed="false">
      <c r="A52" s="20" t="s">
        <v>240</v>
      </c>
      <c r="B52" s="21" t="s">
        <v>241</v>
      </c>
      <c r="C52" s="20" t="s">
        <v>38</v>
      </c>
      <c r="D52" s="22" t="s">
        <v>60</v>
      </c>
      <c r="E52" s="20" t="s">
        <v>242</v>
      </c>
      <c r="F52" s="20" t="s">
        <v>93</v>
      </c>
      <c r="G52" s="21" t="s">
        <v>94</v>
      </c>
      <c r="H52" s="20" t="s">
        <v>69</v>
      </c>
      <c r="I52" s="23" t="n">
        <f aca="false">IFERROR(INDEX(_選單_Lists!$B$2:$B$8,MATCH($H52,_選單_Lists!$A$2:$A$8,0)),0)</f>
        <v>0.25</v>
      </c>
      <c r="J52" s="23" t="n">
        <f aca="false">IF($D52="群晶主導",1,IF($D52="缺口-待尋找",0,$I52))</f>
        <v>0.25</v>
      </c>
      <c r="K52" s="24" t="str">
        <f aca="false">IF($J52=0,"🔴 零覆蓋",IF($J52&lt;=0.35,"🟠 高風險",IF($J52&lt;1,"🟡 待補強","🟢 可承諾")))</f>
        <v>🟠 高風險</v>
      </c>
      <c r="L52" s="24" t="str">
        <f aca="false">IF($J52=0,"P1 最優先",IF($J52&lt;=0.35,"P2","—"))</f>
        <v>P2</v>
      </c>
    </row>
    <row r="53" customFormat="false" ht="15" hidden="false" customHeight="false" outlineLevel="0" collapsed="false">
      <c r="A53" s="20" t="s">
        <v>243</v>
      </c>
      <c r="B53" s="21" t="s">
        <v>244</v>
      </c>
      <c r="C53" s="20" t="s">
        <v>38</v>
      </c>
      <c r="D53" s="22" t="s">
        <v>60</v>
      </c>
      <c r="E53" s="20" t="s">
        <v>245</v>
      </c>
      <c r="F53" s="20" t="s">
        <v>82</v>
      </c>
      <c r="G53" s="25" t="s">
        <v>83</v>
      </c>
      <c r="H53" s="20" t="s">
        <v>84</v>
      </c>
      <c r="I53" s="23" t="n">
        <f aca="false">IFERROR(INDEX(_選單_Lists!$B$2:$B$8,MATCH($H53,_選單_Lists!$A$2:$A$8,0)),0)</f>
        <v>1</v>
      </c>
      <c r="J53" s="23" t="n">
        <f aca="false">IF($D53="群晶主導",1,IF($D53="缺口-待尋找",0,$I53))</f>
        <v>1</v>
      </c>
      <c r="K53" s="24" t="str">
        <f aca="false">IF($J53=0,"🔴 零覆蓋",IF($J53&lt;=0.35,"🟠 高風險",IF($J53&lt;1,"🟡 待補強","🟢 可承諾")))</f>
        <v>🟢 可承諾</v>
      </c>
      <c r="L53" s="24" t="str">
        <f aca="false">IF($J53=0,"P1 最優先",IF($J53&lt;=0.35,"P2","—"))</f>
        <v>—</v>
      </c>
    </row>
    <row r="54" customFormat="false" ht="15" hidden="false" customHeight="false" outlineLevel="0" collapsed="false">
      <c r="A54" s="20" t="s">
        <v>246</v>
      </c>
      <c r="B54" s="21" t="s">
        <v>247</v>
      </c>
      <c r="C54" s="20" t="s">
        <v>39</v>
      </c>
      <c r="D54" s="22" t="s">
        <v>60</v>
      </c>
      <c r="E54" s="20" t="s">
        <v>248</v>
      </c>
      <c r="F54" s="20" t="s">
        <v>82</v>
      </c>
      <c r="G54" s="25" t="s">
        <v>83</v>
      </c>
      <c r="H54" s="20" t="s">
        <v>84</v>
      </c>
      <c r="I54" s="23" t="n">
        <f aca="false">IFERROR(INDEX(_選單_Lists!$B$2:$B$8,MATCH($H54,_選單_Lists!$A$2:$A$8,0)),0)</f>
        <v>1</v>
      </c>
      <c r="J54" s="23" t="n">
        <f aca="false">IF($D54="群晶主導",1,IF($D54="缺口-待尋找",0,$I54))</f>
        <v>1</v>
      </c>
      <c r="K54" s="24" t="str">
        <f aca="false">IF($J54=0,"🔴 零覆蓋",IF($J54&lt;=0.35,"🟠 高風險",IF($J54&lt;1,"🟡 待補強","🟢 可承諾")))</f>
        <v>🟢 可承諾</v>
      </c>
      <c r="L54" s="24" t="str">
        <f aca="false">IF($J54=0,"P1 最優先",IF($J54&lt;=0.35,"P2","—"))</f>
        <v>—</v>
      </c>
    </row>
    <row r="55" customFormat="false" ht="15" hidden="false" customHeight="false" outlineLevel="0" collapsed="false">
      <c r="A55" s="20" t="s">
        <v>249</v>
      </c>
      <c r="B55" s="21" t="s">
        <v>250</v>
      </c>
      <c r="C55" s="20" t="s">
        <v>39</v>
      </c>
      <c r="D55" s="22" t="s">
        <v>60</v>
      </c>
      <c r="E55" s="20" t="s">
        <v>251</v>
      </c>
      <c r="F55" s="20" t="s">
        <v>252</v>
      </c>
      <c r="G55" s="21" t="s">
        <v>253</v>
      </c>
      <c r="H55" s="20" t="s">
        <v>69</v>
      </c>
      <c r="I55" s="23" t="n">
        <f aca="false">IFERROR(INDEX(_選單_Lists!$B$2:$B$8,MATCH($H55,_選單_Lists!$A$2:$A$8,0)),0)</f>
        <v>0.25</v>
      </c>
      <c r="J55" s="23" t="n">
        <f aca="false">IF($D55="群晶主導",1,IF($D55="缺口-待尋找",0,$I55))</f>
        <v>0.25</v>
      </c>
      <c r="K55" s="24" t="str">
        <f aca="false">IF($J55=0,"🔴 零覆蓋",IF($J55&lt;=0.35,"🟠 高風險",IF($J55&lt;1,"🟡 待補強","🟢 可承諾")))</f>
        <v>🟠 高風險</v>
      </c>
      <c r="L55" s="24" t="str">
        <f aca="false">IF($J55=0,"P1 最優先",IF($J55&lt;=0.35,"P2","—"))</f>
        <v>P2</v>
      </c>
    </row>
    <row r="56" customFormat="false" ht="15" hidden="false" customHeight="false" outlineLevel="0" collapsed="false">
      <c r="A56" s="20" t="s">
        <v>254</v>
      </c>
      <c r="B56" s="21" t="s">
        <v>255</v>
      </c>
      <c r="C56" s="20" t="s">
        <v>39</v>
      </c>
      <c r="D56" s="22" t="s">
        <v>60</v>
      </c>
      <c r="E56" s="20" t="s">
        <v>251</v>
      </c>
      <c r="F56" s="20" t="s">
        <v>252</v>
      </c>
      <c r="G56" s="21" t="s">
        <v>253</v>
      </c>
      <c r="H56" s="20" t="s">
        <v>69</v>
      </c>
      <c r="I56" s="23" t="n">
        <f aca="false">IFERROR(INDEX(_選單_Lists!$B$2:$B$8,MATCH($H56,_選單_Lists!$A$2:$A$8,0)),0)</f>
        <v>0.25</v>
      </c>
      <c r="J56" s="23" t="n">
        <f aca="false">IF($D56="群晶主導",1,IF($D56="缺口-待尋找",0,$I56))</f>
        <v>0.25</v>
      </c>
      <c r="K56" s="24" t="str">
        <f aca="false">IF($J56=0,"🔴 零覆蓋",IF($J56&lt;=0.35,"🟠 高風險",IF($J56&lt;1,"🟡 待補強","🟢 可承諾")))</f>
        <v>🟠 高風險</v>
      </c>
      <c r="L56" s="24" t="str">
        <f aca="false">IF($J56=0,"P1 最優先",IF($J56&lt;=0.35,"P2","—"))</f>
        <v>P2</v>
      </c>
    </row>
    <row r="57" customFormat="false" ht="15" hidden="false" customHeight="false" outlineLevel="0" collapsed="false">
      <c r="A57" s="20" t="s">
        <v>256</v>
      </c>
      <c r="B57" s="25" t="s">
        <v>257</v>
      </c>
      <c r="C57" s="20" t="s">
        <v>39</v>
      </c>
      <c r="D57" s="22" t="s">
        <v>122</v>
      </c>
      <c r="E57" s="20" t="s">
        <v>258</v>
      </c>
      <c r="F57" s="20" t="s">
        <v>124</v>
      </c>
      <c r="G57" s="21" t="s">
        <v>125</v>
      </c>
      <c r="H57" s="20" t="s">
        <v>69</v>
      </c>
      <c r="I57" s="23" t="n">
        <f aca="false">IFERROR(INDEX(_選單_Lists!$B$2:$B$8,MATCH($H57,_選單_Lists!$A$2:$A$8,0)),0)</f>
        <v>0.25</v>
      </c>
      <c r="J57" s="23" t="n">
        <f aca="false">IF($D57="群晶主導",1,IF($D57="缺口-待尋找",0,$I57))</f>
        <v>1</v>
      </c>
      <c r="K57" s="24" t="str">
        <f aca="false">IF($J57=0,"🔴 零覆蓋",IF($J57&lt;=0.35,"🟠 高風險",IF($J57&lt;1,"🟡 待補強","🟢 可承諾")))</f>
        <v>🟢 可承諾</v>
      </c>
      <c r="L57" s="24" t="str">
        <f aca="false">IF($J57=0,"P1 最優先",IF($J57&lt;=0.35,"P2","—"))</f>
        <v>—</v>
      </c>
    </row>
    <row r="58" customFormat="false" ht="15" hidden="false" customHeight="false" outlineLevel="0" collapsed="false">
      <c r="A58" s="20" t="s">
        <v>259</v>
      </c>
      <c r="B58" s="21" t="s">
        <v>260</v>
      </c>
      <c r="C58" s="20" t="s">
        <v>39</v>
      </c>
      <c r="D58" s="22" t="s">
        <v>60</v>
      </c>
      <c r="E58" s="20" t="s">
        <v>175</v>
      </c>
      <c r="F58" s="20" t="s">
        <v>184</v>
      </c>
      <c r="G58" s="21" t="s">
        <v>185</v>
      </c>
      <c r="H58" s="20" t="s">
        <v>69</v>
      </c>
      <c r="I58" s="23" t="n">
        <f aca="false">IFERROR(INDEX(_選單_Lists!$B$2:$B$8,MATCH($H58,_選單_Lists!$A$2:$A$8,0)),0)</f>
        <v>0.25</v>
      </c>
      <c r="J58" s="23" t="n">
        <f aca="false">IF($D58="群晶主導",1,IF($D58="缺口-待尋找",0,$I58))</f>
        <v>0.25</v>
      </c>
      <c r="K58" s="24" t="str">
        <f aca="false">IF($J58=0,"🔴 零覆蓋",IF($J58&lt;=0.35,"🟠 高風險",IF($J58&lt;1,"🟡 待補強","🟢 可承諾")))</f>
        <v>🟠 高風險</v>
      </c>
      <c r="L58" s="24" t="str">
        <f aca="false">IF($J58=0,"P1 最優先",IF($J58&lt;=0.35,"P2","—"))</f>
        <v>P2</v>
      </c>
    </row>
    <row r="59" customFormat="false" ht="15" hidden="false" customHeight="false" outlineLevel="0" collapsed="false">
      <c r="A59" s="20" t="s">
        <v>261</v>
      </c>
      <c r="B59" s="21" t="s">
        <v>262</v>
      </c>
      <c r="C59" s="20" t="s">
        <v>40</v>
      </c>
      <c r="D59" s="22" t="s">
        <v>60</v>
      </c>
      <c r="E59" s="20" t="s">
        <v>263</v>
      </c>
      <c r="F59" s="20" t="s">
        <v>73</v>
      </c>
      <c r="G59" s="21" t="s">
        <v>74</v>
      </c>
      <c r="H59" s="20" t="s">
        <v>69</v>
      </c>
      <c r="I59" s="23" t="n">
        <f aca="false">IFERROR(INDEX(_選單_Lists!$B$2:$B$8,MATCH($H59,_選單_Lists!$A$2:$A$8,0)),0)</f>
        <v>0.25</v>
      </c>
      <c r="J59" s="23" t="n">
        <f aca="false">IF($D59="群晶主導",1,IF($D59="缺口-待尋找",0,$I59))</f>
        <v>0.25</v>
      </c>
      <c r="K59" s="24" t="str">
        <f aca="false">IF($J59=0,"🔴 零覆蓋",IF($J59&lt;=0.35,"🟠 高風險",IF($J59&lt;1,"🟡 待補強","🟢 可承諾")))</f>
        <v>🟠 高風險</v>
      </c>
      <c r="L59" s="24" t="str">
        <f aca="false">IF($J59=0,"P1 最優先",IF($J59&lt;=0.35,"P2","—"))</f>
        <v>P2</v>
      </c>
    </row>
    <row r="60" customFormat="false" ht="15" hidden="false" customHeight="false" outlineLevel="0" collapsed="false">
      <c r="A60" s="20" t="s">
        <v>264</v>
      </c>
      <c r="B60" s="21" t="s">
        <v>265</v>
      </c>
      <c r="C60" s="20" t="s">
        <v>40</v>
      </c>
      <c r="D60" s="22" t="s">
        <v>164</v>
      </c>
      <c r="E60" s="20" t="s">
        <v>266</v>
      </c>
      <c r="F60" s="20" t="s">
        <v>267</v>
      </c>
      <c r="G60" s="21" t="s">
        <v>268</v>
      </c>
      <c r="H60" s="22" t="s">
        <v>164</v>
      </c>
      <c r="I60" s="23" t="n">
        <f aca="false">IFERROR(INDEX(_選單_Lists!$B$2:$B$8,MATCH($H60,_選單_Lists!$A$2:$A$8,0)),0)</f>
        <v>0</v>
      </c>
      <c r="J60" s="23" t="n">
        <f aca="false">IF($D60="群晶主導",1,IF($D60="缺口-待尋找",0,$I60))</f>
        <v>0</v>
      </c>
      <c r="K60" s="24" t="str">
        <f aca="false">IF($J60=0,"🔴 零覆蓋",IF($J60&lt;=0.35,"🟠 高風險",IF($J60&lt;1,"🟡 待補強","🟢 可承諾")))</f>
        <v>🔴 零覆蓋</v>
      </c>
      <c r="L60" s="24" t="str">
        <f aca="false">IF($J60=0,"P1 最優先",IF($J60&lt;=0.35,"P2","—"))</f>
        <v>P1 最優先</v>
      </c>
    </row>
    <row r="61" customFormat="false" ht="15" hidden="false" customHeight="false" outlineLevel="0" collapsed="false">
      <c r="A61" s="20" t="s">
        <v>269</v>
      </c>
      <c r="B61" s="21" t="s">
        <v>270</v>
      </c>
      <c r="C61" s="20" t="s">
        <v>40</v>
      </c>
      <c r="D61" s="22" t="s">
        <v>164</v>
      </c>
      <c r="E61" s="20" t="s">
        <v>271</v>
      </c>
      <c r="F61" s="20" t="s">
        <v>272</v>
      </c>
      <c r="G61" s="21" t="s">
        <v>273</v>
      </c>
      <c r="H61" s="22" t="s">
        <v>164</v>
      </c>
      <c r="I61" s="23" t="n">
        <f aca="false">IFERROR(INDEX(_選單_Lists!$B$2:$B$8,MATCH($H61,_選單_Lists!$A$2:$A$8,0)),0)</f>
        <v>0</v>
      </c>
      <c r="J61" s="23" t="n">
        <f aca="false">IF($D61="群晶主導",1,IF($D61="缺口-待尋找",0,$I61))</f>
        <v>0</v>
      </c>
      <c r="K61" s="24" t="str">
        <f aca="false">IF($J61=0,"🔴 零覆蓋",IF($J61&lt;=0.35,"🟠 高風險",IF($J61&lt;1,"🟡 待補強","🟢 可承諾")))</f>
        <v>🔴 零覆蓋</v>
      </c>
      <c r="L61" s="24" t="str">
        <f aca="false">IF($J61=0,"P1 最優先",IF($J61&lt;=0.35,"P2","—"))</f>
        <v>P1 最優先</v>
      </c>
    </row>
    <row r="62" customFormat="false" ht="15" hidden="false" customHeight="false" outlineLevel="0" collapsed="false">
      <c r="A62" s="20" t="s">
        <v>274</v>
      </c>
      <c r="B62" s="21" t="s">
        <v>275</v>
      </c>
      <c r="C62" s="20" t="s">
        <v>40</v>
      </c>
      <c r="D62" s="22" t="s">
        <v>164</v>
      </c>
      <c r="E62" s="20" t="s">
        <v>276</v>
      </c>
      <c r="F62" s="20" t="s">
        <v>277</v>
      </c>
      <c r="G62" s="21" t="s">
        <v>278</v>
      </c>
      <c r="H62" s="22" t="s">
        <v>164</v>
      </c>
      <c r="I62" s="23" t="n">
        <f aca="false">IFERROR(INDEX(_選單_Lists!$B$2:$B$8,MATCH($H62,_選單_Lists!$A$2:$A$8,0)),0)</f>
        <v>0</v>
      </c>
      <c r="J62" s="23" t="n">
        <f aca="false">IF($D62="群晶主導",1,IF($D62="缺口-待尋找",0,$I62))</f>
        <v>0</v>
      </c>
      <c r="K62" s="24" t="str">
        <f aca="false">IF($J62=0,"🔴 零覆蓋",IF($J62&lt;=0.35,"🟠 高風險",IF($J62&lt;1,"🟡 待補強","🟢 可承諾")))</f>
        <v>🔴 零覆蓋</v>
      </c>
      <c r="L62" s="24" t="str">
        <f aca="false">IF($J62=0,"P1 最優先",IF($J62&lt;=0.35,"P2","—"))</f>
        <v>P1 最優先</v>
      </c>
    </row>
    <row r="63" customFormat="false" ht="15" hidden="false" customHeight="false" outlineLevel="0" collapsed="false">
      <c r="A63" s="20" t="s">
        <v>279</v>
      </c>
      <c r="B63" s="25" t="s">
        <v>280</v>
      </c>
      <c r="C63" s="20" t="s">
        <v>40</v>
      </c>
      <c r="D63" s="22" t="s">
        <v>60</v>
      </c>
      <c r="E63" s="20" t="s">
        <v>72</v>
      </c>
      <c r="F63" s="20" t="s">
        <v>73</v>
      </c>
      <c r="G63" s="21" t="s">
        <v>74</v>
      </c>
      <c r="H63" s="20" t="s">
        <v>69</v>
      </c>
      <c r="I63" s="23" t="n">
        <f aca="false">IFERROR(INDEX(_選單_Lists!$B$2:$B$8,MATCH($H63,_選單_Lists!$A$2:$A$8,0)),0)</f>
        <v>0.25</v>
      </c>
      <c r="J63" s="23" t="n">
        <f aca="false">IF($D63="群晶主導",1,IF($D63="缺口-待尋找",0,$I63))</f>
        <v>0.25</v>
      </c>
      <c r="K63" s="24" t="str">
        <f aca="false">IF($J63=0,"🔴 零覆蓋",IF($J63&lt;=0.35,"🟠 高風險",IF($J63&lt;1,"🟡 待補強","🟢 可承諾")))</f>
        <v>🟠 高風險</v>
      </c>
      <c r="L63" s="24" t="str">
        <f aca="false">IF($J63=0,"P1 最優先",IF($J63&lt;=0.35,"P2","—"))</f>
        <v>P2</v>
      </c>
    </row>
    <row r="64" customFormat="false" ht="15" hidden="false" customHeight="false" outlineLevel="0" collapsed="false">
      <c r="A64" s="20" t="s">
        <v>281</v>
      </c>
      <c r="B64" s="21" t="s">
        <v>282</v>
      </c>
      <c r="C64" s="20" t="s">
        <v>40</v>
      </c>
      <c r="D64" s="22" t="s">
        <v>60</v>
      </c>
      <c r="E64" s="20" t="s">
        <v>61</v>
      </c>
      <c r="F64" s="20" t="s">
        <v>82</v>
      </c>
      <c r="G64" s="25" t="s">
        <v>83</v>
      </c>
      <c r="H64" s="20" t="s">
        <v>84</v>
      </c>
      <c r="I64" s="23" t="n">
        <f aca="false">IFERROR(INDEX(_選單_Lists!$B$2:$B$8,MATCH($H64,_選單_Lists!$A$2:$A$8,0)),0)</f>
        <v>1</v>
      </c>
      <c r="J64" s="23" t="n">
        <f aca="false">IF($D64="群晶主導",1,IF($D64="缺口-待尋找",0,$I64))</f>
        <v>1</v>
      </c>
      <c r="K64" s="24" t="str">
        <f aca="false">IF($J64=0,"🔴 零覆蓋",IF($J64&lt;=0.35,"🟠 高風險",IF($J64&lt;1,"🟡 待補強","🟢 可承諾")))</f>
        <v>🟢 可承諾</v>
      </c>
      <c r="L64" s="24" t="str">
        <f aca="false">IF($J64=0,"P1 最優先",IF($J64&lt;=0.35,"P2","—"))</f>
        <v>—</v>
      </c>
    </row>
  </sheetData>
  <autoFilter ref="A4:L64"/>
  <dataValidations count="2">
    <dataValidation allowBlank="true" errorStyle="stop" operator="between" showDropDown="false" showErrorMessage="false" showInputMessage="false" sqref="H5:H64" type="list">
      <formula1>_選單_Lists!$A$2:$A$8</formula1>
      <formula2>0</formula2>
    </dataValidation>
    <dataValidation allowBlank="true" errorStyle="stop" operator="between" showDropDown="false" showErrorMessage="false" showInputMessage="false" sqref="D5:D64" type="list">
      <formula1>_選單_Lists!$D$2:$D$4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30"/>
  </cols>
  <sheetData>
    <row r="1" customFormat="false" ht="23.1" hidden="false" customHeight="false" outlineLevel="0" collapsed="false">
      <c r="A1" s="5" t="s">
        <v>283</v>
      </c>
    </row>
    <row r="2" customFormat="false" ht="15" hidden="false" customHeight="false" outlineLevel="0" collapsed="false">
      <c r="A2" s="6" t="s">
        <v>284</v>
      </c>
    </row>
    <row r="4" customFormat="false" ht="30" hidden="false" customHeight="true" outlineLevel="0" collapsed="false">
      <c r="A4" s="19" t="s">
        <v>285</v>
      </c>
      <c r="B4" s="19" t="s">
        <v>286</v>
      </c>
      <c r="C4" s="19" t="s">
        <v>287</v>
      </c>
      <c r="D4" s="19" t="s">
        <v>53</v>
      </c>
      <c r="E4" s="19" t="s">
        <v>288</v>
      </c>
      <c r="F4" s="19" t="s">
        <v>289</v>
      </c>
      <c r="G4" s="19" t="s">
        <v>290</v>
      </c>
    </row>
    <row r="5" customFormat="false" ht="15" hidden="false" customHeight="false" outlineLevel="0" collapsed="false">
      <c r="A5" s="26" t="s">
        <v>124</v>
      </c>
      <c r="B5" s="27" t="s">
        <v>125</v>
      </c>
      <c r="C5" s="26" t="s">
        <v>291</v>
      </c>
      <c r="D5" s="26" t="s">
        <v>69</v>
      </c>
      <c r="E5" s="24" t="n">
        <f aca="false">COUNTIF(01_能力覆蓋表_Coverage!$F$5:$F$64,$A5)</f>
        <v>8</v>
      </c>
      <c r="F5" s="24" t="n">
        <f aca="false">$E5</f>
        <v>8</v>
      </c>
      <c r="G5" s="24" t="str">
        <f aca="false">IF($E5=0,"—",IF(AND($E5&gt;=3,$D5="Target"),"🔴 高依賴且未洽談",IF($E5&gt;=3,"🟠 高依賴",IF($D5="Target","🟡 未洽談","🟢"))))</f>
        <v>🔴 高依賴且未洽談</v>
      </c>
    </row>
    <row r="6" customFormat="false" ht="15" hidden="false" customHeight="false" outlineLevel="0" collapsed="false">
      <c r="A6" s="26" t="s">
        <v>62</v>
      </c>
      <c r="B6" s="27" t="s">
        <v>63</v>
      </c>
      <c r="C6" s="26" t="s">
        <v>292</v>
      </c>
      <c r="D6" s="26" t="s">
        <v>64</v>
      </c>
      <c r="E6" s="24" t="n">
        <f aca="false">COUNTIF(01_能力覆蓋表_Coverage!$F$5:$F$64,$A6)</f>
        <v>1</v>
      </c>
      <c r="F6" s="24" t="n">
        <f aca="false">$E6</f>
        <v>1</v>
      </c>
      <c r="G6" s="24" t="str">
        <f aca="false">IF($E6=0,"—",IF(AND($E6&gt;=3,$D6="Target"),"🔴 高依賴且未洽談",IF($E6&gt;=3,"🟠 高依賴",IF($D6="Target","🟡 未洽談","🟢"))))</f>
        <v>🟢</v>
      </c>
    </row>
    <row r="7" customFormat="false" ht="15" hidden="false" customHeight="false" outlineLevel="0" collapsed="false">
      <c r="A7" s="26" t="s">
        <v>88</v>
      </c>
      <c r="B7" s="27" t="s">
        <v>89</v>
      </c>
      <c r="C7" s="26" t="s">
        <v>292</v>
      </c>
      <c r="D7" s="26" t="s">
        <v>69</v>
      </c>
      <c r="E7" s="24" t="n">
        <f aca="false">COUNTIF(01_能力覆蓋表_Coverage!$F$5:$F$64,$A7)</f>
        <v>6</v>
      </c>
      <c r="F7" s="24" t="n">
        <f aca="false">$E7</f>
        <v>6</v>
      </c>
      <c r="G7" s="24" t="str">
        <f aca="false">IF($E7=0,"—",IF(AND($E7&gt;=3,$D7="Target"),"🔴 高依賴且未洽談",IF($E7&gt;=3,"🟠 高依賴",IF($D7="Target","🟡 未洽談","🟢"))))</f>
        <v>🔴 高依賴且未洽談</v>
      </c>
    </row>
    <row r="8" customFormat="false" ht="15" hidden="false" customHeight="false" outlineLevel="0" collapsed="false">
      <c r="A8" s="26" t="s">
        <v>93</v>
      </c>
      <c r="B8" s="27" t="s">
        <v>94</v>
      </c>
      <c r="C8" s="26" t="s">
        <v>291</v>
      </c>
      <c r="D8" s="26" t="s">
        <v>69</v>
      </c>
      <c r="E8" s="24" t="n">
        <f aca="false">COUNTIF(01_能力覆蓋表_Coverage!$F$5:$F$64,$A8)</f>
        <v>7</v>
      </c>
      <c r="F8" s="24" t="n">
        <f aca="false">$E8</f>
        <v>7</v>
      </c>
      <c r="G8" s="24" t="str">
        <f aca="false">IF($E8=0,"—",IF(AND($E8&gt;=3,$D8="Target"),"🔴 高依賴且未洽談",IF($E8&gt;=3,"🟠 高依賴",IF($D8="Target","🟡 未洽談","🟢"))))</f>
        <v>🔴 高依賴且未洽談</v>
      </c>
    </row>
    <row r="9" customFormat="false" ht="15" hidden="false" customHeight="false" outlineLevel="0" collapsed="false">
      <c r="A9" s="26" t="s">
        <v>115</v>
      </c>
      <c r="B9" s="27" t="s">
        <v>116</v>
      </c>
      <c r="C9" s="26" t="s">
        <v>293</v>
      </c>
      <c r="D9" s="26" t="s">
        <v>69</v>
      </c>
      <c r="E9" s="24" t="n">
        <f aca="false">COUNTIF(01_能力覆蓋表_Coverage!$F$5:$F$64,$A9)</f>
        <v>2</v>
      </c>
      <c r="F9" s="24" t="n">
        <f aca="false">$E9</f>
        <v>2</v>
      </c>
      <c r="G9" s="24" t="str">
        <f aca="false">IF($E9=0,"—",IF(AND($E9&gt;=3,$D9="Target"),"🔴 高依賴且未洽談",IF($E9&gt;=3,"🟠 高依賴",IF($D9="Target","🟡 未洽談","🟢"))))</f>
        <v>🟡 未洽談</v>
      </c>
    </row>
    <row r="10" customFormat="false" ht="15" hidden="false" customHeight="false" outlineLevel="0" collapsed="false">
      <c r="A10" s="26" t="s">
        <v>111</v>
      </c>
      <c r="B10" s="27" t="s">
        <v>112</v>
      </c>
      <c r="C10" s="26" t="s">
        <v>292</v>
      </c>
      <c r="D10" s="26" t="s">
        <v>69</v>
      </c>
      <c r="E10" s="24" t="n">
        <f aca="false">COUNTIF(01_能力覆蓋表_Coverage!$F$5:$F$64,$A10)</f>
        <v>3</v>
      </c>
      <c r="F10" s="24" t="n">
        <f aca="false">$E10</f>
        <v>3</v>
      </c>
      <c r="G10" s="24" t="str">
        <f aca="false">IF($E10=0,"—",IF(AND($E10&gt;=3,$D10="Target"),"🔴 高依賴且未洽談",IF($E10&gt;=3,"🟠 高依賴",IF($D10="Target","🟡 未洽談","🟢"))))</f>
        <v>🔴 高依賴且未洽談</v>
      </c>
    </row>
    <row r="11" customFormat="false" ht="15" hidden="false" customHeight="false" outlineLevel="0" collapsed="false">
      <c r="A11" s="26" t="s">
        <v>180</v>
      </c>
      <c r="B11" s="27" t="s">
        <v>181</v>
      </c>
      <c r="C11" s="26" t="s">
        <v>293</v>
      </c>
      <c r="D11" s="26" t="s">
        <v>69</v>
      </c>
      <c r="E11" s="24" t="n">
        <f aca="false">COUNTIF(01_能力覆蓋表_Coverage!$F$5:$F$64,$A11)</f>
        <v>4</v>
      </c>
      <c r="F11" s="24" t="n">
        <f aca="false">$E11</f>
        <v>4</v>
      </c>
      <c r="G11" s="24" t="str">
        <f aca="false">IF($E11=0,"—",IF(AND($E11&gt;=3,$D11="Target"),"🔴 高依賴且未洽談",IF($E11&gt;=3,"🟠 高依賴",IF($D11="Target","🟡 未洽談","🟢"))))</f>
        <v>🔴 高依賴且未洽談</v>
      </c>
    </row>
    <row r="12" customFormat="false" ht="15" hidden="false" customHeight="false" outlineLevel="0" collapsed="false">
      <c r="A12" s="26" t="s">
        <v>206</v>
      </c>
      <c r="B12" s="27" t="s">
        <v>207</v>
      </c>
      <c r="C12" s="26" t="s">
        <v>294</v>
      </c>
      <c r="D12" s="26" t="s">
        <v>208</v>
      </c>
      <c r="E12" s="24" t="n">
        <f aca="false">COUNTIF(01_能力覆蓋表_Coverage!$F$5:$F$64,$A12)</f>
        <v>1</v>
      </c>
      <c r="F12" s="24" t="n">
        <f aca="false">$E12</f>
        <v>1</v>
      </c>
      <c r="G12" s="24" t="str">
        <f aca="false">IF($E12=0,"—",IF(AND($E12&gt;=3,$D12="Target"),"🔴 高依賴且未洽談",IF($E12&gt;=3,"🟠 高依賴",IF($D12="Target","🟡 未洽談","🟢"))))</f>
        <v>🟢</v>
      </c>
    </row>
    <row r="13" customFormat="false" ht="15" hidden="false" customHeight="false" outlineLevel="0" collapsed="false">
      <c r="A13" s="26" t="s">
        <v>160</v>
      </c>
      <c r="B13" s="27" t="s">
        <v>161</v>
      </c>
      <c r="C13" s="26" t="s">
        <v>293</v>
      </c>
      <c r="D13" s="26" t="s">
        <v>69</v>
      </c>
      <c r="E13" s="24" t="n">
        <f aca="false">COUNTIF(01_能力覆蓋表_Coverage!$F$5:$F$64,$A13)</f>
        <v>1</v>
      </c>
      <c r="F13" s="24" t="n">
        <f aca="false">$E13</f>
        <v>1</v>
      </c>
      <c r="G13" s="24" t="str">
        <f aca="false">IF($E13=0,"—",IF(AND($E13&gt;=3,$D13="Target"),"🔴 高依賴且未洽談",IF($E13&gt;=3,"🟠 高依賴",IF($D13="Target","🟡 未洽談","🟢"))))</f>
        <v>🟡 未洽談</v>
      </c>
    </row>
    <row r="14" customFormat="false" ht="15" hidden="false" customHeight="false" outlineLevel="0" collapsed="false">
      <c r="A14" s="26" t="s">
        <v>145</v>
      </c>
      <c r="B14" s="27" t="s">
        <v>146</v>
      </c>
      <c r="C14" s="26" t="s">
        <v>293</v>
      </c>
      <c r="D14" s="26" t="s">
        <v>69</v>
      </c>
      <c r="E14" s="24" t="n">
        <f aca="false">COUNTIF(01_能力覆蓋表_Coverage!$F$5:$F$64,$A14)</f>
        <v>1</v>
      </c>
      <c r="F14" s="24" t="n">
        <f aca="false">$E14</f>
        <v>1</v>
      </c>
      <c r="G14" s="24" t="str">
        <f aca="false">IF($E14=0,"—",IF(AND($E14&gt;=3,$D14="Target"),"🔴 高依賴且未洽談",IF($E14&gt;=3,"🟠 高依賴",IF($D14="Target","🟡 未洽談","🟢"))))</f>
        <v>🟡 未洽談</v>
      </c>
    </row>
    <row r="15" customFormat="false" ht="15" hidden="false" customHeight="false" outlineLevel="0" collapsed="false">
      <c r="A15" s="26" t="s">
        <v>73</v>
      </c>
      <c r="B15" s="27" t="s">
        <v>74</v>
      </c>
      <c r="C15" s="26" t="s">
        <v>293</v>
      </c>
      <c r="D15" s="26" t="s">
        <v>69</v>
      </c>
      <c r="E15" s="24" t="n">
        <f aca="false">COUNTIF(01_能力覆蓋表_Coverage!$F$5:$F$64,$A15)</f>
        <v>3</v>
      </c>
      <c r="F15" s="24" t="n">
        <f aca="false">$E15</f>
        <v>3</v>
      </c>
      <c r="G15" s="24" t="str">
        <f aca="false">IF($E15=0,"—",IF(AND($E15&gt;=3,$D15="Target"),"🔴 高依賴且未洽談",IF($E15&gt;=3,"🟠 高依賴",IF($D15="Target","🟡 未洽談","🟢"))))</f>
        <v>🔴 高依賴且未洽談</v>
      </c>
    </row>
    <row r="16" customFormat="false" ht="15" hidden="false" customHeight="false" outlineLevel="0" collapsed="false">
      <c r="A16" s="26" t="s">
        <v>78</v>
      </c>
      <c r="B16" s="27" t="s">
        <v>79</v>
      </c>
      <c r="C16" s="26" t="s">
        <v>292</v>
      </c>
      <c r="D16" s="26" t="s">
        <v>69</v>
      </c>
      <c r="E16" s="24" t="n">
        <f aca="false">COUNTIF(01_能力覆蓋表_Coverage!$F$5:$F$64,$A16)</f>
        <v>1</v>
      </c>
      <c r="F16" s="24" t="n">
        <f aca="false">$E16</f>
        <v>1</v>
      </c>
      <c r="G16" s="24" t="str">
        <f aca="false">IF($E16=0,"—",IF(AND($E16&gt;=3,$D16="Target"),"🔴 高依賴且未洽談",IF($E16&gt;=3,"🟠 高依賴",IF($D16="Target","🟡 未洽談","🟢"))))</f>
        <v>🟡 未洽談</v>
      </c>
    </row>
    <row r="17" customFormat="false" ht="15" hidden="false" customHeight="false" outlineLevel="0" collapsed="false">
      <c r="A17" s="26" t="s">
        <v>102</v>
      </c>
      <c r="B17" s="27" t="s">
        <v>103</v>
      </c>
      <c r="C17" s="26" t="s">
        <v>293</v>
      </c>
      <c r="D17" s="26" t="s">
        <v>69</v>
      </c>
      <c r="E17" s="24" t="n">
        <f aca="false">COUNTIF(01_能力覆蓋表_Coverage!$F$5:$F$64,$A17)</f>
        <v>2</v>
      </c>
      <c r="F17" s="24" t="n">
        <f aca="false">$E17</f>
        <v>2</v>
      </c>
      <c r="G17" s="24" t="str">
        <f aca="false">IF($E17=0,"—",IF(AND($E17&gt;=3,$D17="Target"),"🔴 高依賴且未洽談",IF($E17&gt;=3,"🟠 高依賴",IF($D17="Target","🟡 未洽談","🟢"))))</f>
        <v>🟡 未洽談</v>
      </c>
    </row>
    <row r="18" customFormat="false" ht="15" hidden="false" customHeight="false" outlineLevel="0" collapsed="false">
      <c r="A18" s="26" t="s">
        <v>252</v>
      </c>
      <c r="B18" s="27" t="s">
        <v>253</v>
      </c>
      <c r="C18" s="26" t="s">
        <v>292</v>
      </c>
      <c r="D18" s="26" t="s">
        <v>69</v>
      </c>
      <c r="E18" s="24" t="n">
        <f aca="false">COUNTIF(01_能力覆蓋表_Coverage!$F$5:$F$64,$A18)</f>
        <v>2</v>
      </c>
      <c r="F18" s="24" t="n">
        <f aca="false">$E18</f>
        <v>2</v>
      </c>
      <c r="G18" s="24" t="str">
        <f aca="false">IF($E18=0,"—",IF(AND($E18&gt;=3,$D18="Target"),"🔴 高依賴且未洽談",IF($E18&gt;=3,"🟠 高依賴",IF($D18="Target","🟡 未洽談","🟢"))))</f>
        <v>🟡 未洽談</v>
      </c>
    </row>
    <row r="19" customFormat="false" ht="15" hidden="false" customHeight="false" outlineLevel="0" collapsed="false">
      <c r="A19" s="26" t="s">
        <v>227</v>
      </c>
      <c r="B19" s="27" t="s">
        <v>228</v>
      </c>
      <c r="C19" s="26" t="s">
        <v>293</v>
      </c>
      <c r="D19" s="26" t="s">
        <v>69</v>
      </c>
      <c r="E19" s="24" t="n">
        <f aca="false">COUNTIF(01_能力覆蓋表_Coverage!$F$5:$F$64,$A19)</f>
        <v>1</v>
      </c>
      <c r="F19" s="24" t="n">
        <f aca="false">$E19</f>
        <v>1</v>
      </c>
      <c r="G19" s="24" t="str">
        <f aca="false">IF($E19=0,"—",IF(AND($E19&gt;=3,$D19="Target"),"🔴 高依賴且未洽談",IF($E19&gt;=3,"🟠 高依賴",IF($D19="Target","🟡 未洽談","🟢"))))</f>
        <v>🟡 未洽談</v>
      </c>
    </row>
    <row r="20" customFormat="false" ht="15" hidden="false" customHeight="false" outlineLevel="0" collapsed="false">
      <c r="A20" s="26" t="s">
        <v>82</v>
      </c>
      <c r="B20" s="28" t="s">
        <v>83</v>
      </c>
      <c r="C20" s="26" t="s">
        <v>295</v>
      </c>
      <c r="D20" s="26" t="s">
        <v>84</v>
      </c>
      <c r="E20" s="24" t="n">
        <f aca="false">COUNTIF(01_能力覆蓋表_Coverage!$F$5:$F$64,$A20)</f>
        <v>4</v>
      </c>
      <c r="F20" s="24" t="n">
        <f aca="false">$E20</f>
        <v>4</v>
      </c>
      <c r="G20" s="24" t="str">
        <f aca="false">IF($E20=0,"—",IF(AND($E20&gt;=3,$D20="Target"),"🔴 高依賴且未洽談",IF($E20&gt;=3,"🟠 高依賴",IF($D20="Target","🟡 未洽談","🟢"))))</f>
        <v>🟠 高依賴</v>
      </c>
    </row>
    <row r="21" customFormat="false" ht="15" hidden="false" customHeight="false" outlineLevel="0" collapsed="false">
      <c r="A21" s="26" t="s">
        <v>67</v>
      </c>
      <c r="B21" s="27" t="s">
        <v>68</v>
      </c>
      <c r="C21" s="26" t="s">
        <v>292</v>
      </c>
      <c r="D21" s="26" t="s">
        <v>69</v>
      </c>
      <c r="E21" s="24" t="n">
        <f aca="false">COUNTIF(01_能力覆蓋表_Coverage!$F$5:$F$64,$A21)</f>
        <v>1</v>
      </c>
      <c r="F21" s="24" t="n">
        <f aca="false">$E21</f>
        <v>1</v>
      </c>
      <c r="G21" s="24" t="str">
        <f aca="false">IF($E21=0,"—",IF(AND($E21&gt;=3,$D21="Target"),"🔴 高依賴且未洽談",IF($E21&gt;=3,"🟠 高依賴",IF($D21="Target","🟡 未洽談","🟢"))))</f>
        <v>🟡 未洽談</v>
      </c>
    </row>
    <row r="22" customFormat="false" ht="15" hidden="false" customHeight="false" outlineLevel="0" collapsed="false">
      <c r="A22" s="26" t="s">
        <v>131</v>
      </c>
      <c r="B22" s="27" t="s">
        <v>132</v>
      </c>
      <c r="C22" s="26" t="s">
        <v>292</v>
      </c>
      <c r="D22" s="26" t="s">
        <v>69</v>
      </c>
      <c r="E22" s="24" t="n">
        <f aca="false">COUNTIF(01_能力覆蓋表_Coverage!$F$5:$F$64,$A22)</f>
        <v>1</v>
      </c>
      <c r="F22" s="24" t="n">
        <f aca="false">$E22</f>
        <v>1</v>
      </c>
      <c r="G22" s="24" t="str">
        <f aca="false">IF($E22=0,"—",IF(AND($E22&gt;=3,$D22="Target"),"🔴 高依賴且未洽談",IF($E22&gt;=3,"🟠 高依賴",IF($D22="Target","🟡 未洽談","🟢"))))</f>
        <v>🟡 未洽談</v>
      </c>
    </row>
    <row r="23" customFormat="false" ht="15" hidden="false" customHeight="false" outlineLevel="0" collapsed="false">
      <c r="A23" s="26" t="s">
        <v>166</v>
      </c>
      <c r="B23" s="27" t="s">
        <v>167</v>
      </c>
      <c r="C23" s="26" t="s">
        <v>295</v>
      </c>
      <c r="D23" s="24" t="s">
        <v>164</v>
      </c>
      <c r="E23" s="24" t="n">
        <f aca="false">COUNTIF(01_能力覆蓋表_Coverage!$F$5:$F$64,$A23)</f>
        <v>1</v>
      </c>
      <c r="F23" s="24" t="n">
        <f aca="false">$E23</f>
        <v>1</v>
      </c>
      <c r="G23" s="24" t="str">
        <f aca="false">IF($E23=0,"—",IF(AND($E23&gt;=3,$D23="Target"),"🔴 高依賴且未洽談",IF($E23&gt;=3,"🟠 高依賴",IF($D23="Target","🟡 未洽談","🟢"))))</f>
        <v>🟢</v>
      </c>
    </row>
    <row r="24" customFormat="false" ht="15" hidden="false" customHeight="false" outlineLevel="0" collapsed="false">
      <c r="A24" s="26" t="s">
        <v>171</v>
      </c>
      <c r="B24" s="27" t="s">
        <v>172</v>
      </c>
      <c r="C24" s="26" t="s">
        <v>295</v>
      </c>
      <c r="D24" s="24" t="s">
        <v>164</v>
      </c>
      <c r="E24" s="24" t="n">
        <f aca="false">COUNTIF(01_能力覆蓋表_Coverage!$F$5:$F$64,$A24)</f>
        <v>1</v>
      </c>
      <c r="F24" s="24" t="n">
        <f aca="false">$E24</f>
        <v>1</v>
      </c>
      <c r="G24" s="24" t="str">
        <f aca="false">IF($E24=0,"—",IF(AND($E24&gt;=3,$D24="Target"),"🔴 高依賴且未洽談",IF($E24&gt;=3,"🟠 高依賴",IF($D24="Target","🟡 未洽談","🟢"))))</f>
        <v>🟢</v>
      </c>
    </row>
    <row r="25" customFormat="false" ht="15" hidden="false" customHeight="false" outlineLevel="0" collapsed="false">
      <c r="A25" s="26" t="s">
        <v>176</v>
      </c>
      <c r="B25" s="27" t="s">
        <v>177</v>
      </c>
      <c r="C25" s="26" t="s">
        <v>295</v>
      </c>
      <c r="D25" s="24" t="s">
        <v>164</v>
      </c>
      <c r="E25" s="24" t="n">
        <f aca="false">COUNTIF(01_能力覆蓋表_Coverage!$F$5:$F$64,$A25)</f>
        <v>1</v>
      </c>
      <c r="F25" s="24" t="n">
        <f aca="false">$E25</f>
        <v>1</v>
      </c>
      <c r="G25" s="24" t="str">
        <f aca="false">IF($E25=0,"—",IF(AND($E25&gt;=3,$D25="Target"),"🔴 高依賴且未洽談",IF($E25&gt;=3,"🟠 高依賴",IF($D25="Target","🟡 未洽談","🟢"))))</f>
        <v>🟢</v>
      </c>
    </row>
    <row r="26" customFormat="false" ht="15" hidden="false" customHeight="false" outlineLevel="0" collapsed="false">
      <c r="A26" s="26" t="s">
        <v>195</v>
      </c>
      <c r="B26" s="27" t="s">
        <v>196</v>
      </c>
      <c r="C26" s="26" t="s">
        <v>292</v>
      </c>
      <c r="D26" s="24" t="s">
        <v>164</v>
      </c>
      <c r="E26" s="24" t="n">
        <f aca="false">COUNTIF(01_能力覆蓋表_Coverage!$F$5:$F$64,$A26)</f>
        <v>1</v>
      </c>
      <c r="F26" s="24" t="n">
        <f aca="false">$E26</f>
        <v>1</v>
      </c>
      <c r="G26" s="24" t="str">
        <f aca="false">IF($E26=0,"—",IF(AND($E26&gt;=3,$D26="Target"),"🔴 高依賴且未洽談",IF($E26&gt;=3,"🟠 高依賴",IF($D26="Target","🟡 未洽談","🟢"))))</f>
        <v>🟢</v>
      </c>
    </row>
    <row r="27" customFormat="false" ht="15" hidden="false" customHeight="false" outlineLevel="0" collapsed="false">
      <c r="A27" s="26" t="s">
        <v>212</v>
      </c>
      <c r="B27" s="27" t="s">
        <v>213</v>
      </c>
      <c r="C27" s="26" t="s">
        <v>292</v>
      </c>
      <c r="D27" s="24" t="s">
        <v>164</v>
      </c>
      <c r="E27" s="24" t="n">
        <f aca="false">COUNTIF(01_能力覆蓋表_Coverage!$F$5:$F$64,$A27)</f>
        <v>1</v>
      </c>
      <c r="F27" s="24" t="n">
        <f aca="false">$E27</f>
        <v>1</v>
      </c>
      <c r="G27" s="24" t="str">
        <f aca="false">IF($E27=0,"—",IF(AND($E27&gt;=3,$D27="Target"),"🔴 高依賴且未洽談",IF($E27&gt;=3,"🟠 高依賴",IF($D27="Target","🟡 未洽談","🟢"))))</f>
        <v>🟢</v>
      </c>
    </row>
    <row r="28" customFormat="false" ht="15" hidden="false" customHeight="false" outlineLevel="0" collapsed="false">
      <c r="A28" s="26" t="s">
        <v>232</v>
      </c>
      <c r="B28" s="27" t="s">
        <v>233</v>
      </c>
      <c r="C28" s="26" t="s">
        <v>292</v>
      </c>
      <c r="D28" s="24" t="s">
        <v>164</v>
      </c>
      <c r="E28" s="24" t="n">
        <f aca="false">COUNTIF(01_能力覆蓋表_Coverage!$F$5:$F$64,$A28)</f>
        <v>1</v>
      </c>
      <c r="F28" s="24" t="n">
        <f aca="false">$E28</f>
        <v>1</v>
      </c>
      <c r="G28" s="24" t="str">
        <f aca="false">IF($E28=0,"—",IF(AND($E28&gt;=3,$D28="Target"),"🔴 高依賴且未洽談",IF($E28&gt;=3,"🟠 高依賴",IF($D28="Target","🟡 未洽談","🟢"))))</f>
        <v>🟢</v>
      </c>
    </row>
    <row r="29" customFormat="false" ht="15" hidden="false" customHeight="false" outlineLevel="0" collapsed="false">
      <c r="A29" s="26" t="s">
        <v>267</v>
      </c>
      <c r="B29" s="27" t="s">
        <v>268</v>
      </c>
      <c r="C29" s="26" t="s">
        <v>292</v>
      </c>
      <c r="D29" s="24" t="s">
        <v>164</v>
      </c>
      <c r="E29" s="24" t="n">
        <f aca="false">COUNTIF(01_能力覆蓋表_Coverage!$F$5:$F$64,$A29)</f>
        <v>1</v>
      </c>
      <c r="F29" s="24" t="n">
        <f aca="false">$E29</f>
        <v>1</v>
      </c>
      <c r="G29" s="24" t="str">
        <f aca="false">IF($E29=0,"—",IF(AND($E29&gt;=3,$D29="Target"),"🔴 高依賴且未洽談",IF($E29&gt;=3,"🟠 高依賴",IF($D29="Target","🟡 未洽談","🟢"))))</f>
        <v>🟢</v>
      </c>
    </row>
    <row r="30" customFormat="false" ht="15" hidden="false" customHeight="false" outlineLevel="0" collapsed="false">
      <c r="A30" s="26" t="s">
        <v>272</v>
      </c>
      <c r="B30" s="27" t="s">
        <v>273</v>
      </c>
      <c r="C30" s="26" t="s">
        <v>295</v>
      </c>
      <c r="D30" s="24" t="s">
        <v>164</v>
      </c>
      <c r="E30" s="24" t="n">
        <f aca="false">COUNTIF(01_能力覆蓋表_Coverage!$F$5:$F$64,$A30)</f>
        <v>1</v>
      </c>
      <c r="F30" s="24" t="n">
        <f aca="false">$E30</f>
        <v>1</v>
      </c>
      <c r="G30" s="24" t="str">
        <f aca="false">IF($E30=0,"—",IF(AND($E30&gt;=3,$D30="Target"),"🔴 高依賴且未洽談",IF($E30&gt;=3,"🟠 高依賴",IF($D30="Target","🟡 未洽談","🟢"))))</f>
        <v>🟢</v>
      </c>
    </row>
    <row r="31" customFormat="false" ht="15" hidden="false" customHeight="false" outlineLevel="0" collapsed="false">
      <c r="A31" s="26" t="s">
        <v>277</v>
      </c>
      <c r="B31" s="27" t="s">
        <v>278</v>
      </c>
      <c r="C31" s="26" t="s">
        <v>295</v>
      </c>
      <c r="D31" s="24" t="s">
        <v>164</v>
      </c>
      <c r="E31" s="24" t="n">
        <f aca="false">COUNTIF(01_能力覆蓋表_Coverage!$F$5:$F$64,$A31)</f>
        <v>1</v>
      </c>
      <c r="F31" s="24" t="n">
        <f aca="false">$E31</f>
        <v>1</v>
      </c>
      <c r="G31" s="24" t="str">
        <f aca="false">IF($E31=0,"—",IF(AND($E31&gt;=3,$D31="Target"),"🔴 高依賴且未洽談",IF($E31&gt;=3,"🟠 高依賴",IF($D31="Target","🟡 未洽談","🟢"))))</f>
        <v>🟢</v>
      </c>
    </row>
    <row r="32" customFormat="false" ht="15" hidden="false" customHeight="false" outlineLevel="0" collapsed="false">
      <c r="A32" s="26" t="s">
        <v>184</v>
      </c>
      <c r="B32" s="27" t="s">
        <v>185</v>
      </c>
      <c r="C32" s="26" t="s">
        <v>292</v>
      </c>
      <c r="D32" s="26" t="s">
        <v>69</v>
      </c>
      <c r="E32" s="24" t="n">
        <f aca="false">COUNTIF(01_能力覆蓋表_Coverage!$F$5:$F$64,$A32)</f>
        <v>2</v>
      </c>
      <c r="F32" s="24" t="n">
        <f aca="false">$E32</f>
        <v>2</v>
      </c>
      <c r="G32" s="24" t="str">
        <f aca="false">IF($E32=0,"—",IF(AND($E32&gt;=3,$D32="Target"),"🔴 高依賴且未洽談",IF($E32&gt;=3,"🟠 高依賴",IF($D32="Target","🟡 未洽談","🟢"))))</f>
        <v>🟡 未洽談</v>
      </c>
    </row>
    <row r="33" customFormat="false" ht="15" hidden="false" customHeight="false" outlineLevel="0" collapsed="false">
      <c r="A33" s="26" t="s">
        <v>296</v>
      </c>
      <c r="B33" s="27" t="s">
        <v>297</v>
      </c>
      <c r="C33" s="26" t="s">
        <v>295</v>
      </c>
      <c r="D33" s="26" t="s">
        <v>208</v>
      </c>
      <c r="E33" s="24" t="n">
        <f aca="false">COUNTIF(01_能力覆蓋表_Coverage!$F$5:$F$64,$A33)</f>
        <v>0</v>
      </c>
      <c r="F33" s="24" t="n">
        <f aca="false">$E33</f>
        <v>0</v>
      </c>
      <c r="G33" s="24" t="str">
        <f aca="false">IF($E33=0,"—",IF(AND($E33&gt;=3,$D33="Target"),"🔴 高依賴且未洽談",IF($E33&gt;=3,"🟠 高依賴",IF($D33="Target","🟡 未洽談","🟢"))))</f>
        <v>—</v>
      </c>
    </row>
    <row r="34" customFormat="false" ht="15" hidden="false" customHeight="false" outlineLevel="0" collapsed="false">
      <c r="A34" s="26" t="s">
        <v>298</v>
      </c>
      <c r="B34" s="28" t="s">
        <v>299</v>
      </c>
      <c r="C34" s="26" t="s">
        <v>299</v>
      </c>
      <c r="D34" s="24" t="s">
        <v>300</v>
      </c>
      <c r="E34" s="24" t="n">
        <f aca="false">COUNTIF(01_能力覆蓋表_Coverage!$F$5:$F$64,$A34)</f>
        <v>0</v>
      </c>
      <c r="F34" s="24" t="n">
        <f aca="false">$E34</f>
        <v>0</v>
      </c>
      <c r="G34" s="24" t="str">
        <f aca="false">IF($E34=0,"—",IF(AND($E34&gt;=3,$D34="Target"),"🔴 高依賴且未洽談",IF($E34&gt;=3,"🟠 高依賴",IF($D34="Target","🟡 未洽談","🟢"))))</f>
        <v>—</v>
      </c>
    </row>
    <row r="35" customFormat="false" ht="15" hidden="false" customHeight="false" outlineLevel="0" collapsed="false">
      <c r="A35" s="26" t="s">
        <v>301</v>
      </c>
      <c r="B35" s="28" t="s">
        <v>299</v>
      </c>
      <c r="C35" s="24"/>
      <c r="D35" s="24" t="s">
        <v>300</v>
      </c>
      <c r="E35" s="24" t="n">
        <f aca="false">COUNTIF(01_能力覆蓋表_Coverage!$F$5:$F$64,$A35)</f>
        <v>0</v>
      </c>
      <c r="F35" s="24" t="n">
        <f aca="false">$E35</f>
        <v>0</v>
      </c>
      <c r="G35" s="24" t="str">
        <f aca="false">IF($E35=0,"—",IF(AND($E35&gt;=3,$D35="Target"),"🔴 高依賴且未洽談",IF($E35&gt;=3,"🟠 高依賴",IF($D35="Target","🟡 未洽談","🟢"))))</f>
        <v>—</v>
      </c>
    </row>
    <row r="36" customFormat="false" ht="15" hidden="false" customHeight="false" outlineLevel="0" collapsed="false">
      <c r="A36" s="26" t="s">
        <v>302</v>
      </c>
      <c r="B36" s="27"/>
      <c r="C36" s="24"/>
      <c r="D36" s="24" t="s">
        <v>300</v>
      </c>
      <c r="E36" s="24" t="n">
        <f aca="false">COUNTIF(01_能力覆蓋表_Coverage!$F$5:$F$64,$A36)</f>
        <v>0</v>
      </c>
      <c r="F36" s="24" t="n">
        <f aca="false">$E36</f>
        <v>0</v>
      </c>
      <c r="G36" s="24" t="str">
        <f aca="false">IF($E36=0,"—",IF(AND($E36&gt;=3,$D36="Target"),"🔴 高依賴且未洽談",IF($E36&gt;=3,"🟠 高依賴",IF($D36="Target","🟡 未洽談","🟢"))))</f>
        <v>—</v>
      </c>
    </row>
    <row r="37" customFormat="false" ht="15" hidden="false" customHeight="false" outlineLevel="0" collapsed="false">
      <c r="A37" s="26" t="s">
        <v>303</v>
      </c>
      <c r="B37" s="27"/>
      <c r="C37" s="24"/>
      <c r="D37" s="24" t="s">
        <v>300</v>
      </c>
      <c r="E37" s="24" t="n">
        <f aca="false">COUNTIF(01_能力覆蓋表_Coverage!$F$5:$F$64,$A37)</f>
        <v>0</v>
      </c>
      <c r="F37" s="24" t="n">
        <f aca="false">$E37</f>
        <v>0</v>
      </c>
      <c r="G37" s="24" t="str">
        <f aca="false">IF($E37=0,"—",IF(AND($E37&gt;=3,$D37="Target"),"🔴 高依賴且未洽談",IF($E37&gt;=3,"🟠 高依賴",IF($D37="Target","🟡 未洽談","🟢"))))</f>
        <v>—</v>
      </c>
    </row>
    <row r="38" customFormat="false" ht="15" hidden="false" customHeight="false" outlineLevel="0" collapsed="false">
      <c r="A38" s="26" t="s">
        <v>304</v>
      </c>
      <c r="B38" s="27"/>
      <c r="C38" s="24"/>
      <c r="D38" s="24" t="s">
        <v>300</v>
      </c>
      <c r="E38" s="24" t="n">
        <f aca="false">COUNTIF(01_能力覆蓋表_Coverage!$F$5:$F$64,$A38)</f>
        <v>0</v>
      </c>
      <c r="F38" s="24" t="n">
        <f aca="false">$E38</f>
        <v>0</v>
      </c>
      <c r="G38" s="24" t="str">
        <f aca="false">IF($E38=0,"—",IF(AND($E38&gt;=3,$D38="Target"),"🔴 高依賴且未洽談",IF($E38&gt;=3,"🟠 高依賴",IF($D38="Target","🟡 未洽談","🟢"))))</f>
        <v>—</v>
      </c>
    </row>
    <row r="39" customFormat="false" ht="15" hidden="false" customHeight="false" outlineLevel="0" collapsed="false">
      <c r="A39" s="26" t="s">
        <v>305</v>
      </c>
      <c r="B39" s="27"/>
      <c r="C39" s="26" t="s">
        <v>299</v>
      </c>
      <c r="D39" s="24" t="s">
        <v>300</v>
      </c>
      <c r="E39" s="24" t="n">
        <f aca="false">COUNTIF(01_能力覆蓋表_Coverage!$F$5:$F$64,$A39)</f>
        <v>0</v>
      </c>
      <c r="F39" s="24" t="n">
        <f aca="false">$E39</f>
        <v>0</v>
      </c>
      <c r="G39" s="24" t="str">
        <f aca="false">IF($E39=0,"—",IF(AND($E39&gt;=3,$D39="Target"),"🔴 高依賴且未洽談",IF($E39&gt;=3,"🟠 高依賴",IF($D39="Target","🟡 未洽談","🟢"))))</f>
        <v>—</v>
      </c>
    </row>
    <row r="40" customFormat="false" ht="15" hidden="false" customHeight="false" outlineLevel="0" collapsed="false">
      <c r="A40" s="26" t="s">
        <v>306</v>
      </c>
      <c r="B40" s="27"/>
      <c r="C40" s="24"/>
      <c r="D40" s="24" t="s">
        <v>300</v>
      </c>
      <c r="E40" s="24" t="n">
        <f aca="false">COUNTIF(01_能力覆蓋表_Coverage!$F$5:$F$64,$A40)</f>
        <v>0</v>
      </c>
      <c r="F40" s="24" t="n">
        <f aca="false">$E40</f>
        <v>0</v>
      </c>
      <c r="G40" s="24" t="str">
        <f aca="false">IF($E40=0,"—",IF(AND($E40&gt;=3,$D40="Target"),"🔴 高依賴且未洽談",IF($E40&gt;=3,"🟠 高依賴",IF($D40="Target","🟡 未洽談","🟢"))))</f>
        <v>—</v>
      </c>
    </row>
    <row r="41" customFormat="false" ht="15" hidden="false" customHeight="false" outlineLevel="0" collapsed="false">
      <c r="A41" s="26" t="s">
        <v>307</v>
      </c>
      <c r="B41" s="27"/>
      <c r="C41" s="26" t="s">
        <v>299</v>
      </c>
      <c r="D41" s="24" t="s">
        <v>300</v>
      </c>
      <c r="E41" s="24" t="n">
        <f aca="false">COUNTIF(01_能力覆蓋表_Coverage!$F$5:$F$64,$A41)</f>
        <v>0</v>
      </c>
      <c r="F41" s="24" t="n">
        <f aca="false">$E41</f>
        <v>0</v>
      </c>
      <c r="G41" s="24" t="str">
        <f aca="false">IF($E41=0,"—",IF(AND($E41&gt;=3,$D41="Target"),"🔴 高依賴且未洽談",IF($E41&gt;=3,"🟠 高依賴",IF($D41="Target","🟡 未洽談","🟢"))))</f>
        <v>—</v>
      </c>
    </row>
    <row r="42" customFormat="false" ht="15" hidden="false" customHeight="false" outlineLevel="0" collapsed="false">
      <c r="A42" s="26" t="s">
        <v>308</v>
      </c>
      <c r="B42" s="27"/>
      <c r="C42" s="24"/>
      <c r="D42" s="24" t="s">
        <v>300</v>
      </c>
      <c r="E42" s="24" t="n">
        <f aca="false">COUNTIF(01_能力覆蓋表_Coverage!$F$5:$F$64,$A42)</f>
        <v>0</v>
      </c>
      <c r="F42" s="24" t="n">
        <f aca="false">$E42</f>
        <v>0</v>
      </c>
      <c r="G42" s="24" t="str">
        <f aca="false">IF($E42=0,"—",IF(AND($E42&gt;=3,$D42="Target"),"🔴 高依賴且未洽談",IF($E42&gt;=3,"🟠 高依賴",IF($D42="Target","🟡 未洽談","🟢"))))</f>
        <v>—</v>
      </c>
    </row>
    <row r="43" customFormat="false" ht="15" hidden="false" customHeight="false" outlineLevel="0" collapsed="false">
      <c r="A43" s="26" t="s">
        <v>309</v>
      </c>
      <c r="B43" s="28" t="s">
        <v>299</v>
      </c>
      <c r="C43" s="26" t="s">
        <v>299</v>
      </c>
      <c r="D43" s="24" t="s">
        <v>300</v>
      </c>
      <c r="E43" s="24" t="n">
        <f aca="false">COUNTIF(01_能力覆蓋表_Coverage!$F$5:$F$64,$A43)</f>
        <v>0</v>
      </c>
      <c r="F43" s="24" t="n">
        <f aca="false">$E43</f>
        <v>0</v>
      </c>
      <c r="G43" s="24" t="str">
        <f aca="false">IF($E43=0,"—",IF(AND($E43&gt;=3,$D43="Target"),"🔴 高依賴且未洽談",IF($E43&gt;=3,"🟠 高依賴",IF($D43="Target","🟡 未洽談","🟢"))))</f>
        <v>—</v>
      </c>
    </row>
    <row r="44" customFormat="false" ht="15" hidden="false" customHeight="false" outlineLevel="0" collapsed="false">
      <c r="A44" s="26" t="s">
        <v>310</v>
      </c>
      <c r="B44" s="28" t="s">
        <v>299</v>
      </c>
      <c r="C44" s="24"/>
      <c r="D44" s="24" t="s">
        <v>300</v>
      </c>
      <c r="E44" s="24" t="n">
        <f aca="false">COUNTIF(01_能力覆蓋表_Coverage!$F$5:$F$64,$A44)</f>
        <v>0</v>
      </c>
      <c r="F44" s="24" t="n">
        <f aca="false">$E44</f>
        <v>0</v>
      </c>
      <c r="G44" s="24" t="str">
        <f aca="false">IF($E44=0,"—",IF(AND($E44&gt;=3,$D44="Target"),"🔴 高依賴且未洽談",IF($E44&gt;=3,"🟠 高依賴",IF($D44="Target","🟡 未洽談","🟢"))))</f>
        <v>—</v>
      </c>
    </row>
    <row r="45" customFormat="false" ht="15" hidden="false" customHeight="false" outlineLevel="0" collapsed="false">
      <c r="A45" s="26" t="s">
        <v>311</v>
      </c>
      <c r="B45" s="28" t="s">
        <v>299</v>
      </c>
      <c r="C45" s="24"/>
      <c r="D45" s="24" t="s">
        <v>300</v>
      </c>
      <c r="E45" s="24" t="n">
        <f aca="false">COUNTIF(01_能力覆蓋表_Coverage!$F$5:$F$64,$A45)</f>
        <v>0</v>
      </c>
      <c r="F45" s="24" t="n">
        <f aca="false">$E45</f>
        <v>0</v>
      </c>
      <c r="G45" s="24" t="str">
        <f aca="false">IF($E45=0,"—",IF(AND($E45&gt;=3,$D45="Target"),"🔴 高依賴且未洽談",IF($E45&gt;=3,"🟠 高依賴",IF($D45="Target","🟡 未洽談","🟢"))))</f>
        <v>—</v>
      </c>
    </row>
    <row r="46" customFormat="false" ht="15" hidden="false" customHeight="false" outlineLevel="0" collapsed="false">
      <c r="A46" s="26" t="s">
        <v>312</v>
      </c>
      <c r="B46" s="27"/>
      <c r="C46" s="24"/>
      <c r="D46" s="24" t="s">
        <v>300</v>
      </c>
      <c r="E46" s="24" t="n">
        <f aca="false">COUNTIF(01_能力覆蓋表_Coverage!$F$5:$F$64,$A46)</f>
        <v>0</v>
      </c>
      <c r="F46" s="24" t="n">
        <f aca="false">$E46</f>
        <v>0</v>
      </c>
      <c r="G46" s="24" t="str">
        <f aca="false">IF($E46=0,"—",IF(AND($E46&gt;=3,$D46="Target"),"🔴 高依賴且未洽談",IF($E46&gt;=3,"🟠 高依賴",IF($D46="Target","🟡 未洽談","🟢"))))</f>
        <v>—</v>
      </c>
    </row>
    <row r="47" customFormat="false" ht="15" hidden="false" customHeight="false" outlineLevel="0" collapsed="false">
      <c r="A47" s="26" t="s">
        <v>313</v>
      </c>
      <c r="B47" s="27"/>
      <c r="C47" s="24"/>
      <c r="D47" s="24" t="s">
        <v>300</v>
      </c>
      <c r="E47" s="24" t="n">
        <f aca="false">COUNTIF(01_能力覆蓋表_Coverage!$F$5:$F$64,$A47)</f>
        <v>0</v>
      </c>
      <c r="F47" s="24" t="n">
        <f aca="false">$E47</f>
        <v>0</v>
      </c>
      <c r="G47" s="24" t="str">
        <f aca="false">IF($E47=0,"—",IF(AND($E47&gt;=3,$D47="Target"),"🔴 高依賴且未洽談",IF($E47&gt;=3,"🟠 高依賴",IF($D47="Target","🟡 未洽談","🟢"))))</f>
        <v>—</v>
      </c>
    </row>
    <row r="48" customFormat="false" ht="15" hidden="false" customHeight="false" outlineLevel="0" collapsed="false">
      <c r="A48" s="26" t="s">
        <v>314</v>
      </c>
      <c r="B48" s="28" t="s">
        <v>299</v>
      </c>
      <c r="C48" s="24"/>
      <c r="D48" s="24" t="s">
        <v>300</v>
      </c>
      <c r="E48" s="24" t="n">
        <f aca="false">COUNTIF(01_能力覆蓋表_Coverage!$F$5:$F$64,$A48)</f>
        <v>0</v>
      </c>
      <c r="F48" s="24" t="n">
        <f aca="false">$E48</f>
        <v>0</v>
      </c>
      <c r="G48" s="24" t="str">
        <f aca="false">IF($E48=0,"—",IF(AND($E48&gt;=3,$D48="Target"),"🔴 高依賴且未洽談",IF($E48&gt;=3,"🟠 高依賴",IF($D48="Target","🟡 未洽談","🟢"))))</f>
        <v>—</v>
      </c>
    </row>
    <row r="49" customFormat="false" ht="15" hidden="false" customHeight="false" outlineLevel="0" collapsed="false">
      <c r="A49" s="26" t="s">
        <v>315</v>
      </c>
      <c r="B49" s="28" t="s">
        <v>299</v>
      </c>
      <c r="C49" s="24"/>
      <c r="D49" s="24" t="s">
        <v>300</v>
      </c>
      <c r="E49" s="24" t="n">
        <f aca="false">COUNTIF(01_能力覆蓋表_Coverage!$F$5:$F$64,$A49)</f>
        <v>0</v>
      </c>
      <c r="F49" s="24" t="n">
        <f aca="false">$E49</f>
        <v>0</v>
      </c>
      <c r="G49" s="24" t="str">
        <f aca="false">IF($E49=0,"—",IF(AND($E49&gt;=3,$D49="Target"),"🔴 高依賴且未洽談",IF($E49&gt;=3,"🟠 高依賴",IF($D49="Target","🟡 未洽談","🟢"))))</f>
        <v>—</v>
      </c>
    </row>
    <row r="50" customFormat="false" ht="15" hidden="false" customHeight="false" outlineLevel="0" collapsed="false">
      <c r="A50" s="26" t="s">
        <v>316</v>
      </c>
      <c r="B50" s="28" t="s">
        <v>299</v>
      </c>
      <c r="C50" s="24"/>
      <c r="D50" s="24" t="s">
        <v>300</v>
      </c>
      <c r="E50" s="24" t="n">
        <f aca="false">COUNTIF(01_能力覆蓋表_Coverage!$F$5:$F$64,$A50)</f>
        <v>0</v>
      </c>
      <c r="F50" s="24" t="n">
        <f aca="false">$E50</f>
        <v>0</v>
      </c>
      <c r="G50" s="24" t="str">
        <f aca="false">IF($E50=0,"—",IF(AND($E50&gt;=3,$D50="Target"),"🔴 高依賴且未洽談",IF($E50&gt;=3,"🟠 高依賴",IF($D50="Target","🟡 未洽談","🟢"))))</f>
        <v>—</v>
      </c>
    </row>
    <row r="51" customFormat="false" ht="15" hidden="false" customHeight="false" outlineLevel="0" collapsed="false">
      <c r="A51" s="26" t="s">
        <v>317</v>
      </c>
      <c r="B51" s="27"/>
      <c r="C51" s="24"/>
      <c r="D51" s="24" t="s">
        <v>300</v>
      </c>
      <c r="E51" s="24" t="n">
        <f aca="false">COUNTIF(01_能力覆蓋表_Coverage!$F$5:$F$64,$A51)</f>
        <v>0</v>
      </c>
      <c r="F51" s="24" t="n">
        <f aca="false">$E51</f>
        <v>0</v>
      </c>
      <c r="G51" s="24" t="str">
        <f aca="false">IF($E51=0,"—",IF(AND($E51&gt;=3,$D51="Target"),"🔴 高依賴且未洽談",IF($E51&gt;=3,"🟠 高依賴",IF($D51="Target","🟡 未洽談","🟢"))))</f>
        <v>—</v>
      </c>
    </row>
    <row r="52" customFormat="false" ht="15" hidden="false" customHeight="false" outlineLevel="0" collapsed="false">
      <c r="A52" s="26" t="s">
        <v>318</v>
      </c>
      <c r="B52" s="27"/>
      <c r="C52" s="24"/>
      <c r="D52" s="24" t="s">
        <v>300</v>
      </c>
      <c r="E52" s="24" t="n">
        <f aca="false">COUNTIF(01_能力覆蓋表_Coverage!$F$5:$F$64,$A52)</f>
        <v>0</v>
      </c>
      <c r="F52" s="24" t="n">
        <f aca="false">$E52</f>
        <v>0</v>
      </c>
      <c r="G52" s="24" t="str">
        <f aca="false">IF($E52=0,"—",IF(AND($E52&gt;=3,$D52="Target"),"🔴 高依賴且未洽談",IF($E52&gt;=3,"🟠 高依賴",IF($D52="Target","🟡 未洽談","🟢"))))</f>
        <v>—</v>
      </c>
    </row>
    <row r="53" customFormat="false" ht="15" hidden="false" customHeight="false" outlineLevel="0" collapsed="false">
      <c r="A53" s="26" t="s">
        <v>319</v>
      </c>
      <c r="B53" s="27"/>
      <c r="C53" s="24"/>
      <c r="D53" s="24" t="s">
        <v>300</v>
      </c>
      <c r="E53" s="24" t="n">
        <f aca="false">COUNTIF(01_能力覆蓋表_Coverage!$F$5:$F$64,$A53)</f>
        <v>0</v>
      </c>
      <c r="F53" s="24" t="n">
        <f aca="false">$E53</f>
        <v>0</v>
      </c>
      <c r="G53" s="24" t="str">
        <f aca="false">IF($E53=0,"—",IF(AND($E53&gt;=3,$D53="Target"),"🔴 高依賴且未洽談",IF($E53&gt;=3,"🟠 高依賴",IF($D53="Target","🟡 未洽談","🟢"))))</f>
        <v>—</v>
      </c>
    </row>
    <row r="54" customFormat="false" ht="15" hidden="false" customHeight="false" outlineLevel="0" collapsed="false">
      <c r="A54" s="26" t="s">
        <v>320</v>
      </c>
      <c r="B54" s="27"/>
      <c r="C54" s="24"/>
      <c r="D54" s="24" t="s">
        <v>300</v>
      </c>
      <c r="E54" s="24" t="n">
        <f aca="false">COUNTIF(01_能力覆蓋表_Coverage!$F$5:$F$64,$A54)</f>
        <v>0</v>
      </c>
      <c r="F54" s="24" t="n">
        <f aca="false">$E54</f>
        <v>0</v>
      </c>
      <c r="G54" s="24" t="str">
        <f aca="false">IF($E54=0,"—",IF(AND($E54&gt;=3,$D54="Target"),"🔴 高依賴且未洽談",IF($E54&gt;=3,"🟠 高依賴",IF($D54="Target","🟡 未洽談","🟢"))))</f>
        <v>—</v>
      </c>
    </row>
    <row r="55" customFormat="false" ht="15" hidden="false" customHeight="false" outlineLevel="0" collapsed="false">
      <c r="A55" s="26" t="s">
        <v>321</v>
      </c>
      <c r="B55" s="27"/>
      <c r="C55" s="24"/>
      <c r="D55" s="24" t="s">
        <v>300</v>
      </c>
      <c r="E55" s="24" t="n">
        <f aca="false">COUNTIF(01_能力覆蓋表_Coverage!$F$5:$F$64,$A55)</f>
        <v>0</v>
      </c>
      <c r="F55" s="24" t="n">
        <f aca="false">$E55</f>
        <v>0</v>
      </c>
      <c r="G55" s="24" t="str">
        <f aca="false">IF($E55=0,"—",IF(AND($E55&gt;=3,$D55="Target"),"🔴 高依賴且未洽談",IF($E55&gt;=3,"🟠 高依賴",IF($D55="Target","🟡 未洽談","🟢"))))</f>
        <v>—</v>
      </c>
    </row>
    <row r="56" customFormat="false" ht="15" hidden="false" customHeight="false" outlineLevel="0" collapsed="false">
      <c r="A56" s="26" t="s">
        <v>322</v>
      </c>
      <c r="B56" s="27"/>
      <c r="C56" s="24"/>
      <c r="D56" s="24" t="s">
        <v>300</v>
      </c>
      <c r="E56" s="24" t="n">
        <f aca="false">COUNTIF(01_能力覆蓋表_Coverage!$F$5:$F$64,$A56)</f>
        <v>0</v>
      </c>
      <c r="F56" s="24" t="n">
        <f aca="false">$E56</f>
        <v>0</v>
      </c>
      <c r="G56" s="24" t="str">
        <f aca="false">IF($E56=0,"—",IF(AND($E56&gt;=3,$D56="Target"),"🔴 高依賴且未洽談",IF($E56&gt;=3,"🟠 高依賴",IF($D56="Target","🟡 未洽談","🟢"))))</f>
        <v>—</v>
      </c>
    </row>
    <row r="57" customFormat="false" ht="15" hidden="false" customHeight="false" outlineLevel="0" collapsed="false">
      <c r="A57" s="26" t="s">
        <v>323</v>
      </c>
      <c r="B57" s="27"/>
      <c r="C57" s="24"/>
      <c r="D57" s="24" t="s">
        <v>300</v>
      </c>
      <c r="E57" s="24" t="n">
        <f aca="false">COUNTIF(01_能力覆蓋表_Coverage!$F$5:$F$64,$A57)</f>
        <v>0</v>
      </c>
      <c r="F57" s="24" t="n">
        <f aca="false">$E57</f>
        <v>0</v>
      </c>
      <c r="G57" s="24" t="str">
        <f aca="false">IF($E57=0,"—",IF(AND($E57&gt;=3,$D57="Target"),"🔴 高依賴且未洽談",IF($E57&gt;=3,"🟠 高依賴",IF($D57="Target","🟡 未洽談","🟢"))))</f>
        <v>—</v>
      </c>
    </row>
    <row r="58" customFormat="false" ht="15" hidden="false" customHeight="false" outlineLevel="0" collapsed="false">
      <c r="A58" s="26" t="s">
        <v>324</v>
      </c>
      <c r="B58" s="27"/>
      <c r="C58" s="24"/>
      <c r="D58" s="24" t="s">
        <v>300</v>
      </c>
      <c r="E58" s="24" t="n">
        <f aca="false">COUNTIF(01_能力覆蓋表_Coverage!$F$5:$F$64,$A58)</f>
        <v>0</v>
      </c>
      <c r="F58" s="24" t="n">
        <f aca="false">$E58</f>
        <v>0</v>
      </c>
      <c r="G58" s="24" t="str">
        <f aca="false">IF($E58=0,"—",IF(AND($E58&gt;=3,$D58="Target"),"🔴 高依賴且未洽談",IF($E58&gt;=3,"🟠 高依賴",IF($D58="Target","🟡 未洽談","🟢"))))</f>
        <v>—</v>
      </c>
    </row>
    <row r="59" customFormat="false" ht="15" hidden="false" customHeight="false" outlineLevel="0" collapsed="false">
      <c r="A59" s="26" t="s">
        <v>325</v>
      </c>
      <c r="B59" s="27"/>
      <c r="C59" s="24"/>
      <c r="D59" s="24" t="s">
        <v>300</v>
      </c>
      <c r="E59" s="24" t="n">
        <f aca="false">COUNTIF(01_能力覆蓋表_Coverage!$F$5:$F$64,$A59)</f>
        <v>0</v>
      </c>
      <c r="F59" s="24" t="n">
        <f aca="false">$E59</f>
        <v>0</v>
      </c>
      <c r="G59" s="24" t="str">
        <f aca="false">IF($E59=0,"—",IF(AND($E59&gt;=3,$D59="Target"),"🔴 高依賴且未洽談",IF($E59&gt;=3,"🟠 高依賴",IF($D59="Target","🟡 未洽談","🟢"))))</f>
        <v>—</v>
      </c>
    </row>
    <row r="60" customFormat="false" ht="15" hidden="false" customHeight="false" outlineLevel="0" collapsed="false">
      <c r="A60" s="26" t="s">
        <v>326</v>
      </c>
      <c r="B60" s="27"/>
      <c r="C60" s="24"/>
      <c r="D60" s="24" t="s">
        <v>300</v>
      </c>
      <c r="E60" s="24" t="n">
        <f aca="false">COUNTIF(01_能力覆蓋表_Coverage!$F$5:$F$64,$A60)</f>
        <v>0</v>
      </c>
      <c r="F60" s="24" t="n">
        <f aca="false">$E60</f>
        <v>0</v>
      </c>
      <c r="G60" s="24" t="str">
        <f aca="false">IF($E60=0,"—",IF(AND($E60&gt;=3,$D60="Target"),"🔴 高依賴且未洽談",IF($E60&gt;=3,"🟠 高依賴",IF($D60="Target","🟡 未洽談","🟢"))))</f>
        <v>—</v>
      </c>
    </row>
    <row r="61" customFormat="false" ht="15" hidden="false" customHeight="false" outlineLevel="0" collapsed="false">
      <c r="A61" s="26" t="s">
        <v>327</v>
      </c>
      <c r="B61" s="27"/>
      <c r="C61" s="24"/>
      <c r="D61" s="24" t="s">
        <v>300</v>
      </c>
      <c r="E61" s="24" t="n">
        <f aca="false">COUNTIF(01_能力覆蓋表_Coverage!$F$5:$F$64,$A61)</f>
        <v>0</v>
      </c>
      <c r="F61" s="24" t="n">
        <f aca="false">$E61</f>
        <v>0</v>
      </c>
      <c r="G61" s="24" t="str">
        <f aca="false">IF($E61=0,"—",IF(AND($E61&gt;=3,$D61="Target"),"🔴 高依賴且未洽談",IF($E61&gt;=3,"🟠 高依賴",IF($D61="Target","🟡 未洽談","🟢"))))</f>
        <v>—</v>
      </c>
    </row>
    <row r="62" customFormat="false" ht="15" hidden="false" customHeight="false" outlineLevel="0" collapsed="false">
      <c r="A62" s="26" t="s">
        <v>328</v>
      </c>
      <c r="B62" s="27"/>
      <c r="C62" s="26" t="s">
        <v>299</v>
      </c>
      <c r="D62" s="24" t="s">
        <v>300</v>
      </c>
      <c r="E62" s="24" t="n">
        <f aca="false">COUNTIF(01_能力覆蓋表_Coverage!$F$5:$F$64,$A62)</f>
        <v>0</v>
      </c>
      <c r="F62" s="24" t="n">
        <f aca="false">$E62</f>
        <v>0</v>
      </c>
      <c r="G62" s="24" t="str">
        <f aca="false">IF($E62=0,"—",IF(AND($E62&gt;=3,$D62="Target"),"🔴 高依賴且未洽談",IF($E62&gt;=3,"🟠 高依賴",IF($D62="Target","🟡 未洽談","🟢"))))</f>
        <v>—</v>
      </c>
    </row>
  </sheetData>
  <autoFilter ref="A4:G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23.1" hidden="false" customHeight="false" outlineLevel="0" collapsed="false">
      <c r="A1" s="5" t="s">
        <v>329</v>
      </c>
    </row>
    <row r="2" customFormat="false" ht="15" hidden="false" customHeight="false" outlineLevel="0" collapsed="false">
      <c r="A2" s="6" t="s">
        <v>330</v>
      </c>
    </row>
    <row r="3" customFormat="false" ht="15" hidden="false" customHeight="false" outlineLevel="0" collapsed="false">
      <c r="A3" s="3" t="s">
        <v>44</v>
      </c>
      <c r="B3" s="17" t="s">
        <v>45</v>
      </c>
      <c r="C3" s="18" t="s">
        <v>46</v>
      </c>
    </row>
    <row r="4" customFormat="false" ht="30" hidden="false" customHeight="true" outlineLevel="0" collapsed="false">
      <c r="A4" s="19" t="s">
        <v>47</v>
      </c>
      <c r="B4" s="19" t="s">
        <v>331</v>
      </c>
      <c r="C4" s="19" t="s">
        <v>332</v>
      </c>
      <c r="D4" s="19" t="s">
        <v>333</v>
      </c>
      <c r="E4" s="19" t="s">
        <v>334</v>
      </c>
      <c r="F4" s="19" t="s">
        <v>335</v>
      </c>
      <c r="G4" s="19" t="s">
        <v>336</v>
      </c>
      <c r="H4" s="19" t="s">
        <v>337</v>
      </c>
      <c r="I4" s="19" t="s">
        <v>338</v>
      </c>
    </row>
    <row r="5" customFormat="false" ht="15" hidden="false" customHeight="false" outlineLevel="0" collapsed="false">
      <c r="A5" s="29" t="s">
        <v>219</v>
      </c>
      <c r="B5" s="30" t="s">
        <v>339</v>
      </c>
      <c r="C5" s="30" t="s">
        <v>340</v>
      </c>
      <c r="D5" s="30" t="s">
        <v>341</v>
      </c>
      <c r="E5" s="30" t="s">
        <v>342</v>
      </c>
      <c r="F5" s="29" t="s">
        <v>343</v>
      </c>
      <c r="G5" s="30" t="s">
        <v>344</v>
      </c>
      <c r="H5" s="29" t="s">
        <v>115</v>
      </c>
      <c r="I5" s="30" t="s">
        <v>345</v>
      </c>
    </row>
    <row r="6" customFormat="false" ht="15" hidden="false" customHeight="false" outlineLevel="0" collapsed="false">
      <c r="A6" s="30"/>
      <c r="B6" s="30"/>
      <c r="C6" s="30"/>
      <c r="D6" s="30"/>
      <c r="E6" s="30"/>
      <c r="F6" s="30"/>
      <c r="G6" s="30"/>
      <c r="H6" s="30"/>
      <c r="I6" s="30"/>
    </row>
    <row r="7" customFormat="false" ht="15" hidden="false" customHeight="false" outlineLevel="0" collapsed="false">
      <c r="A7" s="30"/>
      <c r="B7" s="30"/>
      <c r="C7" s="30"/>
      <c r="D7" s="30"/>
      <c r="E7" s="30"/>
      <c r="F7" s="30"/>
      <c r="G7" s="30"/>
      <c r="H7" s="30"/>
      <c r="I7" s="30"/>
    </row>
    <row r="8" customFormat="false" ht="15" hidden="false" customHeight="false" outlineLevel="0" collapsed="false">
      <c r="A8" s="30"/>
      <c r="B8" s="30"/>
      <c r="C8" s="30"/>
      <c r="D8" s="30"/>
      <c r="E8" s="30"/>
      <c r="F8" s="30"/>
      <c r="G8" s="30"/>
      <c r="H8" s="30"/>
      <c r="I8" s="30"/>
    </row>
    <row r="9" customFormat="false" ht="15" hidden="false" customHeight="false" outlineLevel="0" collapsed="false">
      <c r="A9" s="30"/>
      <c r="B9" s="30"/>
      <c r="C9" s="30"/>
      <c r="D9" s="30"/>
      <c r="E9" s="30"/>
      <c r="F9" s="30"/>
      <c r="G9" s="30"/>
      <c r="H9" s="30"/>
      <c r="I9" s="30"/>
    </row>
    <row r="10" customFormat="false" ht="15" hidden="false" customHeight="false" outlineLevel="0" collapsed="false">
      <c r="A10" s="30"/>
      <c r="B10" s="30"/>
      <c r="C10" s="30"/>
      <c r="D10" s="30"/>
      <c r="E10" s="30"/>
      <c r="F10" s="30"/>
      <c r="G10" s="30"/>
      <c r="H10" s="30"/>
      <c r="I10" s="30"/>
    </row>
    <row r="11" customFormat="false" ht="15" hidden="false" customHeight="false" outlineLevel="0" collapsed="false">
      <c r="A11" s="30"/>
      <c r="B11" s="30"/>
      <c r="C11" s="30"/>
      <c r="D11" s="30"/>
      <c r="E11" s="30"/>
      <c r="F11" s="30"/>
      <c r="G11" s="30"/>
      <c r="H11" s="30"/>
      <c r="I11" s="30"/>
    </row>
    <row r="12" customFormat="false" ht="15" hidden="false" customHeight="false" outlineLevel="0" collapsed="false">
      <c r="A12" s="30"/>
      <c r="B12" s="30"/>
      <c r="C12" s="30"/>
      <c r="D12" s="30"/>
      <c r="E12" s="30"/>
      <c r="F12" s="30"/>
      <c r="G12" s="30"/>
      <c r="H12" s="30"/>
      <c r="I12" s="30"/>
    </row>
    <row r="13" customFormat="false" ht="15" hidden="false" customHeight="false" outlineLevel="0" collapsed="false">
      <c r="A13" s="30"/>
      <c r="B13" s="30"/>
      <c r="C13" s="30"/>
      <c r="D13" s="30"/>
      <c r="E13" s="30"/>
      <c r="F13" s="30"/>
      <c r="G13" s="30"/>
      <c r="H13" s="30"/>
      <c r="I13" s="30"/>
    </row>
    <row r="14" customFormat="false" ht="15" hidden="false" customHeight="false" outlineLevel="0" collapsed="false">
      <c r="A14" s="30"/>
      <c r="B14" s="30"/>
      <c r="C14" s="30"/>
      <c r="D14" s="30"/>
      <c r="E14" s="30"/>
      <c r="F14" s="30"/>
      <c r="G14" s="30"/>
      <c r="H14" s="30"/>
      <c r="I14" s="30"/>
    </row>
    <row r="15" customFormat="false" ht="15" hidden="false" customHeight="false" outlineLevel="0" collapsed="false">
      <c r="A15" s="30"/>
      <c r="B15" s="30"/>
      <c r="C15" s="30"/>
      <c r="D15" s="30"/>
      <c r="E15" s="30"/>
      <c r="F15" s="30"/>
      <c r="G15" s="30"/>
      <c r="H15" s="30"/>
      <c r="I15" s="30"/>
    </row>
    <row r="16" customFormat="false" ht="15" hidden="false" customHeight="false" outlineLevel="0" collapsed="false">
      <c r="A16" s="30"/>
      <c r="B16" s="30"/>
      <c r="C16" s="30"/>
      <c r="D16" s="30"/>
      <c r="E16" s="30"/>
      <c r="F16" s="30"/>
      <c r="G16" s="30"/>
      <c r="H16" s="30"/>
      <c r="I16" s="30"/>
    </row>
    <row r="17" customFormat="false" ht="15" hidden="false" customHeight="false" outlineLevel="0" collapsed="false">
      <c r="A17" s="30"/>
      <c r="B17" s="30"/>
      <c r="C17" s="30"/>
      <c r="D17" s="30"/>
      <c r="E17" s="30"/>
      <c r="F17" s="30"/>
      <c r="G17" s="30"/>
      <c r="H17" s="30"/>
      <c r="I17" s="30"/>
    </row>
    <row r="18" customFormat="false" ht="15" hidden="false" customHeight="false" outlineLevel="0" collapsed="false">
      <c r="A18" s="30"/>
      <c r="B18" s="30"/>
      <c r="C18" s="30"/>
      <c r="D18" s="30"/>
      <c r="E18" s="30"/>
      <c r="F18" s="30"/>
      <c r="G18" s="30"/>
      <c r="H18" s="30"/>
      <c r="I18" s="30"/>
    </row>
    <row r="19" customFormat="false" ht="15" hidden="false" customHeight="false" outlineLevel="0" collapsed="false">
      <c r="A19" s="30"/>
      <c r="B19" s="30"/>
      <c r="C19" s="30"/>
      <c r="D19" s="30"/>
      <c r="E19" s="30"/>
      <c r="F19" s="30"/>
      <c r="G19" s="30"/>
      <c r="H19" s="30"/>
      <c r="I19" s="30"/>
    </row>
    <row r="20" customFormat="false" ht="15" hidden="false" customHeight="false" outlineLevel="0" collapsed="false">
      <c r="A20" s="30"/>
      <c r="B20" s="30"/>
      <c r="C20" s="30"/>
      <c r="D20" s="30"/>
      <c r="E20" s="30"/>
      <c r="F20" s="30"/>
      <c r="G20" s="30"/>
      <c r="H20" s="30"/>
      <c r="I20" s="30"/>
    </row>
    <row r="21" customFormat="false" ht="15" hidden="false" customHeight="false" outlineLevel="0" collapsed="false">
      <c r="A21" s="30"/>
      <c r="B21" s="30"/>
      <c r="C21" s="30"/>
      <c r="D21" s="30"/>
      <c r="E21" s="30"/>
      <c r="F21" s="30"/>
      <c r="G21" s="30"/>
      <c r="H21" s="30"/>
      <c r="I21" s="30"/>
    </row>
    <row r="22" customFormat="false" ht="15" hidden="false" customHeight="false" outlineLevel="0" collapsed="false">
      <c r="A22" s="30"/>
      <c r="B22" s="30"/>
      <c r="C22" s="30"/>
      <c r="D22" s="30"/>
      <c r="E22" s="30"/>
      <c r="F22" s="30"/>
      <c r="G22" s="30"/>
      <c r="H22" s="30"/>
      <c r="I22" s="30"/>
    </row>
    <row r="23" customFormat="false" ht="15" hidden="false" customHeight="false" outlineLevel="0" collapsed="false">
      <c r="A23" s="30"/>
      <c r="B23" s="30"/>
      <c r="C23" s="30"/>
      <c r="D23" s="30"/>
      <c r="E23" s="30"/>
      <c r="F23" s="30"/>
      <c r="G23" s="30"/>
      <c r="H23" s="30"/>
      <c r="I23" s="30"/>
    </row>
    <row r="24" customFormat="false" ht="15" hidden="false" customHeight="false" outlineLevel="0" collapsed="false">
      <c r="A24" s="30"/>
      <c r="B24" s="30"/>
      <c r="C24" s="30"/>
      <c r="D24" s="30"/>
      <c r="E24" s="30"/>
      <c r="F24" s="30"/>
      <c r="G24" s="30"/>
      <c r="H24" s="30"/>
      <c r="I24" s="30"/>
    </row>
    <row r="25" customFormat="false" ht="15" hidden="false" customHeight="false" outlineLevel="0" collapsed="false">
      <c r="A25" s="30"/>
      <c r="B25" s="30"/>
      <c r="C25" s="30"/>
      <c r="D25" s="30"/>
      <c r="E25" s="30"/>
      <c r="F25" s="30"/>
      <c r="G25" s="30"/>
      <c r="H25" s="30"/>
      <c r="I25" s="30"/>
    </row>
    <row r="26" customFormat="false" ht="15" hidden="false" customHeight="false" outlineLevel="0" collapsed="false">
      <c r="A26" s="30"/>
      <c r="B26" s="30"/>
      <c r="C26" s="30"/>
      <c r="D26" s="30"/>
      <c r="E26" s="30"/>
      <c r="F26" s="30"/>
      <c r="G26" s="30"/>
      <c r="H26" s="30"/>
      <c r="I26" s="30"/>
    </row>
    <row r="27" customFormat="false" ht="15" hidden="false" customHeight="false" outlineLevel="0" collapsed="false">
      <c r="A27" s="30"/>
      <c r="B27" s="30"/>
      <c r="C27" s="30"/>
      <c r="D27" s="30"/>
      <c r="E27" s="30"/>
      <c r="F27" s="30"/>
      <c r="G27" s="30"/>
      <c r="H27" s="30"/>
      <c r="I27" s="30"/>
    </row>
    <row r="28" customFormat="false" ht="15" hidden="false" customHeight="false" outlineLevel="0" collapsed="false">
      <c r="A28" s="30"/>
      <c r="B28" s="30"/>
      <c r="C28" s="30"/>
      <c r="D28" s="30"/>
      <c r="E28" s="30"/>
      <c r="F28" s="30"/>
      <c r="G28" s="30"/>
      <c r="H28" s="30"/>
      <c r="I28" s="30"/>
    </row>
    <row r="29" customFormat="false" ht="15" hidden="false" customHeight="false" outlineLevel="0" collapsed="false">
      <c r="A29" s="30"/>
      <c r="B29" s="30"/>
      <c r="C29" s="30"/>
      <c r="D29" s="30"/>
      <c r="E29" s="30"/>
      <c r="F29" s="30"/>
      <c r="G29" s="30"/>
      <c r="H29" s="30"/>
      <c r="I29" s="30"/>
    </row>
    <row r="30" customFormat="false" ht="15" hidden="false" customHeight="false" outlineLevel="0" collapsed="false">
      <c r="A30" s="30"/>
      <c r="B30" s="30"/>
      <c r="C30" s="30"/>
      <c r="D30" s="30"/>
      <c r="E30" s="30"/>
      <c r="F30" s="30"/>
      <c r="G30" s="30"/>
      <c r="H30" s="30"/>
      <c r="I30" s="30"/>
    </row>
    <row r="31" customFormat="false" ht="15" hidden="false" customHeight="false" outlineLevel="0" collapsed="false">
      <c r="A31" s="30"/>
      <c r="B31" s="30"/>
      <c r="C31" s="30"/>
      <c r="D31" s="30"/>
      <c r="E31" s="30"/>
      <c r="F31" s="30"/>
      <c r="G31" s="30"/>
      <c r="H31" s="30"/>
      <c r="I31" s="30"/>
    </row>
    <row r="32" customFormat="false" ht="15" hidden="false" customHeight="false" outlineLevel="0" collapsed="false">
      <c r="A32" s="30"/>
      <c r="B32" s="30"/>
      <c r="C32" s="30"/>
      <c r="D32" s="30"/>
      <c r="E32" s="30"/>
      <c r="F32" s="30"/>
      <c r="G32" s="30"/>
      <c r="H32" s="30"/>
      <c r="I32" s="30"/>
    </row>
    <row r="33" customFormat="false" ht="1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</row>
    <row r="34" customFormat="false" ht="1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9" t="s">
        <v>53</v>
      </c>
      <c r="B1" s="19" t="s">
        <v>346</v>
      </c>
      <c r="C1" s="19" t="s">
        <v>347</v>
      </c>
      <c r="D1" s="19" t="s">
        <v>49</v>
      </c>
    </row>
    <row r="2" customFormat="false" ht="15" hidden="false" customHeight="false" outlineLevel="0" collapsed="false">
      <c r="A2" s="31" t="s">
        <v>84</v>
      </c>
      <c r="B2" s="30" t="n">
        <v>1</v>
      </c>
      <c r="C2" s="32" t="s">
        <v>348</v>
      </c>
      <c r="D2" s="32" t="s">
        <v>60</v>
      </c>
    </row>
    <row r="3" customFormat="false" ht="15" hidden="false" customHeight="false" outlineLevel="0" collapsed="false">
      <c r="A3" s="31" t="s">
        <v>208</v>
      </c>
      <c r="B3" s="30" t="n">
        <v>0.7</v>
      </c>
      <c r="C3" s="32" t="s">
        <v>349</v>
      </c>
      <c r="D3" s="32" t="s">
        <v>122</v>
      </c>
    </row>
    <row r="4" customFormat="false" ht="15" hidden="false" customHeight="false" outlineLevel="0" collapsed="false">
      <c r="A4" s="31" t="s">
        <v>64</v>
      </c>
      <c r="B4" s="30" t="n">
        <v>0.5</v>
      </c>
      <c r="C4" s="32" t="s">
        <v>350</v>
      </c>
      <c r="D4" s="32" t="s">
        <v>164</v>
      </c>
    </row>
    <row r="5" customFormat="false" ht="15" hidden="false" customHeight="false" outlineLevel="0" collapsed="false">
      <c r="A5" s="31" t="s">
        <v>69</v>
      </c>
      <c r="B5" s="30" t="n">
        <v>0.25</v>
      </c>
      <c r="C5" s="32" t="s">
        <v>351</v>
      </c>
    </row>
    <row r="6" customFormat="false" ht="15" hidden="false" customHeight="false" outlineLevel="0" collapsed="false">
      <c r="A6" s="32" t="s">
        <v>300</v>
      </c>
      <c r="B6" s="30" t="n">
        <v>0.1</v>
      </c>
      <c r="C6" s="32" t="s">
        <v>352</v>
      </c>
    </row>
    <row r="7" customFormat="false" ht="15" hidden="false" customHeight="false" outlineLevel="0" collapsed="false">
      <c r="A7" s="32" t="s">
        <v>164</v>
      </c>
      <c r="B7" s="30" t="n">
        <v>0</v>
      </c>
      <c r="C7" s="32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2026-08-18T03:04:27Z</dcterms:created>
  <dc:creator>openpyxl</dc:creator>
  <dc:description/>
  <dc:language>en-US</dc:language>
  <cp:lastModifiedBy/>
  <dcterms:modified xsi:type="dcterms:W3CDTF">2026-08-18T03:04:27Z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