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使用說明_Howto" sheetId="1" state="visible" r:id="rId3"/>
    <sheet name="01_專案設定_Setup" sheetId="2" state="visible" r:id="rId4"/>
    <sheet name="01B_類別判斷_Wizard" sheetId="3" state="visible" r:id="rId5"/>
    <sheet name="02_投資成本_CAPEX" sheetId="4" state="visible" r:id="rId6"/>
    <sheet name="03_營運成本_OPEX" sheetId="5" state="visible" r:id="rId7"/>
    <sheet name="04_收入產能_Revenue" sheetId="6" state="visible" r:id="rId8"/>
    <sheet name="05_折舊攤提_Depreciation" sheetId="7" state="visible" r:id="rId9"/>
    <sheet name="06_現金流_Cashflow" sheetId="8" state="visible" r:id="rId10"/>
    <sheet name="07_折現率_WACC" sheetId="9" state="visible" r:id="rId11"/>
    <sheet name="08_敏感度_Sensitivity" sheetId="10" state="visible" r:id="rId12"/>
    <sheet name="09_使能型評估_EnablingCase" sheetId="11" state="visible" r:id="rId13"/>
    <sheet name="10_決策摘要_Summary" sheetId="12" state="visible" r:id="rId14"/>
    <sheet name="11_假設來源_Assumptions" sheetId="13" state="visible" r:id="rId15"/>
    <sheet name="_Lists" sheetId="14" state="hidden" r:id="rId16"/>
  </sheets>
  <definedNames>
    <definedName function="false" hidden="false" name="L_Alloc" vbProcedure="false">'_Lists'!$L$2:$L$6</definedName>
    <definedName function="false" hidden="false" name="L_CapCat" vbProcedure="false">'_Lists'!$F$2:$F$6</definedName>
    <definedName function="false" hidden="false" name="L_CostType" vbProcedure="false">'_Lists'!$J$2:$J$3</definedName>
    <definedName function="false" hidden="false" name="L_Cur" vbProcedure="false">'_Lists'!$A$2:$A$4</definedName>
    <definedName function="false" hidden="false" name="L_Dep" vbProcedure="false">'_Lists'!$H$2:$H$7</definedName>
    <definedName function="false" hidden="false" name="L_DiscSrc" vbProcedure="false">'_Lists'!$C$2:$C$3</definedName>
    <definedName function="false" hidden="false" name="L_Industry" vbProcedure="false">'_Lists'!$M$2:$M$9</definedName>
    <definedName function="false" hidden="false" name="L_OpCat" vbProcedure="false">'_Lists'!$I$2:$I$10</definedName>
    <definedName function="false" hidden="false" name="L_Origin" vbProcedure="false">'_Lists'!$G$2:$G$4</definedName>
    <definedName function="false" hidden="false" name="L_Role" vbProcedure="false">'_Lists'!$Q$2:$Q$14</definedName>
    <definedName function="false" hidden="false" name="L_Status" vbProcedure="false">'_Lists'!$K$2:$K$7</definedName>
    <definedName function="false" hidden="false" name="L_TV" vbProcedure="false">'_Lists'!$E$2:$E$5</definedName>
    <definedName function="false" hidden="false" name="L_Unit" vbProcedure="false">'_Lists'!$B$2:$B$4</definedName>
    <definedName function="false" hidden="false" name="L_VatC" vbProcedure="false">'_Lists'!$D$2:$D$3</definedName>
    <definedName function="false" hidden="false" name="L_W1" vbProcedure="false">'_Lists'!$N$2:$N$4</definedName>
    <definedName function="false" hidden="false" name="L_W2" vbProcedure="false">'_Lists'!$O$2:$O$5</definedName>
    <definedName function="false" hidden="false" name="L_W4" vbProcedure="false">'_Lists'!$P$2:$P$3</definedName>
    <definedName function="false" hidden="false" name="_CatCode" vbProcedure="false">'01_專案設定_Setup'!$O$4:$O$9</definedName>
    <definedName function="false" hidden="false" name="_CatCond" vbProcedure="false">'01_專案設定_Setup'!$L$4:$L$9</definedName>
    <definedName function="false" hidden="false" name="_CatDef" vbProcedure="false">'01_專案設定_Setup'!$K$4:$K$9</definedName>
    <definedName function="false" hidden="false" name="_CatEg" vbProcedure="false">'01_專案設定_Setup'!$N$4:$N$9</definedName>
    <definedName function="false" hidden="false" name="_CatMetric" vbProcedure="false">'01_專案設定_Setup'!$M$4:$M$9</definedName>
    <definedName function="false" hidden="false" name="_CatName" vbProcedure="false">'01_專案設定_Setup'!$J$4:$J$9</definedName>
    <definedName function="false" hidden="false" name="_Disp" vbProcedure="false">'01_專案設定_Setup'!$B$30</definedName>
    <definedName function="false" hidden="false" name="_DTCO" vbProcedure="false">'09_使能型評估_EnablingCase'!$B$28</definedName>
    <definedName function="false" hidden="false" name="_FXTable" vbProcedure="false">'01_專案設定_Setup'!$A$22:$B$24</definedName>
    <definedName function="false" hidden="false" name="_NPV" vbProcedure="false">'06_現金流_Cashflow'!$B$46</definedName>
    <definedName function="false" hidden="false" name="_WACC" vbProcedure="false">'07_折現率_WACC'!$B$28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<sst xmlns="http://schemas.openxmlformats.org/spreadsheetml/2006/main" count="1208" uniqueCount="920">
  <si>
    <r>
      <rPr>
        <b val="true"/>
        <sz val="15"/>
        <color rgb="FFFFFFFF"/>
        <rFont val="微軟正黑體"/>
        <family val="0"/>
        <charset val="1"/>
      </rPr>
      <t xml:space="preserve">VMH-EcoMap-2 </t>
    </r>
    <r>
      <rPr>
        <b val="true"/>
        <sz val="15"/>
        <color rgb="FFFFFFFF"/>
        <rFont val="Noto Sans CJK SC"/>
        <family val="2"/>
      </rPr>
      <t xml:space="preserve">專案商模試算器 </t>
    </r>
    <r>
      <rPr>
        <b val="true"/>
        <sz val="15"/>
        <color rgb="FFFFFFFF"/>
        <rFont val="微軟正黑體"/>
        <family val="0"/>
        <charset val="1"/>
      </rPr>
      <t xml:space="preserve">v1.0</t>
    </r>
    <r>
      <rPr>
        <b val="true"/>
        <sz val="15"/>
        <color rgb="FFFFFFFF"/>
        <rFont val="Noto Sans CJK SC"/>
        <family val="2"/>
      </rPr>
      <t xml:space="preserve">｜</t>
    </r>
    <r>
      <rPr>
        <b val="true"/>
        <sz val="15"/>
        <color rgb="FFFFFFFF"/>
        <rFont val="微軟正黑體"/>
        <family val="0"/>
        <charset val="1"/>
      </rPr>
      <t xml:space="preserve">Project Business Case Calculator</t>
    </r>
  </si>
  <si>
    <r>
      <rPr>
        <i val="true"/>
        <sz val="9.5"/>
        <color rgb="FF404040"/>
        <rFont val="Noto Sans CJK SC"/>
        <family val="2"/>
      </rPr>
      <t xml:space="preserve">搭配主工具「</t>
    </r>
    <r>
      <rPr>
        <i val="true"/>
        <sz val="9.5"/>
        <color rgb="FF404040"/>
        <rFont val="微軟正黑體"/>
        <family val="0"/>
        <charset val="1"/>
      </rPr>
      <t xml:space="preserve">VMH-EcoMap-1_</t>
    </r>
    <r>
      <rPr>
        <i val="true"/>
        <sz val="9.5"/>
        <color rgb="FF404040"/>
        <rFont val="Noto Sans CJK SC"/>
        <family val="2"/>
      </rPr>
      <t xml:space="preserve">主工具</t>
    </r>
    <r>
      <rPr>
        <i val="true"/>
        <sz val="9.5"/>
        <color rgb="FF404040"/>
        <rFont val="微軟正黑體"/>
        <family val="0"/>
        <charset val="1"/>
      </rPr>
      <t xml:space="preserve">_</t>
    </r>
    <r>
      <rPr>
        <i val="true"/>
        <sz val="9.5"/>
        <color rgb="FF404040"/>
        <rFont val="Noto Sans CJK SC"/>
        <family val="2"/>
      </rPr>
      <t xml:space="preserve">越南醫院生態盤點」使用。主工具回答「做不做、誰做、何時做」；本檔回答「這一個子專案划不划算」。本檔的六個設計重點：投資類別框架（不同類別用不同評估尺規）、三幣別一鍵切換、</t>
    </r>
    <r>
      <rPr>
        <i val="true"/>
        <sz val="9.5"/>
        <color rgb="FF404040"/>
        <rFont val="微軟正黑體"/>
        <family val="0"/>
        <charset val="1"/>
      </rPr>
      <t xml:space="preserve">BOQ </t>
    </r>
    <r>
      <rPr>
        <i val="true"/>
        <sz val="9.5"/>
        <color rgb="FF404040"/>
        <rFont val="Noto Sans CJK SC"/>
        <family val="2"/>
      </rPr>
      <t xml:space="preserve">級成本明細、折舊攤提與越南稅務優惠、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推算與 </t>
    </r>
    <r>
      <rPr>
        <i val="true"/>
        <sz val="9.5"/>
        <color rgb="FF404040"/>
        <rFont val="微軟正黑體"/>
        <family val="0"/>
        <charset val="1"/>
      </rPr>
      <t xml:space="preserve">FCFF </t>
    </r>
    <r>
      <rPr>
        <i val="true"/>
        <sz val="9.5"/>
        <color rgb="FF404040"/>
        <rFont val="Noto Sans CJK SC"/>
        <family val="2"/>
      </rPr>
      <t xml:space="preserve">現金流、使能型投資專用評估。</t>
    </r>
  </si>
  <si>
    <t xml:space="preserve">一、本檔最重要的一個觀念：不同類型的投資，要用不同的尺</t>
  </si>
  <si>
    <r>
      <rPr>
        <sz val="10.5"/>
        <color rgb="FF1F3864"/>
        <rFont val="Noto Sans CJK SC"/>
        <family val="2"/>
      </rPr>
      <t xml:space="preserve">把「機房」「網路」「資料平台」這類基礎建設，拿去跟「</t>
    </r>
    <r>
      <rPr>
        <sz val="10.5"/>
        <color rgb="FF1F3864"/>
        <rFont val="微軟正黑體"/>
        <family val="0"/>
        <charset val="1"/>
      </rPr>
      <t xml:space="preserve">CT </t>
    </r>
    <r>
      <rPr>
        <sz val="10.5"/>
        <color rgb="FF1F3864"/>
        <rFont val="Noto Sans CJK SC"/>
        <family val="2"/>
      </rPr>
      <t xml:space="preserve">影像中心」用同一套 </t>
    </r>
    <r>
      <rPr>
        <sz val="10.5"/>
        <color rgb="FF1F3864"/>
        <rFont val="微軟正黑體"/>
        <family val="0"/>
        <charset val="1"/>
      </rPr>
      <t xml:space="preserve">NPV </t>
    </r>
    <r>
      <rPr>
        <sz val="10.5"/>
        <color rgb="FF1F3864"/>
        <rFont val="Noto Sans CJK SC"/>
        <family val="2"/>
      </rPr>
      <t xml:space="preserve">標準比較，結論一定是基礎建設不值得投——但那是尺用錯了，不是案子不好。
</t>
    </r>
    <r>
      <rPr>
        <sz val="10.5"/>
        <color rgb="FF1F3864"/>
        <rFont val="微軟正黑體"/>
        <family val="0"/>
        <charset val="1"/>
      </rPr>
      <t xml:space="preserve">MIT Sloan</t>
    </r>
    <r>
      <rPr>
        <sz val="10.5"/>
        <color rgb="FF1F3864"/>
        <rFont val="Noto Sans CJK SC"/>
        <family val="2"/>
      </rPr>
      <t xml:space="preserve">（</t>
    </r>
    <r>
      <rPr>
        <sz val="10.5"/>
        <color rgb="FF1F3864"/>
        <rFont val="微軟正黑體"/>
        <family val="0"/>
        <charset val="1"/>
      </rPr>
      <t xml:space="preserve">Weill &amp; Aral</t>
    </r>
    <r>
      <rPr>
        <sz val="10.5"/>
        <color rgb="FF1F3864"/>
        <rFont val="Noto Sans CJK SC"/>
        <family val="2"/>
      </rPr>
      <t xml:space="preserve">）的實證指出：基礎建設是企業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支出中佔比最高的一類（平均 </t>
    </r>
    <r>
      <rPr>
        <sz val="10.5"/>
        <color rgb="FF1F3864"/>
        <rFont val="微軟正黑體"/>
        <family val="0"/>
        <charset val="1"/>
      </rPr>
      <t xml:space="preserve">46%</t>
    </r>
    <r>
      <rPr>
        <sz val="10.5"/>
        <color rgb="FF1F3864"/>
        <rFont val="Noto Sans CJK SC"/>
        <family val="2"/>
      </rPr>
      <t xml:space="preserve">），也是「事前最難做成本正當化（</t>
    </r>
    <r>
      <rPr>
        <sz val="10.5"/>
        <color rgb="FF1F3864"/>
        <rFont val="微軟正黑體"/>
        <family val="0"/>
        <charset val="1"/>
      </rPr>
      <t xml:space="preserve">most difficult to cost-justify in advance</t>
    </r>
    <r>
      <rPr>
        <sz val="10.5"/>
        <color rgb="FF1F3864"/>
        <rFont val="Noto Sans CJK SC"/>
        <family val="2"/>
      </rPr>
      <t xml:space="preserve">）」的一類——因為效益歸屬於建在它上面的其他專案，成本卻留在自己身上。同一份研究還顯示：★ 績效前段班公司把 </t>
    </r>
    <r>
      <rPr>
        <sz val="10.5"/>
        <color rgb="FF1F3864"/>
        <rFont val="微軟正黑體"/>
        <family val="0"/>
        <charset val="1"/>
      </rPr>
      <t xml:space="preserve">55% </t>
    </r>
    <r>
      <rPr>
        <sz val="10.5"/>
        <color rgb="FF1F3864"/>
        <rFont val="Noto Sans CJK SC"/>
        <family val="2"/>
      </rPr>
      <t xml:space="preserve">的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支出放在基礎建設，後段班只有 </t>
    </r>
    <r>
      <rPr>
        <sz val="10.5"/>
        <color rgb="FF1F3864"/>
        <rFont val="微軟正黑體"/>
        <family val="0"/>
        <charset val="1"/>
      </rPr>
      <t xml:space="preserve">37%</t>
    </r>
    <r>
      <rPr>
        <sz val="10.5"/>
        <color rgb="FF1F3864"/>
        <rFont val="Noto Sans CJK SC"/>
        <family val="2"/>
      </rPr>
      <t xml:space="preserve">。
因此本檔在 </t>
    </r>
    <r>
      <rPr>
        <sz val="10.5"/>
        <color rgb="FF1F3864"/>
        <rFont val="微軟正黑體"/>
        <family val="0"/>
        <charset val="1"/>
      </rPr>
      <t xml:space="preserve">01 </t>
    </r>
    <r>
      <rPr>
        <sz val="10.5"/>
        <color rgb="FF1F3864"/>
        <rFont val="Noto Sans CJK SC"/>
        <family val="2"/>
      </rPr>
      <t xml:space="preserve">分頁要求先選「投資類別」，</t>
    </r>
    <r>
      <rPr>
        <sz val="10.5"/>
        <color rgb="FF1F3864"/>
        <rFont val="微軟正黑體"/>
        <family val="0"/>
        <charset val="1"/>
      </rPr>
      <t xml:space="preserve">10 </t>
    </r>
    <r>
      <rPr>
        <sz val="10.5"/>
        <color rgb="FF1F3864"/>
        <rFont val="Noto Sans CJK SC"/>
        <family val="2"/>
      </rPr>
      <t xml:space="preserve">決策摘要會依類別套用不同的判讀規則，使能型投資另有 </t>
    </r>
    <r>
      <rPr>
        <sz val="10.5"/>
        <color rgb="FF1F3864"/>
        <rFont val="微軟正黑體"/>
        <family val="0"/>
        <charset val="1"/>
      </rPr>
      <t xml:space="preserve">09 </t>
    </r>
    <r>
      <rPr>
        <sz val="10.5"/>
        <color rgb="FF1F3864"/>
        <rFont val="Noto Sans CJK SC"/>
        <family val="2"/>
      </rPr>
      <t xml:space="preserve">分頁專用的「自建 </t>
    </r>
    <r>
      <rPr>
        <sz val="10.5"/>
        <color rgb="FF1F3864"/>
        <rFont val="微軟正黑體"/>
        <family val="0"/>
        <charset val="1"/>
      </rPr>
      <t xml:space="preserve">vs </t>
    </r>
    <r>
      <rPr>
        <sz val="10.5"/>
        <color rgb="FF1F3864"/>
        <rFont val="Noto Sans CJK SC"/>
        <family val="2"/>
      </rPr>
      <t xml:space="preserve">外租 </t>
    </r>
    <r>
      <rPr>
        <sz val="10.5"/>
        <color rgb="FF1F3864"/>
        <rFont val="微軟正黑體"/>
        <family val="0"/>
        <charset val="1"/>
      </rPr>
      <t xml:space="preserve">TCO</t>
    </r>
    <r>
      <rPr>
        <sz val="10.5"/>
        <color rgb="FF1F3864"/>
        <rFont val="Noto Sans CJK SC"/>
        <family val="2"/>
      </rPr>
      <t xml:space="preserve">」評估。</t>
    </r>
  </si>
  <si>
    <t xml:space="preserve">二、六種投資類別與各自該用的評估指標</t>
  </si>
  <si>
    <t xml:space="preserve">類別</t>
  </si>
  <si>
    <t xml:space="preserve">定義</t>
  </si>
  <si>
    <t xml:space="preserve">通過條件</t>
  </si>
  <si>
    <t xml:space="preserve">主要指標</t>
  </si>
  <si>
    <t xml:space="preserve">典型案例</t>
  </si>
  <si>
    <r>
      <rPr>
        <b val="true"/>
        <sz val="9.5"/>
        <color rgb="FF1F3864"/>
        <rFont val="微軟正黑體"/>
        <family val="0"/>
        <charset val="1"/>
      </rPr>
      <t xml:space="preserve">A </t>
    </r>
    <r>
      <rPr>
        <b val="true"/>
        <sz val="9.5"/>
        <color rgb="FF1F3864"/>
        <rFont val="Noto Sans CJK SC"/>
        <family val="2"/>
      </rPr>
      <t xml:space="preserve">營收型投資 </t>
    </r>
    <r>
      <rPr>
        <b val="true"/>
        <sz val="9.5"/>
        <color rgb="FF1F3864"/>
        <rFont val="微軟正黑體"/>
        <family val="0"/>
        <charset val="1"/>
      </rPr>
      <t xml:space="preserve">Revenue-generating</t>
    </r>
  </si>
  <si>
    <r>
      <rPr>
        <sz val="9"/>
        <color rgb="FF404050"/>
        <rFont val="Noto Sans CJK SC"/>
        <family val="2"/>
      </rPr>
      <t xml:space="preserve">本身直接向外部付款者收費，自己就能產生現金流。對應 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四分類的 </t>
    </r>
    <r>
      <rPr>
        <sz val="9"/>
        <color rgb="FF404050"/>
        <rFont val="微軟正黑體"/>
        <family val="0"/>
        <charset val="1"/>
      </rPr>
      <t xml:space="preserve">Transactional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Strategic</t>
    </r>
    <r>
      <rPr>
        <sz val="9"/>
        <color rgb="FF404050"/>
        <rFont val="Noto Sans CJK SC"/>
        <family val="2"/>
      </rPr>
      <t xml:space="preserve">。</t>
    </r>
  </si>
  <si>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IRR ≥ WACC</t>
    </r>
    <r>
      <rPr>
        <sz val="9"/>
        <color rgb="FF404050"/>
        <rFont val="Noto Sans CJK SC"/>
        <family val="2"/>
      </rPr>
      <t xml:space="preserve">、折現回收期在合約年限內</t>
    </r>
  </si>
  <si>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IRR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PI</t>
    </r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</si>
  <si>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CT </t>
    </r>
    <r>
      <rPr>
        <sz val="9"/>
        <color rgb="FF404050"/>
        <rFont val="Noto Sans CJK SC"/>
        <family val="2"/>
      </rPr>
      <t xml:space="preserve">影像中心、檢驗中心、健檢中心——有給付碼或自費市場，「做一件收一件」。</t>
    </r>
  </si>
  <si>
    <r>
      <rPr>
        <b val="true"/>
        <sz val="9.5"/>
        <color rgb="FF1F3864"/>
        <rFont val="微軟正黑體"/>
        <family val="0"/>
        <charset val="1"/>
      </rPr>
      <t xml:space="preserve">B </t>
    </r>
    <r>
      <rPr>
        <b val="true"/>
        <sz val="9.5"/>
        <color rgb="FF1F3864"/>
        <rFont val="Noto Sans CJK SC"/>
        <family val="2"/>
      </rPr>
      <t xml:space="preserve">使能型投資 </t>
    </r>
    <r>
      <rPr>
        <b val="true"/>
        <sz val="9.5"/>
        <color rgb="FF1F3864"/>
        <rFont val="微軟正黑體"/>
        <family val="0"/>
        <charset val="1"/>
      </rPr>
      <t xml:space="preserve">Enabling / Infrastructure</t>
    </r>
  </si>
  <si>
    <r>
      <rPr>
        <sz val="9"/>
        <color rgb="FF404050"/>
        <rFont val="Noto Sans CJK SC"/>
        <family val="2"/>
      </rPr>
      <t xml:space="preserve">本身不直接收費，而是讓其他專案得以成立、或降低整體營運成本。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四分類佔比最高（</t>
    </r>
    <r>
      <rPr>
        <sz val="9"/>
        <color rgb="FF404050"/>
        <rFont val="微軟正黑體"/>
        <family val="0"/>
        <charset val="1"/>
      </rPr>
      <t xml:space="preserve">46%</t>
    </r>
    <r>
      <rPr>
        <sz val="9"/>
        <color rgb="FF404050"/>
        <rFont val="Noto Sans CJK SC"/>
        <family val="2"/>
      </rPr>
      <t xml:space="preserve">）、也是 </t>
    </r>
    <r>
      <rPr>
        <sz val="9"/>
        <color rgb="FF404050"/>
        <rFont val="微軟正黑體"/>
        <family val="0"/>
        <charset val="1"/>
      </rPr>
      <t xml:space="preserve">MIT Sloan </t>
    </r>
    <r>
      <rPr>
        <sz val="9"/>
        <color rgb="FF404050"/>
        <rFont val="Noto Sans CJK SC"/>
        <family val="2"/>
      </rPr>
      <t xml:space="preserve">明指「事前最難做成本正當化」的一類。</t>
    </r>
  </si>
  <si>
    <r>
      <rPr>
        <sz val="9"/>
        <color rgb="FF404050"/>
        <rFont val="微軟正黑體"/>
        <family val="0"/>
        <charset val="1"/>
      </rPr>
      <t xml:space="preserve">ΔTCO</t>
    </r>
    <r>
      <rPr>
        <sz val="9"/>
        <color rgb="FF404050"/>
        <rFont val="Noto Sans CJK SC"/>
        <family val="2"/>
      </rPr>
      <t xml:space="preserve">（不做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做）現值 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；服務單位成本低於外購市價；承載專案數 ≥ </t>
    </r>
    <r>
      <rPr>
        <sz val="9"/>
        <color rgb="FF404050"/>
        <rFont val="微軟正黑體"/>
        <family val="0"/>
        <charset val="1"/>
      </rPr>
      <t xml:space="preserve">2</t>
    </r>
  </si>
  <si>
    <r>
      <rPr>
        <b val="true"/>
        <sz val="9.5"/>
        <color rgb="FF2E747A"/>
        <rFont val="微軟正黑體"/>
        <family val="0"/>
        <charset val="1"/>
      </rPr>
      <t xml:space="preserve">ΔTCO </t>
    </r>
    <r>
      <rPr>
        <b val="true"/>
        <sz val="9.5"/>
        <color rgb="FF2E747A"/>
        <rFont val="Noto Sans CJK SC"/>
        <family val="2"/>
      </rPr>
      <t xml:space="preserve">現值／單位服務成本／選擇權價值</t>
    </r>
  </si>
  <si>
    <r>
      <rPr>
        <sz val="9"/>
        <color rgb="FF404050"/>
        <rFont val="Noto Sans CJK SC"/>
        <family val="2"/>
      </rPr>
      <t xml:space="preserve">例：院內 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機房、院區網路、資料平台、整合中介層。★ 用單獨 </t>
    </r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評估必然為負——那是尺用錯了，不是案子不好。</t>
    </r>
  </si>
  <si>
    <r>
      <rPr>
        <b val="true"/>
        <sz val="9.5"/>
        <color rgb="FF1F3864"/>
        <rFont val="微軟正黑體"/>
        <family val="0"/>
        <charset val="1"/>
      </rPr>
      <t xml:space="preserve">C </t>
    </r>
    <r>
      <rPr>
        <b val="true"/>
        <sz val="9.5"/>
        <color rgb="FF1F3864"/>
        <rFont val="Noto Sans CJK SC"/>
        <family val="2"/>
      </rPr>
      <t xml:space="preserve">法規強制型 </t>
    </r>
    <r>
      <rPr>
        <b val="true"/>
        <sz val="9.5"/>
        <color rgb="FF1F3864"/>
        <rFont val="微軟正黑體"/>
        <family val="0"/>
        <charset val="1"/>
      </rPr>
      <t xml:space="preserve">Mandatory / Compliance</t>
    </r>
  </si>
  <si>
    <r>
      <rPr>
        <sz val="9"/>
        <color rgb="FF404050"/>
        <rFont val="Noto Sans CJK SC"/>
        <family val="2"/>
      </rPr>
      <t xml:space="preserve">法規或評鑑要求，不做就不能營業。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資本預算明列此類「通常不產生營收、繞過傳統成本效益分析」。</t>
    </r>
  </si>
  <si>
    <t xml:space="preserve">在合規前提下的最低總成本；並列出「不做的代價」（罰則、停業、失去投標資格）</t>
  </si>
  <si>
    <t xml:space="preserve">最低合規成本／不做的代價</t>
  </si>
  <si>
    <r>
      <rPr>
        <sz val="9"/>
        <color rgb="FF404050"/>
        <rFont val="Noto Sans CJK SC"/>
        <family val="2"/>
      </rPr>
      <t xml:space="preserve">例：電子病歷分級驗收、個資法 </t>
    </r>
    <r>
      <rPr>
        <sz val="9"/>
        <color rgb="FF404050"/>
        <rFont val="微軟正黑體"/>
        <family val="0"/>
        <charset val="1"/>
      </rPr>
      <t xml:space="preserve">PDPL 91/2025 </t>
    </r>
    <r>
      <rPr>
        <sz val="9"/>
        <color rgb="FF404050"/>
        <rFont val="Noto Sans CJK SC"/>
        <family val="2"/>
      </rPr>
      <t xml:space="preserve">合規、資安等級保護、輻射安全許可。</t>
    </r>
  </si>
  <si>
    <r>
      <rPr>
        <b val="true"/>
        <sz val="9.5"/>
        <color rgb="FF1F3864"/>
        <rFont val="微軟正黑體"/>
        <family val="0"/>
        <charset val="1"/>
      </rPr>
      <t xml:space="preserve">D </t>
    </r>
    <r>
      <rPr>
        <b val="true"/>
        <sz val="9.5"/>
        <color rgb="FF1F3864"/>
        <rFont val="Noto Sans CJK SC"/>
        <family val="2"/>
      </rPr>
      <t xml:space="preserve">降本型投資 </t>
    </r>
    <r>
      <rPr>
        <b val="true"/>
        <sz val="9.5"/>
        <color rgb="FF1F3864"/>
        <rFont val="微軟正黑體"/>
        <family val="0"/>
        <charset val="1"/>
      </rPr>
      <t xml:space="preserve">Cost-reduction</t>
    </r>
  </si>
  <si>
    <t xml:space="preserve">不增加收入，但減少既有支出。效益＝被避免掉的成本。</t>
  </si>
  <si>
    <t xml:space="preserve">成本節省現值 ＞ 投資額；回收期 ≤ 設備壽命的一半</t>
  </si>
  <si>
    <r>
      <rPr>
        <b val="true"/>
        <sz val="9.5"/>
        <color rgb="FF2E747A"/>
        <rFont val="Noto Sans CJK SC"/>
        <family val="2"/>
      </rPr>
      <t xml:space="preserve">成本節省 </t>
    </r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／回收期</t>
    </r>
  </si>
  <si>
    <t xml:space="preserve">例：無片化（省底片）、能源優化、流程自動化、以租代購取代自購。</t>
  </si>
  <si>
    <r>
      <rPr>
        <b val="true"/>
        <sz val="9.5"/>
        <color rgb="FF1F3864"/>
        <rFont val="微軟正黑體"/>
        <family val="0"/>
        <charset val="1"/>
      </rPr>
      <t xml:space="preserve">E </t>
    </r>
    <r>
      <rPr>
        <b val="true"/>
        <sz val="9.5"/>
        <color rgb="FF1F3864"/>
        <rFont val="Noto Sans CJK SC"/>
        <family val="2"/>
      </rPr>
      <t xml:space="preserve">汰換維持型 </t>
    </r>
    <r>
      <rPr>
        <b val="true"/>
        <sz val="9.5"/>
        <color rgb="FF1F3864"/>
        <rFont val="微軟正黑體"/>
        <family val="0"/>
        <charset val="1"/>
      </rPr>
      <t xml:space="preserve">Replacement / Maintenance</t>
    </r>
  </si>
  <si>
    <r>
      <rPr>
        <sz val="9"/>
        <color rgb="FF404050"/>
        <rFont val="Noto Sans CJK SC"/>
        <family val="2"/>
      </rPr>
      <t xml:space="preserve">維持既有營運不中斷。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分類指出此類「通常不做詳細分析」，因為不做就停擺。</t>
    </r>
  </si>
  <si>
    <t xml:space="preserve">與「不汰換的停機風險成本」比較；同規格中取最低生命週期成本</t>
  </si>
  <si>
    <t xml:space="preserve">生命週期成本／停機風險</t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</si>
  <si>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UPS </t>
    </r>
    <r>
      <rPr>
        <sz val="9"/>
        <color rgb="FF404050"/>
        <rFont val="Noto Sans CJK SC"/>
        <family val="2"/>
      </rPr>
      <t xml:space="preserve">電池更換、伺服器汰換、球管更換、到期授權續約。</t>
    </r>
  </si>
  <si>
    <r>
      <rPr>
        <b val="true"/>
        <sz val="9.5"/>
        <color rgb="FF1F3864"/>
        <rFont val="微軟正黑體"/>
        <family val="0"/>
        <charset val="1"/>
      </rPr>
      <t xml:space="preserve">F </t>
    </r>
    <r>
      <rPr>
        <b val="true"/>
        <sz val="9.5"/>
        <color rgb="FF1F3864"/>
        <rFont val="Noto Sans CJK SC"/>
        <family val="2"/>
      </rPr>
      <t xml:space="preserve">策略布局型 </t>
    </r>
    <r>
      <rPr>
        <b val="true"/>
        <sz val="9.5"/>
        <color rgb="FF1F3864"/>
        <rFont val="微軟正黑體"/>
        <family val="0"/>
        <charset val="1"/>
      </rPr>
      <t xml:space="preserve">Strategic / Option</t>
    </r>
  </si>
  <si>
    <r>
      <rPr>
        <sz val="9"/>
        <color rgb="FF404050"/>
        <rFont val="Noto Sans CJK SC"/>
        <family val="2"/>
      </rPr>
      <t xml:space="preserve">為了取得未來機會、參考案例或市場位置。現金流高度不確定，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指出需「超越傳統資本預算」的方法。</t>
    </r>
  </si>
  <si>
    <r>
      <rPr>
        <sz val="9"/>
        <color rgb="FF404050"/>
        <rFont val="Noto Sans CJK SC"/>
        <family val="2"/>
      </rPr>
      <t xml:space="preserve">分階段關卡（</t>
    </r>
    <r>
      <rPr>
        <sz val="9"/>
        <color rgb="FF404050"/>
        <rFont val="微軟正黑體"/>
        <family val="0"/>
        <charset val="1"/>
      </rPr>
      <t xml:space="preserve">stage-gate</t>
    </r>
    <r>
      <rPr>
        <sz val="9"/>
        <color rgb="FF404050"/>
        <rFont val="Noto Sans CJK SC"/>
        <family val="2"/>
      </rPr>
      <t xml:space="preserve">）：每階段設可量測的續投條件，而非一次核定全額</t>
    </r>
  </si>
  <si>
    <t xml:space="preserve">選擇權價值／階段關卡達成率</t>
  </si>
  <si>
    <r>
      <rPr>
        <sz val="9"/>
        <color rgb="FF404050"/>
        <rFont val="Noto Sans CJK SC"/>
        <family val="2"/>
      </rPr>
      <t xml:space="preserve">例：第一家旗艦醫院（取得 </t>
    </r>
    <r>
      <rPr>
        <sz val="9"/>
        <color rgb="FF404050"/>
        <rFont val="微軟正黑體"/>
        <family val="0"/>
        <charset val="1"/>
      </rPr>
      <t xml:space="preserve">reference site</t>
    </r>
    <r>
      <rPr>
        <sz val="9"/>
        <color rgb="FF404050"/>
        <rFont val="Noto Sans CJK SC"/>
        <family val="2"/>
      </rPr>
      <t xml:space="preserve">）、新國家市場試點、</t>
    </r>
    <r>
      <rPr>
        <sz val="9"/>
        <color rgb="FF404050"/>
        <rFont val="微軟正黑體"/>
        <family val="0"/>
        <charset val="1"/>
      </rPr>
      <t xml:space="preserve">AI </t>
    </r>
    <r>
      <rPr>
        <sz val="9"/>
        <color rgb="FF404050"/>
        <rFont val="Noto Sans CJK SC"/>
        <family val="2"/>
      </rPr>
      <t xml:space="preserve">產品共同開發。</t>
    </r>
  </si>
  <si>
    <t xml:space="preserve">三、分頁導覽（黃底＝要填，藍字＝公式自動算）</t>
  </si>
  <si>
    <t xml:space="preserve">順序</t>
  </si>
  <si>
    <t xml:space="preserve">分頁</t>
  </si>
  <si>
    <t xml:space="preserve">性質</t>
  </si>
  <si>
    <t xml:space="preserve">內容</t>
  </si>
  <si>
    <t xml:space="preserve">①</t>
  </si>
  <si>
    <r>
      <rPr>
        <b val="true"/>
        <sz val="9.5"/>
        <color rgb="FF1F3864"/>
        <rFont val="微軟正黑體"/>
        <family val="0"/>
        <charset val="1"/>
      </rPr>
      <t xml:space="preserve">01 </t>
    </r>
    <r>
      <rPr>
        <b val="true"/>
        <sz val="9.5"/>
        <color rgb="FF1F3864"/>
        <rFont val="Noto Sans CJK SC"/>
        <family val="2"/>
      </rPr>
      <t xml:space="preserve">專案設定</t>
    </r>
  </si>
  <si>
    <t xml:space="preserve">填</t>
  </si>
  <si>
    <r>
      <rPr>
        <sz val="9"/>
        <color rgb="FF404050"/>
        <rFont val="Noto Sans CJK SC"/>
        <family val="2"/>
      </rPr>
      <t xml:space="preserve">專案識別、★投資類別、幣別與匯率（預設新台幣，可一鍵切換 </t>
    </r>
    <r>
      <rPr>
        <sz val="9"/>
        <color rgb="FF404050"/>
        <rFont val="微軟正黑體"/>
        <family val="0"/>
        <charset val="1"/>
      </rPr>
      <t xml:space="preserve">USD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VND</t>
    </r>
    <r>
      <rPr>
        <sz val="9"/>
        <color rgb="FF404050"/>
        <rFont val="Noto Sans CJK SC"/>
        <family val="2"/>
      </rPr>
      <t xml:space="preserve">）、稅務優惠、營運資金、終值假設。</t>
    </r>
  </si>
  <si>
    <t xml:space="preserve">①B</t>
  </si>
  <si>
    <r>
      <rPr>
        <b val="true"/>
        <sz val="9.5"/>
        <color rgb="FF1F3864"/>
        <rFont val="微軟正黑體"/>
        <family val="0"/>
        <charset val="1"/>
      </rPr>
      <t xml:space="preserve">01B </t>
    </r>
    <r>
      <rPr>
        <b val="true"/>
        <sz val="9.5"/>
        <color rgb="FF1F3864"/>
        <rFont val="Noto Sans CJK SC"/>
        <family val="2"/>
      </rPr>
      <t xml:space="preserve">類別判斷精靈</t>
    </r>
  </si>
  <si>
    <r>
      <rPr>
        <sz val="9"/>
        <color rgb="FF404050"/>
        <rFont val="Noto Sans CJK SC"/>
        <family val="2"/>
      </rPr>
      <t xml:space="preserve">★ 不確定該選哪一種投資類別時用。回答四題 → 推薦一類＋說明理由＋列出下一步，並與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分頁目前的選擇比對。</t>
    </r>
  </si>
  <si>
    <t xml:space="preserve">②</t>
  </si>
  <si>
    <r>
      <rPr>
        <b val="true"/>
        <sz val="9.5"/>
        <color rgb="FF1F3864"/>
        <rFont val="微軟正黑體"/>
        <family val="0"/>
        <charset val="1"/>
      </rPr>
      <t xml:space="preserve">02 </t>
    </r>
    <r>
      <rPr>
        <b val="true"/>
        <sz val="9.5"/>
        <color rgb="FF1F3864"/>
        <rFont val="Noto Sans CJK SC"/>
        <family val="2"/>
      </rPr>
      <t xml:space="preserve">投資成本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</si>
  <si>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sz val="9"/>
        <color rgb="FF404050"/>
        <rFont val="微軟正黑體"/>
        <family val="0"/>
        <charset val="1"/>
      </rPr>
      <t xml:space="preserve">BOQ </t>
    </r>
    <r>
      <rPr>
        <sz val="9"/>
        <color rgb="FF404050"/>
        <rFont val="Noto Sans CJK SC"/>
        <family val="2"/>
      </rPr>
      <t xml:space="preserve">級明細：分項工程名稱、單位、數量、單價、進口／在地、關稅與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、折舊類別與年限、置換年、殘值率。</t>
    </r>
  </si>
  <si>
    <t xml:space="preserve">③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</si>
  <si>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</si>
  <si>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人力、維保、耗材、電力、授權、保險；可設年成長率，並標示「隨服務量變動」或「固定」。</t>
  </si>
  <si>
    <t xml:space="preserve">④</t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</si>
  <si>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收入與產能</t>
    </r>
  </si>
  <si>
    <r>
      <rPr>
        <sz val="9"/>
        <color rgb="FF404050"/>
        <rFont val="Noto Sans CJK SC"/>
        <family val="2"/>
      </rPr>
      <t xml:space="preserve">服務量、健保價與自費價、自費比例、成長率、開辦爬坡。使能型投資可留白（收入為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）。</t>
    </r>
  </si>
  <si>
    <t xml:space="preserve">⑤</t>
  </si>
  <si>
    <r>
      <rPr>
        <b val="true"/>
        <sz val="9.5"/>
        <color rgb="FF1F3864"/>
        <rFont val="微軟正黑體"/>
        <family val="0"/>
        <charset val="1"/>
      </rPr>
      <t xml:space="preserve">05 </t>
    </r>
    <r>
      <rPr>
        <b val="true"/>
        <sz val="9.5"/>
        <color rgb="FF1F3864"/>
        <rFont val="Noto Sans CJK SC"/>
        <family val="2"/>
      </rPr>
      <t xml:space="preserve">折舊攤提</t>
    </r>
  </si>
  <si>
    <t xml:space="preserve">算</t>
  </si>
  <si>
    <r>
      <rPr>
        <sz val="9"/>
        <color rgb="FF404050"/>
        <rFont val="Noto Sans CJK SC"/>
        <family val="2"/>
      </rPr>
      <t xml:space="preserve">依 </t>
    </r>
    <r>
      <rPr>
        <sz val="9"/>
        <color rgb="FF404050"/>
        <rFont val="微軟正黑體"/>
        <family val="0"/>
        <charset val="1"/>
      </rPr>
      <t xml:space="preserve">02 </t>
    </r>
    <r>
      <rPr>
        <sz val="9"/>
        <color rgb="FF404050"/>
        <rFont val="Noto Sans CJK SC"/>
        <family val="2"/>
      </rPr>
      <t xml:space="preserve">每一列的折舊類別與年限，逐年計算折舊；置換資產於置換年重新起算。依越南 </t>
    </r>
    <r>
      <rPr>
        <sz val="9"/>
        <color rgb="FF404050"/>
        <rFont val="微軟正黑體"/>
        <family val="0"/>
        <charset val="1"/>
      </rPr>
      <t xml:space="preserve">Circular 45/2013/TT-BTC</t>
    </r>
    <r>
      <rPr>
        <sz val="9"/>
        <color rgb="FF404050"/>
        <rFont val="Noto Sans CJK SC"/>
        <family val="2"/>
      </rPr>
      <t xml:space="preserve">。</t>
    </r>
  </si>
  <si>
    <t xml:space="preserve">⑥</t>
  </si>
  <si>
    <r>
      <rPr>
        <b val="true"/>
        <sz val="9.5"/>
        <color rgb="FF1F3864"/>
        <rFont val="微軟正黑體"/>
        <family val="0"/>
        <charset val="1"/>
      </rPr>
      <t xml:space="preserve">06 </t>
    </r>
    <r>
      <rPr>
        <b val="true"/>
        <sz val="9.5"/>
        <color rgb="FF1F3864"/>
        <rFont val="Noto Sans CJK SC"/>
        <family val="2"/>
      </rPr>
      <t xml:space="preserve">現金流</t>
    </r>
  </si>
  <si>
    <r>
      <rPr>
        <sz val="9"/>
        <color rgb="FF404050"/>
        <rFont val="Noto Sans CJK SC"/>
        <family val="2"/>
      </rPr>
      <t xml:space="preserve">營收→</t>
    </r>
    <r>
      <rPr>
        <sz val="9"/>
        <color rgb="FF404050"/>
        <rFont val="微軟正黑體"/>
        <family val="0"/>
        <charset val="1"/>
      </rPr>
      <t xml:space="preserve">EBITDA→</t>
    </r>
    <r>
      <rPr>
        <sz val="9"/>
        <color rgb="FF404050"/>
        <rFont val="Noto Sans CJK SC"/>
        <family val="2"/>
      </rPr>
      <t xml:space="preserve">折舊→</t>
    </r>
    <r>
      <rPr>
        <sz val="9"/>
        <color rgb="FF404050"/>
        <rFont val="微軟正黑體"/>
        <family val="0"/>
        <charset val="1"/>
      </rPr>
      <t xml:space="preserve">EBIT→</t>
    </r>
    <r>
      <rPr>
        <sz val="9"/>
        <color rgb="FF404050"/>
        <rFont val="Noto Sans CJK SC"/>
        <family val="2"/>
      </rPr>
      <t xml:space="preserve">所得稅（含免稅期與虧損扣抵）→</t>
    </r>
    <r>
      <rPr>
        <sz val="9"/>
        <color rgb="FF404050"/>
        <rFont val="微軟正黑體"/>
        <family val="0"/>
        <charset val="1"/>
      </rPr>
      <t xml:space="preserve">NOPAT→</t>
    </r>
    <r>
      <rPr>
        <sz val="9"/>
        <color rgb="FF404050"/>
        <rFont val="Noto Sans CJK SC"/>
        <family val="2"/>
      </rPr>
      <t xml:space="preserve">＋折舊−資本支出−營運資金＝自由現金流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</si>
  <si>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t xml:space="preserve">⑦</t>
  </si>
  <si>
    <r>
      <rPr>
        <b val="true"/>
        <sz val="9.5"/>
        <color rgb="FF1F3864"/>
        <rFont val="微軟正黑體"/>
        <family val="0"/>
        <charset val="1"/>
      </rPr>
      <t xml:space="preserve">07 </t>
    </r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</si>
  <si>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r>
      <rPr>
        <b val="true"/>
        <sz val="9.5"/>
        <color rgb="FF2E747A"/>
        <rFont val="Noto Sans CJK SC"/>
        <family val="2"/>
      </rPr>
      <t xml:space="preserve">填</t>
    </r>
    <r>
      <rPr>
        <b val="true"/>
        <sz val="9.5"/>
        <color rgb="FF2E747A"/>
        <rFont val="微軟正黑體"/>
        <family val="0"/>
        <charset val="1"/>
      </rPr>
      <t xml:space="preserve">/</t>
    </r>
    <r>
      <rPr>
        <b val="true"/>
        <sz val="9.5"/>
        <color rgb="FF2E747A"/>
        <rFont val="Noto Sans CJK SC"/>
        <family val="2"/>
      </rPr>
      <t xml:space="preserve">算</t>
    </r>
  </si>
  <si>
    <r>
      <rPr>
        <sz val="9"/>
        <color rgb="FF404050"/>
        <rFont val="微軟正黑體"/>
        <family val="0"/>
        <charset val="1"/>
      </rPr>
      <t xml:space="preserve">CAPM</t>
    </r>
    <r>
      <rPr>
        <sz val="9"/>
        <color rgb="FF404050"/>
        <rFont val="Noto Sans CJK SC"/>
        <family val="2"/>
      </rPr>
      <t xml:space="preserve">：無風險利率＋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成熟市場風險溢酬＋越南國家風險溢酬，再與債務成本加權。可切換為手動輸入。</t>
    </r>
  </si>
  <si>
    <t xml:space="preserve">⑧</t>
  </si>
  <si>
    <r>
      <rPr>
        <b val="true"/>
        <sz val="9.5"/>
        <color rgb="FF1F3864"/>
        <rFont val="微軟正黑體"/>
        <family val="0"/>
        <charset val="1"/>
      </rPr>
      <t xml:space="preserve">08 </t>
    </r>
    <r>
      <rPr>
        <b val="true"/>
        <sz val="9.5"/>
        <color rgb="FF1F3864"/>
        <rFont val="Noto Sans CJK SC"/>
        <family val="2"/>
      </rPr>
      <t xml:space="preserve">敏感度</t>
    </r>
  </si>
  <si>
    <r>
      <rPr>
        <sz val="9"/>
        <color rgb="FF404050"/>
        <rFont val="Noto Sans CJK SC"/>
        <family val="2"/>
      </rPr>
      <t xml:space="preserve">三情境（保守／基準／樂觀）、量價 </t>
    </r>
    <r>
      <rPr>
        <sz val="9"/>
        <color rgb="FF404050"/>
        <rFont val="微軟正黑體"/>
        <family val="0"/>
        <charset val="1"/>
      </rPr>
      <t xml:space="preserve">±30% </t>
    </r>
    <r>
      <rPr>
        <sz val="9"/>
        <color rgb="FF404050"/>
        <rFont val="Noto Sans CJK SC"/>
        <family val="2"/>
      </rPr>
      <t xml:space="preserve">矩陣、龍捲風圖（哪個變數最致命）、損益兩平點。</t>
    </r>
  </si>
  <si>
    <t xml:space="preserve">⑨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</si>
  <si>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使能型評估</t>
    </r>
  </si>
  <si>
    <r>
      <rPr>
        <sz val="9"/>
        <color rgb="FF404050"/>
        <rFont val="Noto Sans CJK SC"/>
        <family val="2"/>
      </rPr>
      <t xml:space="preserve">★ 僅使能型投資需要：自建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外租十年 </t>
    </r>
    <r>
      <rPr>
        <sz val="9"/>
        <color rgb="FF404050"/>
        <rFont val="微軟正黑體"/>
        <family val="0"/>
        <charset val="1"/>
      </rPr>
      <t xml:space="preserve">TCO </t>
    </r>
    <r>
      <rPr>
        <sz val="9"/>
        <color rgb="FF404050"/>
        <rFont val="Noto Sans CJK SC"/>
        <family val="2"/>
      </rPr>
      <t xml:space="preserve">比較、承載專案成本分攤、單位服務成本、選擇權價值。</t>
    </r>
  </si>
  <si>
    <t xml:space="preserve">⑩</t>
  </si>
  <si>
    <r>
      <rPr>
        <b val="true"/>
        <sz val="9.5"/>
        <color rgb="FF1F3864"/>
        <rFont val="微軟正黑體"/>
        <family val="0"/>
        <charset val="1"/>
      </rPr>
      <t xml:space="preserve">10 </t>
    </r>
    <r>
      <rPr>
        <b val="true"/>
        <sz val="9.5"/>
        <color rgb="FF1F3864"/>
        <rFont val="Noto Sans CJK SC"/>
        <family val="2"/>
      </rPr>
      <t xml:space="preserve">決策摘要</t>
    </r>
  </si>
  <si>
    <r>
      <rPr>
        <sz val="9"/>
        <color rgb="FF404050"/>
        <rFont val="Noto Sans CJK SC"/>
        <family val="2"/>
      </rPr>
      <t xml:space="preserve">一頁結論。★ 判讀規則依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選定的投資類別自動切換。</t>
    </r>
  </si>
  <si>
    <t xml:space="preserve">⑪</t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</si>
  <si>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假設來源</t>
    </r>
  </si>
  <si>
    <t xml:space="preserve">每一筆金額與比率的出處、狀態（實績／報價／法規／推測）、日期、負責人。</t>
  </si>
  <si>
    <t xml:space="preserve">四、本檔的六個設計重點</t>
  </si>
  <si>
    <t xml:space="preserve">▍三幣別一鍵切換</t>
  </si>
  <si>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分頁選「輸入幣別」與「顯示幣別」，全檔金額自動換算。預設輸入新台幣。另可切換顯示單位（元／千元／百萬元），避免越南盾位數過長。</t>
    </r>
  </si>
  <si>
    <r>
      <rPr>
        <b val="true"/>
        <sz val="10"/>
        <color rgb="FF2E747A"/>
        <rFont val="微軟正黑體"/>
        <family val="0"/>
        <charset val="1"/>
      </rPr>
      <t xml:space="preserve">▍BOQ </t>
    </r>
    <r>
      <rPr>
        <b val="true"/>
        <sz val="10"/>
        <color rgb="FF2E747A"/>
        <rFont val="Noto Sans CJK SC"/>
        <family val="2"/>
      </rPr>
      <t xml:space="preserve">級成本明細</t>
    </r>
  </si>
  <si>
    <r>
      <rPr>
        <sz val="9"/>
        <color rgb="FF404050"/>
        <rFont val="微軟正黑體"/>
        <family val="0"/>
        <charset val="1"/>
      </rPr>
      <t xml:space="preserve">02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用工程界正式的分項名稱與「數量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單價」結構，並區分進口／在地。★ 越南醫療服務免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，代表進項 </t>
    </r>
    <r>
      <rPr>
        <sz val="9"/>
        <color rgb="FF404050"/>
        <rFont val="微軟正黑體"/>
        <family val="0"/>
        <charset val="1"/>
      </rPr>
      <t xml:space="preserve">VAT </t>
    </r>
    <r>
      <rPr>
        <sz val="9"/>
        <color rgb="FF404050"/>
        <rFont val="Noto Sans CJK SC"/>
        <family val="2"/>
      </rPr>
      <t xml:space="preserve">不可扣抵、必須計入成本——本檔已內建此欄位，這是越南醫院財務模型最常見的重大低估。</t>
    </r>
  </si>
  <si>
    <t xml:space="preserve">▍折舊與越南稅務優惠</t>
  </si>
  <si>
    <r>
      <rPr>
        <sz val="9"/>
        <color rgb="FF404050"/>
        <rFont val="Noto Sans CJK SC"/>
        <family val="2"/>
      </rPr>
      <t xml:space="preserve">折舊依 </t>
    </r>
    <r>
      <rPr>
        <sz val="9"/>
        <color rgb="FF404050"/>
        <rFont val="微軟正黑體"/>
        <family val="0"/>
        <charset val="1"/>
      </rPr>
      <t xml:space="preserve">Circular 45/2013/TT-BTC </t>
    </r>
    <r>
      <rPr>
        <sz val="9"/>
        <color rgb="FF404050"/>
        <rFont val="Noto Sans CJK SC"/>
        <family val="2"/>
      </rPr>
      <t xml:space="preserve">的法定年限區間。稅率不再寫死：社會化醫療領域適用 </t>
    </r>
    <r>
      <rPr>
        <sz val="9"/>
        <color rgb="FF404050"/>
        <rFont val="微軟正黑體"/>
        <family val="0"/>
        <charset val="1"/>
      </rPr>
      <t xml:space="preserve">10% </t>
    </r>
    <r>
      <rPr>
        <sz val="9"/>
        <color rgb="FF404050"/>
        <rFont val="Noto Sans CJK SC"/>
        <family val="2"/>
      </rPr>
      <t xml:space="preserve">優惠稅率（</t>
    </r>
    <r>
      <rPr>
        <sz val="9"/>
        <color rgb="FF404050"/>
        <rFont val="微軟正黑體"/>
        <family val="0"/>
        <charset val="1"/>
      </rPr>
      <t xml:space="preserve">PwC</t>
    </r>
    <r>
      <rPr>
        <sz val="9"/>
        <color rgb="FF404050"/>
        <rFont val="Noto Sans CJK SC"/>
        <family val="2"/>
      </rPr>
      <t xml:space="preserve">：整個專案期），並內建免稅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年＋減半期，且免稅起算採「首次獲利年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營收第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年孰早」的法定規則。虧損可扣抵 </t>
    </r>
    <r>
      <rPr>
        <sz val="9"/>
        <color rgb="FF404050"/>
        <rFont val="微軟正黑體"/>
        <family val="0"/>
        <charset val="1"/>
      </rPr>
      <t xml:space="preserve">5 </t>
    </r>
    <r>
      <rPr>
        <sz val="9"/>
        <color rgb="FF404050"/>
        <rFont val="Noto Sans CJK SC"/>
        <family val="2"/>
      </rPr>
      <t xml:space="preserve">年。</t>
    </r>
  </si>
  <si>
    <t xml:space="preserve">▍營運資金</t>
  </si>
  <si>
    <r>
      <rPr>
        <sz val="9"/>
        <color rgb="FF404050"/>
        <rFont val="Noto Sans CJK SC"/>
        <family val="2"/>
      </rPr>
      <t xml:space="preserve">越南健保給付延遲是真實風險——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年胡志明市各醫院被懸置的健保結算近 </t>
    </r>
    <r>
      <rPr>
        <sz val="9"/>
        <color rgb="FF404050"/>
        <rFont val="微軟正黑體"/>
        <family val="0"/>
        <charset val="1"/>
      </rPr>
      <t xml:space="preserve">2,500 </t>
    </r>
    <r>
      <rPr>
        <sz val="9"/>
        <color rgb="FF404050"/>
        <rFont val="Noto Sans CJK SC"/>
        <family val="2"/>
      </rPr>
      <t xml:space="preserve">十億越盾。本檔把健保應收天數與自費應收天數分開設定，並計入現金流。</t>
    </r>
  </si>
  <si>
    <r>
      <rPr>
        <b val="true"/>
        <sz val="10"/>
        <color rgb="FF2E747A"/>
        <rFont val="微軟正黑體"/>
        <family val="0"/>
        <charset val="1"/>
      </rPr>
      <t xml:space="preserve">▍WACC </t>
    </r>
    <r>
      <rPr>
        <b val="true"/>
        <sz val="10"/>
        <color rgb="FF2E747A"/>
        <rFont val="Noto Sans CJK SC"/>
        <family val="2"/>
      </rPr>
      <t xml:space="preserve">與 </t>
    </r>
    <r>
      <rPr>
        <b val="true"/>
        <sz val="10"/>
        <color rgb="FF2E747A"/>
        <rFont val="微軟正黑體"/>
        <family val="0"/>
        <charset val="1"/>
      </rPr>
      <t xml:space="preserve">FCFF</t>
    </r>
  </si>
  <si>
    <r>
      <rPr>
        <sz val="9"/>
        <color rgb="FF404050"/>
        <rFont val="Noto Sans CJK SC"/>
        <family val="2"/>
      </rPr>
      <t xml:space="preserve">折現率不再是隨手填的數字：</t>
    </r>
    <r>
      <rPr>
        <sz val="9"/>
        <color rgb="FF404050"/>
        <rFont val="微軟正黑體"/>
        <family val="0"/>
        <charset val="1"/>
      </rPr>
      <t xml:space="preserve">07 </t>
    </r>
    <r>
      <rPr>
        <sz val="9"/>
        <color rgb="FF404050"/>
        <rFont val="Noto Sans CJK SC"/>
        <family val="2"/>
      </rPr>
      <t xml:space="preserve">分頁用 </t>
    </r>
    <r>
      <rPr>
        <sz val="9"/>
        <color rgb="FF404050"/>
        <rFont val="微軟正黑體"/>
        <family val="0"/>
        <charset val="1"/>
      </rPr>
      <t xml:space="preserve">CAPM </t>
    </r>
    <r>
      <rPr>
        <sz val="9"/>
        <color rgb="FF404050"/>
        <rFont val="Noto Sans CJK SC"/>
        <family val="2"/>
      </rPr>
      <t xml:space="preserve">推算（越南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年期公債殖利率＋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 </t>
    </r>
    <r>
      <rPr>
        <sz val="9"/>
        <color rgb="FF404050"/>
        <rFont val="微軟正黑體"/>
        <family val="0"/>
        <charset val="1"/>
      </rPr>
      <t xml:space="preserve">ERP</t>
    </r>
    <r>
      <rPr>
        <sz val="9"/>
        <color rgb="FF404050"/>
        <rFont val="Noto Sans CJK SC"/>
        <family val="2"/>
      </rPr>
      <t xml:space="preserve">＋越南國家風險溢酬）。現金流改用業界標準的無槓桿自由現金流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</si>
  <si>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r>
      <rPr>
        <b val="true"/>
        <sz val="10"/>
        <color rgb="FF2E747A"/>
        <rFont val="微軟正黑體"/>
        <family val="0"/>
        <charset val="1"/>
      </rPr>
      <t xml:space="preserve">▍MIRR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PI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ROIC</t>
    </r>
    <r>
      <rPr>
        <b val="true"/>
        <sz val="10"/>
        <color rgb="FF2E747A"/>
        <rFont val="Noto Sans CJK SC"/>
        <family val="2"/>
      </rPr>
      <t xml:space="preserve">、龍捲風</t>
    </r>
  </si>
  <si>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對「中途有大額置換投資」的現金流可能出現多重解，且隱含以 </t>
    </r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本身再投資的不合理假設——本檔改以 </t>
    </r>
    <r>
      <rPr>
        <sz val="9"/>
        <color rgb="FF404050"/>
        <rFont val="微軟正黑體"/>
        <family val="0"/>
        <charset val="1"/>
      </rPr>
      <t xml:space="preserve">MIRR </t>
    </r>
    <r>
      <rPr>
        <sz val="9"/>
        <color rgb="FF404050"/>
        <rFont val="Noto Sans CJK SC"/>
        <family val="2"/>
      </rPr>
      <t xml:space="preserve">為主要報酬指標。另加 </t>
    </r>
    <r>
      <rPr>
        <sz val="9"/>
        <color rgb="FF404050"/>
        <rFont val="微軟正黑體"/>
        <family val="0"/>
        <charset val="1"/>
      </rPr>
      <t xml:space="preserve">PI</t>
    </r>
    <r>
      <rPr>
        <sz val="9"/>
        <color rgb="FF404050"/>
        <rFont val="Noto Sans CJK SC"/>
        <family val="2"/>
      </rPr>
      <t xml:space="preserve">（資本受限時的排序指標）、</t>
    </r>
    <r>
      <rPr>
        <sz val="9"/>
        <color rgb="FF404050"/>
        <rFont val="微軟正黑體"/>
        <family val="0"/>
        <charset val="1"/>
      </rPr>
      <t xml:space="preserve">ROIC</t>
    </r>
    <r>
      <rPr>
        <sz val="9"/>
        <color rgb="FF404050"/>
        <rFont val="Noto Sans CJK SC"/>
        <family val="2"/>
      </rPr>
      <t xml:space="preserve">（與 </t>
    </r>
    <r>
      <rPr>
        <sz val="9"/>
        <color rgb="FF404050"/>
        <rFont val="微軟正黑體"/>
        <family val="0"/>
        <charset val="1"/>
      </rPr>
      <t xml:space="preserve">WACC </t>
    </r>
    <r>
      <rPr>
        <sz val="9"/>
        <color rgb="FF404050"/>
        <rFont val="Noto Sans CJK SC"/>
        <family val="2"/>
      </rPr>
      <t xml:space="preserve">比較）、龍捲風圖（找出最致命的變數）。</t>
    </r>
  </si>
  <si>
    <r>
      <rPr>
        <b val="true"/>
        <sz val="9.5"/>
        <color rgb="FFC00000"/>
        <rFont val="Noto Sans CJK SC"/>
        <family val="2"/>
      </rPr>
      <t xml:space="preserve">重要聲明：本檔內建的金額為「規劃用示意值」，用來讓模型立即跑出結果與示範用法，不是越南市場報價。正式評估前，每一筆金額都必須以廠商報價、越南在地工程估算或合約條件取代，並在 </t>
    </r>
    <r>
      <rPr>
        <b val="true"/>
        <sz val="9.5"/>
        <color rgb="FFC00000"/>
        <rFont val="微軟正黑體"/>
        <family val="0"/>
        <charset val="1"/>
      </rPr>
      <t xml:space="preserve">11 </t>
    </r>
    <r>
      <rPr>
        <b val="true"/>
        <sz val="9.5"/>
        <color rgb="FFC00000"/>
        <rFont val="Noto Sans CJK SC"/>
        <family val="2"/>
      </rPr>
      <t xml:space="preserve">分頁登錄出處。稅務優惠的實際適用（特別是社會化醫療 </t>
    </r>
    <r>
      <rPr>
        <b val="true"/>
        <sz val="9.5"/>
        <color rgb="FFC00000"/>
        <rFont val="微軟正黑體"/>
        <family val="0"/>
        <charset val="1"/>
      </rPr>
      <t xml:space="preserve">10% </t>
    </r>
    <r>
      <rPr>
        <b val="true"/>
        <sz val="9.5"/>
        <color rgb="FFC00000"/>
        <rFont val="Noto Sans CJK SC"/>
        <family val="2"/>
      </rPr>
      <t xml:space="preserve">稅率的資格認定）須由越南在地稅務顧問就個案出具確認。</t>
    </r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</si>
  <si>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專案設定｜</t>
    </r>
    <r>
      <rPr>
        <b val="true"/>
        <sz val="15"/>
        <color rgb="FFFFFFFF"/>
        <rFont val="微軟正黑體"/>
        <family val="0"/>
        <charset val="1"/>
      </rPr>
      <t xml:space="preserve">Project Setup</t>
    </r>
  </si>
  <si>
    <t xml:space="preserve">黃底＝請填寫或用下拉選擇；藍字＝公式自動算，請勿覆蓋。本頁的設定會驅動後面所有分頁。</t>
  </si>
  <si>
    <t xml:space="preserve">（類別查表區，可隱藏）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</si>
  <si>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專案識別</t>
    </r>
  </si>
  <si>
    <r>
      <rPr>
        <sz val="8.5"/>
        <color rgb="FF000000"/>
        <rFont val="微軟正黑體"/>
        <family val="0"/>
        <charset val="1"/>
      </rPr>
      <t xml:space="preserve">A </t>
    </r>
    <r>
      <rPr>
        <sz val="8.5"/>
        <color rgb="FF000000"/>
        <rFont val="Noto Sans CJK SC"/>
        <family val="2"/>
      </rPr>
      <t xml:space="preserve">營收型投資 </t>
    </r>
    <r>
      <rPr>
        <sz val="8.5"/>
        <color rgb="FF000000"/>
        <rFont val="微軟正黑體"/>
        <family val="0"/>
        <charset val="1"/>
      </rPr>
      <t xml:space="preserve">Revenue-generating</t>
    </r>
  </si>
  <si>
    <r>
      <rPr>
        <sz val="8.5"/>
        <color rgb="FF000000"/>
        <rFont val="Noto Sans CJK SC"/>
        <family val="2"/>
      </rPr>
      <t xml:space="preserve">本身直接向外部付款者收費，自己就能產生現金流。對應 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四分類的 </t>
    </r>
    <r>
      <rPr>
        <sz val="8.5"/>
        <color rgb="FF000000"/>
        <rFont val="微軟正黑體"/>
        <family val="0"/>
        <charset val="1"/>
      </rPr>
      <t xml:space="preserve">Transactional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</t>
    </r>
    <r>
      <rPr>
        <sz val="8.5"/>
        <color rgb="FF000000"/>
        <rFont val="Noto Sans CJK SC"/>
        <family val="2"/>
      </rPr>
      <t xml:space="preserve">。</t>
    </r>
  </si>
  <si>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IRR ≥ WACC</t>
    </r>
    <r>
      <rPr>
        <sz val="8.5"/>
        <color rgb="FF000000"/>
        <rFont val="Noto Sans CJK SC"/>
        <family val="2"/>
      </rPr>
      <t xml:space="preserve">、折現回收期在合約年限內</t>
    </r>
  </si>
  <si>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IRR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PI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</si>
  <si>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CT </t>
    </r>
    <r>
      <rPr>
        <sz val="8.5"/>
        <color rgb="FF000000"/>
        <rFont val="Noto Sans CJK SC"/>
        <family val="2"/>
      </rPr>
      <t xml:space="preserve">影像中心、檢驗中心、健檢中心——有給付碼或自費市場，「做一件收一件」。</t>
    </r>
  </si>
  <si>
    <t xml:space="preserve">NPV</t>
  </si>
  <si>
    <r>
      <rPr>
        <b val="true"/>
        <sz val="10"/>
        <color rgb="FF1F3864"/>
        <rFont val="Noto Sans CJK SC"/>
        <family val="2"/>
      </rPr>
      <t xml:space="preserve">專案名稱 </t>
    </r>
    <r>
      <rPr>
        <b val="true"/>
        <sz val="10"/>
        <color rgb="FF1F3864"/>
        <rFont val="微軟正黑體"/>
        <family val="0"/>
        <charset val="1"/>
      </rPr>
      <t xml:space="preserve">Project name</t>
    </r>
  </si>
  <si>
    <r>
      <rPr>
        <b val="true"/>
        <sz val="10.5"/>
        <color rgb="FF000000"/>
        <rFont val="微軟正黑體"/>
        <family val="0"/>
        <charset val="1"/>
      </rPr>
      <t xml:space="preserve">B</t>
    </r>
    <r>
      <rPr>
        <b val="true"/>
        <sz val="10.5"/>
        <color rgb="FF000000"/>
        <rFont val="Noto Sans CJK SC"/>
        <family val="2"/>
      </rPr>
      <t xml:space="preserve">醫院 </t>
    </r>
    <r>
      <rPr>
        <b val="true"/>
        <sz val="10.5"/>
        <color rgb="FF000000"/>
        <rFont val="微軟正黑體"/>
        <family val="0"/>
        <charset val="1"/>
      </rPr>
      <t xml:space="preserve">500</t>
    </r>
    <r>
      <rPr>
        <b val="true"/>
        <sz val="10.5"/>
        <color rgb="FF000000"/>
        <rFont val="Noto Sans CJK SC"/>
        <family val="2"/>
      </rPr>
      <t xml:space="preserve">床 </t>
    </r>
    <r>
      <rPr>
        <b val="true"/>
        <sz val="10.5"/>
        <color rgb="FF000000"/>
        <rFont val="微軟正黑體"/>
        <family val="0"/>
        <charset val="1"/>
      </rPr>
      <t xml:space="preserve">HIS</t>
    </r>
    <r>
      <rPr>
        <b val="true"/>
        <sz val="10.5"/>
        <color rgb="FF000000"/>
        <rFont val="Noto Sans CJK SC"/>
        <family val="2"/>
      </rPr>
      <t xml:space="preserve">／</t>
    </r>
    <r>
      <rPr>
        <b val="true"/>
        <sz val="10.5"/>
        <color rgb="FF000000"/>
        <rFont val="微軟正黑體"/>
        <family val="0"/>
        <charset val="1"/>
      </rPr>
      <t xml:space="preserve">EMR </t>
    </r>
    <r>
      <rPr>
        <b val="true"/>
        <sz val="10.5"/>
        <color rgb="FF000000"/>
        <rFont val="Noto Sans CJK SC"/>
        <family val="2"/>
      </rPr>
      <t xml:space="preserve">以租代購 一期（模擬案）</t>
    </r>
  </si>
  <si>
    <r>
      <rPr>
        <sz val="9"/>
        <color rgb="FF606060"/>
        <rFont val="Noto Sans CJK SC"/>
        <family val="2"/>
      </rPr>
      <t xml:space="preserve">建議格式：醫院＋標的＋期別，例「</t>
    </r>
    <r>
      <rPr>
        <sz val="9"/>
        <color rgb="FF606060"/>
        <rFont val="微軟正黑體"/>
        <family val="0"/>
        <charset val="1"/>
      </rPr>
      <t xml:space="preserve">A</t>
    </r>
    <r>
      <rPr>
        <sz val="9"/>
        <color rgb="FF606060"/>
        <rFont val="Noto Sans CJK SC"/>
        <family val="2"/>
      </rPr>
      <t xml:space="preserve">醫院 </t>
    </r>
    <r>
      <rPr>
        <sz val="9"/>
        <color rgb="FF606060"/>
        <rFont val="微軟正黑體"/>
        <family val="0"/>
        <charset val="1"/>
      </rPr>
      <t xml:space="preserve">128</t>
    </r>
    <r>
      <rPr>
        <sz val="9"/>
        <color rgb="FF606060"/>
        <rFont val="Noto Sans CJK SC"/>
        <family val="2"/>
      </rPr>
      <t xml:space="preserve">排</t>
    </r>
    <r>
      <rPr>
        <sz val="9"/>
        <color rgb="FF606060"/>
        <rFont val="微軟正黑體"/>
        <family val="0"/>
        <charset val="1"/>
      </rPr>
      <t xml:space="preserve">CT</t>
    </r>
    <r>
      <rPr>
        <sz val="9"/>
        <color rgb="FF606060"/>
        <rFont val="Noto Sans CJK SC"/>
        <family val="2"/>
      </rPr>
      <t xml:space="preserve">影像中心 一期」</t>
    </r>
  </si>
  <si>
    <r>
      <rPr>
        <sz val="8.5"/>
        <color rgb="FF000000"/>
        <rFont val="微軟正黑體"/>
        <family val="0"/>
        <charset val="1"/>
      </rPr>
      <t xml:space="preserve">B </t>
    </r>
    <r>
      <rPr>
        <sz val="8.5"/>
        <color rgb="FF000000"/>
        <rFont val="Noto Sans CJK SC"/>
        <family val="2"/>
      </rPr>
      <t xml:space="preserve">使能型投資 </t>
    </r>
    <r>
      <rPr>
        <sz val="8.5"/>
        <color rgb="FF000000"/>
        <rFont val="微軟正黑體"/>
        <family val="0"/>
        <charset val="1"/>
      </rPr>
      <t xml:space="preserve">Enabling / Infrastructure</t>
    </r>
  </si>
  <si>
    <r>
      <rPr>
        <sz val="8.5"/>
        <color rgb="FF000000"/>
        <rFont val="Noto Sans CJK SC"/>
        <family val="2"/>
      </rPr>
      <t xml:space="preserve">本身不直接收費，而是讓其他專案得以成立、或降低整體營運成本。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四分類佔比最高（</t>
    </r>
    <r>
      <rPr>
        <sz val="8.5"/>
        <color rgb="FF000000"/>
        <rFont val="微軟正黑體"/>
        <family val="0"/>
        <charset val="1"/>
      </rPr>
      <t xml:space="preserve">46%</t>
    </r>
    <r>
      <rPr>
        <sz val="8.5"/>
        <color rgb="FF000000"/>
        <rFont val="Noto Sans CJK SC"/>
        <family val="2"/>
      </rPr>
      <t xml:space="preserve">）、也是 </t>
    </r>
    <r>
      <rPr>
        <sz val="8.5"/>
        <color rgb="FF000000"/>
        <rFont val="微軟正黑體"/>
        <family val="0"/>
        <charset val="1"/>
      </rPr>
      <t xml:space="preserve">MIT Sloan </t>
    </r>
    <r>
      <rPr>
        <sz val="8.5"/>
        <color rgb="FF000000"/>
        <rFont val="Noto Sans CJK SC"/>
        <family val="2"/>
      </rPr>
      <t xml:space="preserve">明指「事前最難做成本正當化」的一類。</t>
    </r>
  </si>
  <si>
    <r>
      <rPr>
        <sz val="8.5"/>
        <color rgb="FF000000"/>
        <rFont val="微軟正黑體"/>
        <family val="0"/>
        <charset val="1"/>
      </rPr>
      <t xml:space="preserve">ΔTCO</t>
    </r>
    <r>
      <rPr>
        <sz val="8.5"/>
        <color rgb="FF000000"/>
        <rFont val="Noto Sans CJK SC"/>
        <family val="2"/>
      </rPr>
      <t xml:space="preserve">（不做 </t>
    </r>
    <r>
      <rPr>
        <sz val="8.5"/>
        <color rgb="FF000000"/>
        <rFont val="微軟正黑體"/>
        <family val="0"/>
        <charset val="1"/>
      </rPr>
      <t xml:space="preserve">vs </t>
    </r>
    <r>
      <rPr>
        <sz val="8.5"/>
        <color rgb="FF000000"/>
        <rFont val="Noto Sans CJK SC"/>
        <family val="2"/>
      </rPr>
      <t xml:space="preserve">做）現值 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；服務單位成本低於外購市價；承載專案數 ≥ </t>
    </r>
    <r>
      <rPr>
        <sz val="8.5"/>
        <color rgb="FF000000"/>
        <rFont val="微軟正黑體"/>
        <family val="0"/>
        <charset val="1"/>
      </rPr>
      <t xml:space="preserve">2</t>
    </r>
  </si>
  <si>
    <r>
      <rPr>
        <sz val="8.5"/>
        <color rgb="FF000000"/>
        <rFont val="微軟正黑體"/>
        <family val="0"/>
        <charset val="1"/>
      </rPr>
      <t xml:space="preserve">ΔTCO </t>
    </r>
    <r>
      <rPr>
        <sz val="8.5"/>
        <color rgb="FF000000"/>
        <rFont val="Noto Sans CJK SC"/>
        <family val="2"/>
      </rPr>
      <t xml:space="preserve">現值／單位服務成本／選擇權價值</t>
    </r>
  </si>
  <si>
    <r>
      <rPr>
        <sz val="8.5"/>
        <color rgb="FF000000"/>
        <rFont val="Noto Sans CJK SC"/>
        <family val="2"/>
      </rPr>
      <t xml:space="preserve">例：院內 </t>
    </r>
    <r>
      <rPr>
        <sz val="8.5"/>
        <color rgb="FF000000"/>
        <rFont val="微軟正黑體"/>
        <family val="0"/>
        <charset val="1"/>
      </rPr>
      <t xml:space="preserve">IDC </t>
    </r>
    <r>
      <rPr>
        <sz val="8.5"/>
        <color rgb="FF000000"/>
        <rFont val="Noto Sans CJK SC"/>
        <family val="2"/>
      </rPr>
      <t xml:space="preserve">機房、院區網路、資料平台、整合中介層。★ 用單獨 </t>
    </r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評估必然為負——那是尺用錯了，不是案子不好。</t>
    </r>
  </si>
  <si>
    <t xml:space="preserve">DTCO</t>
  </si>
  <si>
    <r>
      <rPr>
        <b val="true"/>
        <sz val="10"/>
        <color rgb="FF1F3864"/>
        <rFont val="Noto Sans CJK SC"/>
        <family val="2"/>
      </rPr>
      <t xml:space="preserve">對應能力 </t>
    </r>
    <r>
      <rPr>
        <b val="true"/>
        <sz val="10"/>
        <color rgb="FF1F3864"/>
        <rFont val="微軟正黑體"/>
        <family val="0"/>
        <charset val="1"/>
      </rPr>
      <t xml:space="preserve">CAP ID</t>
    </r>
  </si>
  <si>
    <r>
      <rPr>
        <b val="true"/>
        <sz val="10.5"/>
        <color rgb="FF000000"/>
        <rFont val="微軟正黑體"/>
        <family val="0"/>
        <charset val="1"/>
      </rPr>
      <t xml:space="preserve">CAP-033 HIS</t>
    </r>
    <r>
      <rPr>
        <b val="true"/>
        <sz val="10.5"/>
        <color rgb="FF000000"/>
        <rFont val="Noto Sans CJK SC"/>
        <family val="2"/>
      </rPr>
      <t xml:space="preserve">／</t>
    </r>
    <r>
      <rPr>
        <b val="true"/>
        <sz val="10.5"/>
        <color rgb="FF000000"/>
        <rFont val="微軟正黑體"/>
        <family val="0"/>
        <charset val="1"/>
      </rPr>
      <t xml:space="preserve">EMR</t>
    </r>
    <r>
      <rPr>
        <b val="true"/>
        <sz val="10.5"/>
        <color rgb="FF000000"/>
        <rFont val="Noto Sans CJK SC"/>
        <family val="2"/>
      </rPr>
      <t xml:space="preserve">核心平台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</si>
  <si>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03 </t>
    </r>
    <r>
      <rPr>
        <sz val="9"/>
        <color rgb="FF606060"/>
        <rFont val="Noto Sans CJK SC"/>
        <family val="2"/>
      </rPr>
      <t xml:space="preserve">能力總表的編號，讓本案接得回盤點結果</t>
    </r>
  </si>
  <si>
    <r>
      <rPr>
        <sz val="8.5"/>
        <color rgb="FF000000"/>
        <rFont val="微軟正黑體"/>
        <family val="0"/>
        <charset val="1"/>
      </rPr>
      <t xml:space="preserve">C </t>
    </r>
    <r>
      <rPr>
        <sz val="8.5"/>
        <color rgb="FF000000"/>
        <rFont val="Noto Sans CJK SC"/>
        <family val="2"/>
      </rPr>
      <t xml:space="preserve">法規強制型 </t>
    </r>
    <r>
      <rPr>
        <sz val="8.5"/>
        <color rgb="FF000000"/>
        <rFont val="微軟正黑體"/>
        <family val="0"/>
        <charset val="1"/>
      </rPr>
      <t xml:space="preserve">Mandatory / Compliance</t>
    </r>
  </si>
  <si>
    <r>
      <rPr>
        <sz val="8.5"/>
        <color rgb="FF000000"/>
        <rFont val="Noto Sans CJK SC"/>
        <family val="2"/>
      </rPr>
      <t xml:space="preserve">法規或評鑑要求，不做就不能營業。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資本預算明列此類「通常不產生營收、繞過傳統成本效益分析」。</t>
    </r>
  </si>
  <si>
    <r>
      <rPr>
        <sz val="8.5"/>
        <color rgb="FF000000"/>
        <rFont val="Noto Sans CJK SC"/>
        <family val="2"/>
      </rPr>
      <t xml:space="preserve">例：電子病歷分級驗收、個資法 </t>
    </r>
    <r>
      <rPr>
        <sz val="8.5"/>
        <color rgb="FF000000"/>
        <rFont val="微軟正黑體"/>
        <family val="0"/>
        <charset val="1"/>
      </rPr>
      <t xml:space="preserve">PDPL 91/2025 </t>
    </r>
    <r>
      <rPr>
        <sz val="8.5"/>
        <color rgb="FF000000"/>
        <rFont val="Noto Sans CJK SC"/>
        <family val="2"/>
      </rPr>
      <t xml:space="preserve">合規、資安等級保護、輻射安全許可。</t>
    </r>
  </si>
  <si>
    <t xml:space="preserve">MINCOST</t>
  </si>
  <si>
    <r>
      <rPr>
        <b val="true"/>
        <sz val="10"/>
        <color rgb="FF1F3864"/>
        <rFont val="Noto Sans CJK SC"/>
        <family val="2"/>
      </rPr>
      <t xml:space="preserve">主責夥伴 </t>
    </r>
    <r>
      <rPr>
        <b val="true"/>
        <sz val="10"/>
        <color rgb="FF1F3864"/>
        <rFont val="微軟正黑體"/>
        <family val="0"/>
        <charset val="1"/>
      </rPr>
      <t xml:space="preserve">Lead partner</t>
    </r>
  </si>
  <si>
    <r>
      <rPr>
        <b val="true"/>
        <sz val="10.5"/>
        <color rgb="FF000000"/>
        <rFont val="微軟正黑體"/>
        <family val="0"/>
        <charset val="1"/>
      </rPr>
      <t xml:space="preserve">P-007 </t>
    </r>
    <r>
      <rPr>
        <b val="true"/>
        <sz val="10.5"/>
        <color rgb="FF000000"/>
        <rFont val="Noto Sans CJK SC"/>
        <family val="2"/>
      </rPr>
      <t xml:space="preserve">醫療資訊整合商（＋群晶科技：承載環境）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</si>
  <si>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夥伴拼圖</t>
    </r>
  </si>
  <si>
    <r>
      <rPr>
        <sz val="8.5"/>
        <color rgb="FF000000"/>
        <rFont val="微軟正黑體"/>
        <family val="0"/>
        <charset val="1"/>
      </rPr>
      <t xml:space="preserve">D </t>
    </r>
    <r>
      <rPr>
        <sz val="8.5"/>
        <color rgb="FF000000"/>
        <rFont val="Noto Sans CJK SC"/>
        <family val="2"/>
      </rPr>
      <t xml:space="preserve">降本型投資 </t>
    </r>
    <r>
      <rPr>
        <sz val="8.5"/>
        <color rgb="FF000000"/>
        <rFont val="微軟正黑體"/>
        <family val="0"/>
        <charset val="1"/>
      </rPr>
      <t xml:space="preserve">Cost-reduction</t>
    </r>
  </si>
  <si>
    <r>
      <rPr>
        <sz val="8.5"/>
        <color rgb="FF000000"/>
        <rFont val="Noto Sans CJK SC"/>
        <family val="2"/>
      </rPr>
      <t xml:space="preserve">成本節省 </t>
    </r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／回收期</t>
    </r>
  </si>
  <si>
    <t xml:space="preserve">SAVING</t>
  </si>
  <si>
    <r>
      <rPr>
        <b val="true"/>
        <sz val="10"/>
        <color rgb="FF1F3864"/>
        <rFont val="Noto Sans CJK SC"/>
        <family val="2"/>
      </rPr>
      <t xml:space="preserve">情境範本 </t>
    </r>
    <r>
      <rPr>
        <b val="true"/>
        <sz val="10"/>
        <color rgb="FF1F3864"/>
        <rFont val="微軟正黑體"/>
        <family val="0"/>
        <charset val="1"/>
      </rPr>
      <t xml:space="preserve">Template</t>
    </r>
  </si>
  <si>
    <r>
      <rPr>
        <b val="true"/>
        <sz val="10.5"/>
        <color rgb="FF000000"/>
        <rFont val="微軟正黑體"/>
        <family val="0"/>
        <charset val="1"/>
      </rPr>
      <t xml:space="preserve">HIS </t>
    </r>
    <r>
      <rPr>
        <b val="true"/>
        <sz val="10.5"/>
        <color rgb="FF000000"/>
        <rFont val="Noto Sans CJK SC"/>
        <family val="2"/>
      </rPr>
      <t xml:space="preserve">醫療資訊系統</t>
    </r>
  </si>
  <si>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影像設備／</t>
    </r>
    <r>
      <rPr>
        <sz val="9"/>
        <color rgb="FF606060"/>
        <rFont val="微軟正黑體"/>
        <family val="0"/>
        <charset val="1"/>
      </rPr>
      <t xml:space="preserve">IDC </t>
    </r>
    <r>
      <rPr>
        <sz val="9"/>
        <color rgb="FF606060"/>
        <rFont val="Noto Sans CJK SC"/>
        <family val="2"/>
      </rPr>
      <t xml:space="preserve">機房／</t>
    </r>
    <r>
      <rPr>
        <sz val="9"/>
        <color rgb="FF606060"/>
        <rFont val="微軟正黑體"/>
        <family val="0"/>
        <charset val="1"/>
      </rPr>
      <t xml:space="preserve">HIS </t>
    </r>
    <r>
      <rPr>
        <sz val="9"/>
        <color rgb="FF606060"/>
        <rFont val="Noto Sans CJK SC"/>
        <family val="2"/>
      </rPr>
      <t xml:space="preserve">醫療資訊系統／自訂</t>
    </r>
  </si>
  <si>
    <r>
      <rPr>
        <sz val="8.5"/>
        <color rgb="FF000000"/>
        <rFont val="微軟正黑體"/>
        <family val="0"/>
        <charset val="1"/>
      </rPr>
      <t xml:space="preserve">E </t>
    </r>
    <r>
      <rPr>
        <sz val="8.5"/>
        <color rgb="FF000000"/>
        <rFont val="Noto Sans CJK SC"/>
        <family val="2"/>
      </rPr>
      <t xml:space="preserve">汰換維持型 </t>
    </r>
    <r>
      <rPr>
        <sz val="8.5"/>
        <color rgb="FF000000"/>
        <rFont val="微軟正黑體"/>
        <family val="0"/>
        <charset val="1"/>
      </rPr>
      <t xml:space="preserve">Replacement / Maintenance</t>
    </r>
  </si>
  <si>
    <r>
      <rPr>
        <sz val="8.5"/>
        <color rgb="FF000000"/>
        <rFont val="Noto Sans CJK SC"/>
        <family val="2"/>
      </rPr>
      <t xml:space="preserve">維持既有營運不中斷。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分類指出此類「通常不做詳細分析」，因為不做就停擺。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</si>
  <si>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UPS </t>
    </r>
    <r>
      <rPr>
        <sz val="8.5"/>
        <color rgb="FF000000"/>
        <rFont val="Noto Sans CJK SC"/>
        <family val="2"/>
      </rPr>
      <t xml:space="preserve">電池更換、伺服器汰換、球管更換、到期授權續約。</t>
    </r>
  </si>
  <si>
    <t xml:space="preserve">LCC</t>
  </si>
  <si>
    <r>
      <rPr>
        <b val="true"/>
        <sz val="10"/>
        <color rgb="FF1F3864"/>
        <rFont val="Noto Sans CJK SC"/>
        <family val="2"/>
      </rPr>
      <t xml:space="preserve">★ 投資類別 </t>
    </r>
    <r>
      <rPr>
        <b val="true"/>
        <sz val="10"/>
        <color rgb="FF1F3864"/>
        <rFont val="微軟正黑體"/>
        <family val="0"/>
        <charset val="1"/>
      </rPr>
      <t xml:space="preserve">Investment category</t>
    </r>
  </si>
  <si>
    <r>
      <rPr>
        <b val="true"/>
        <sz val="10.5"/>
        <color rgb="FF000000"/>
        <rFont val="微軟正黑體"/>
        <family val="0"/>
        <charset val="1"/>
      </rPr>
      <t xml:space="preserve">F </t>
    </r>
    <r>
      <rPr>
        <b val="true"/>
        <sz val="10.5"/>
        <color rgb="FF000000"/>
        <rFont val="Noto Sans CJK SC"/>
        <family val="2"/>
      </rPr>
      <t xml:space="preserve">策略布局型 </t>
    </r>
    <r>
      <rPr>
        <b val="true"/>
        <sz val="10.5"/>
        <color rgb="FF000000"/>
        <rFont val="微軟正黑體"/>
        <family val="0"/>
        <charset val="1"/>
      </rPr>
      <t xml:space="preserve">Strategic / Option</t>
    </r>
  </si>
  <si>
    <r>
      <rPr>
        <sz val="9"/>
        <color rgb="FF606060"/>
        <rFont val="Noto Sans CJK SC"/>
        <family val="2"/>
      </rPr>
      <t xml:space="preserve">★ 最重要的一格。不同類別在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決策摘要會套用不同的判讀規則——用錯尺就會做出錯的決定。</t>
    </r>
  </si>
  <si>
    <r>
      <rPr>
        <sz val="8.5"/>
        <color rgb="FF000000"/>
        <rFont val="微軟正黑體"/>
        <family val="0"/>
        <charset val="1"/>
      </rPr>
      <t xml:space="preserve">F </t>
    </r>
    <r>
      <rPr>
        <sz val="8.5"/>
        <color rgb="FF000000"/>
        <rFont val="Noto Sans CJK SC"/>
        <family val="2"/>
      </rPr>
      <t xml:space="preserve">策略布局型 </t>
    </r>
    <r>
      <rPr>
        <sz val="8.5"/>
        <color rgb="FF000000"/>
        <rFont val="微軟正黑體"/>
        <family val="0"/>
        <charset val="1"/>
      </rPr>
      <t xml:space="preserve">Strategic / Option</t>
    </r>
  </si>
  <si>
    <r>
      <rPr>
        <sz val="8.5"/>
        <color rgb="FF000000"/>
        <rFont val="Noto Sans CJK SC"/>
        <family val="2"/>
      </rPr>
      <t xml:space="preserve">為了取得未來機會、參考案例或市場位置。現金流高度不確定，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指出需「超越傳統資本預算」的方法。</t>
    </r>
  </si>
  <si>
    <r>
      <rPr>
        <sz val="8.5"/>
        <color rgb="FF000000"/>
        <rFont val="Noto Sans CJK SC"/>
        <family val="2"/>
      </rPr>
      <t xml:space="preserve">分階段關卡（</t>
    </r>
    <r>
      <rPr>
        <sz val="8.5"/>
        <color rgb="FF000000"/>
        <rFont val="微軟正黑體"/>
        <family val="0"/>
        <charset val="1"/>
      </rPr>
      <t xml:space="preserve">stage-gate</t>
    </r>
    <r>
      <rPr>
        <sz val="8.5"/>
        <color rgb="FF000000"/>
        <rFont val="Noto Sans CJK SC"/>
        <family val="2"/>
      </rPr>
      <t xml:space="preserve">）：每階段設可量測的續投條件，而非一次核定全額</t>
    </r>
  </si>
  <si>
    <r>
      <rPr>
        <sz val="8.5"/>
        <color rgb="FF000000"/>
        <rFont val="Noto Sans CJK SC"/>
        <family val="2"/>
      </rPr>
      <t xml:space="preserve">例：第一家旗艦醫院（取得 </t>
    </r>
    <r>
      <rPr>
        <sz val="8.5"/>
        <color rgb="FF000000"/>
        <rFont val="微軟正黑體"/>
        <family val="0"/>
        <charset val="1"/>
      </rPr>
      <t xml:space="preserve">reference site</t>
    </r>
    <r>
      <rPr>
        <sz val="8.5"/>
        <color rgb="FF000000"/>
        <rFont val="Noto Sans CJK SC"/>
        <family val="2"/>
      </rPr>
      <t xml:space="preserve">）、新國家市場試點、</t>
    </r>
    <r>
      <rPr>
        <sz val="8.5"/>
        <color rgb="FF000000"/>
        <rFont val="微軟正黑體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產品共同開發。</t>
    </r>
  </si>
  <si>
    <t xml:space="preserve">OPTION</t>
  </si>
  <si>
    <t xml:space="preserve">　└ 類別定義</t>
  </si>
  <si>
    <t xml:space="preserve">　└ 通過條件</t>
  </si>
  <si>
    <t xml:space="preserve">　└ 主要評估指標</t>
  </si>
  <si>
    <t xml:space="preserve">　└ 判斷精靈比對</t>
  </si>
  <si>
    <r>
      <rPr>
        <b val="true"/>
        <sz val="12"/>
        <color rgb="FFBF8F00"/>
        <rFont val="微軟正黑體"/>
        <family val="0"/>
        <charset val="1"/>
      </rPr>
      <t xml:space="preserve">B. </t>
    </r>
    <r>
      <rPr>
        <b val="true"/>
        <sz val="12"/>
        <color rgb="FFBF8F00"/>
        <rFont val="Noto Sans CJK SC"/>
        <family val="2"/>
      </rPr>
      <t xml:space="preserve">幣別與匯率（預設輸入新台幣；顯示幣別可一鍵切換）</t>
    </r>
  </si>
  <si>
    <r>
      <rPr>
        <b val="true"/>
        <sz val="10"/>
        <color rgb="FF1F3864"/>
        <rFont val="Noto Sans CJK SC"/>
        <family val="2"/>
      </rPr>
      <t xml:space="preserve">輸入幣別 </t>
    </r>
    <r>
      <rPr>
        <b val="true"/>
        <sz val="10"/>
        <color rgb="FF1F3864"/>
        <rFont val="微軟正黑體"/>
        <family val="0"/>
        <charset val="1"/>
      </rPr>
      <t xml:space="preserve">Input currency</t>
    </r>
  </si>
  <si>
    <r>
      <rPr>
        <b val="true"/>
        <sz val="10.5"/>
        <color rgb="FF000000"/>
        <rFont val="微軟正黑體"/>
        <family val="0"/>
        <charset val="1"/>
      </rPr>
      <t xml:space="preserve">TWD </t>
    </r>
    <r>
      <rPr>
        <b val="true"/>
        <sz val="10.5"/>
        <color rgb="FF000000"/>
        <rFont val="Noto Sans CJK SC"/>
        <family val="2"/>
      </rPr>
      <t xml:space="preserve">新台幣</t>
    </r>
  </si>
  <si>
    <r>
      <rPr>
        <sz val="9"/>
        <color rgb="FF606060"/>
        <rFont val="微軟正黑體"/>
        <family val="0"/>
        <charset val="1"/>
      </rPr>
      <t xml:space="preserve">★ 02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03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分頁「單價」欄位是用這個幣別填寫的。改這一格不會換算既有數字，只改變你打算用什麼幣別填。</t>
    </r>
  </si>
  <si>
    <r>
      <rPr>
        <b val="true"/>
        <sz val="10"/>
        <color rgb="FF1F3864"/>
        <rFont val="Noto Sans CJK SC"/>
        <family val="2"/>
      </rPr>
      <t xml:space="preserve">顯示幣別 </t>
    </r>
    <r>
      <rPr>
        <b val="true"/>
        <sz val="10"/>
        <color rgb="FF1F3864"/>
        <rFont val="微軟正黑體"/>
        <family val="0"/>
        <charset val="1"/>
      </rPr>
      <t xml:space="preserve">Display currency</t>
    </r>
  </si>
  <si>
    <t xml:space="preserve">★ 一鍵切換：改這一格，全檔的金額顯示會自動換算。輸入的數字不動。</t>
  </si>
  <si>
    <r>
      <rPr>
        <b val="true"/>
        <sz val="10"/>
        <color rgb="FF1F3864"/>
        <rFont val="Noto Sans CJK SC"/>
        <family val="2"/>
      </rPr>
      <t xml:space="preserve">顯示單位 </t>
    </r>
    <r>
      <rPr>
        <b val="true"/>
        <sz val="10"/>
        <color rgb="FF1F3864"/>
        <rFont val="微軟正黑體"/>
        <family val="0"/>
        <charset val="1"/>
      </rPr>
      <t xml:space="preserve">Display unit</t>
    </r>
  </si>
  <si>
    <r>
      <rPr>
        <b val="true"/>
        <sz val="10.5"/>
        <color rgb="FF000000"/>
        <rFont val="Noto Sans CJK SC"/>
        <family val="2"/>
      </rPr>
      <t xml:space="preserve">千元 </t>
    </r>
    <r>
      <rPr>
        <b val="true"/>
        <sz val="10.5"/>
        <color rgb="FF000000"/>
        <rFont val="微軟正黑體"/>
        <family val="0"/>
        <charset val="1"/>
      </rPr>
      <t xml:space="preserve">Thousand</t>
    </r>
  </si>
  <si>
    <r>
      <rPr>
        <sz val="9"/>
        <color rgb="FF606060"/>
        <rFont val="Noto Sans CJK SC"/>
        <family val="2"/>
      </rPr>
      <t xml:space="preserve">越南盾位數很長，建議切到「百萬 </t>
    </r>
    <r>
      <rPr>
        <sz val="9"/>
        <color rgb="FF606060"/>
        <rFont val="微軟正黑體"/>
        <family val="0"/>
        <charset val="1"/>
      </rPr>
      <t xml:space="preserve">Million</t>
    </r>
    <r>
      <rPr>
        <sz val="9"/>
        <color rgb="FF606060"/>
        <rFont val="Noto Sans CJK SC"/>
        <family val="2"/>
      </rPr>
      <t xml:space="preserve">」；新台幣建議「千元」。</t>
    </r>
  </si>
  <si>
    <t xml:space="preserve">匯率表（以越南盾為基準）</t>
  </si>
  <si>
    <r>
      <rPr>
        <sz val="8.5"/>
        <color rgb="FFC00000"/>
        <rFont val="Noto Sans CJK SC"/>
        <family val="2"/>
      </rPr>
      <t xml:space="preserve">★ 財務模型慣例：</t>
    </r>
    <r>
      <rPr>
        <sz val="8.5"/>
        <color rgb="FFC00000"/>
        <rFont val="微軟正黑體"/>
        <family val="0"/>
        <charset val="1"/>
      </rPr>
      <t xml:space="preserve">3–10 </t>
    </r>
    <r>
      <rPr>
        <sz val="8.5"/>
        <color rgb="FFC00000"/>
        <rFont val="Noto Sans CJK SC"/>
        <family val="2"/>
      </rPr>
      <t xml:space="preserve">年的長期預測不應直接用即期匯率。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明述「</t>
    </r>
    <r>
      <rPr>
        <sz val="8.5"/>
        <color rgb="FFC00000"/>
        <rFont val="微軟正黑體"/>
        <family val="0"/>
        <charset val="1"/>
      </rPr>
      <t xml:space="preserve">Never use the current spot rate for long-term projections</t>
    </r>
    <r>
      <rPr>
        <sz val="8.5"/>
        <color rgb="FFC00000"/>
        <rFont val="Noto Sans CJK SC"/>
        <family val="2"/>
      </rPr>
      <t xml:space="preserve">」，正確作法是用兩國通膨差（購買力平價）推算逐年匯率，或全程用單一幣別建模、最後才換算。本檔採後者（較穩健），並在 </t>
    </r>
    <r>
      <rPr>
        <sz val="8.5"/>
        <color rgb="FFC00000"/>
        <rFont val="微軟正黑體"/>
        <family val="0"/>
        <charset val="1"/>
      </rPr>
      <t xml:space="preserve">11 </t>
    </r>
    <r>
      <rPr>
        <sz val="8.5"/>
        <color rgb="FFC00000"/>
        <rFont val="Noto Sans CJK SC"/>
        <family val="2"/>
      </rPr>
      <t xml:space="preserve">分頁登錄匯率假設與日期。</t>
    </r>
  </si>
  <si>
    <t xml:space="preserve">幣別</t>
  </si>
  <si>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單位 ＝ </t>
    </r>
    <r>
      <rPr>
        <b val="true"/>
        <sz val="9.5"/>
        <color rgb="FFFFFFFF"/>
        <rFont val="微軟正黑體"/>
        <family val="0"/>
        <charset val="1"/>
      </rPr>
      <t xml:space="preserve">? </t>
    </r>
    <r>
      <rPr>
        <b val="true"/>
        <sz val="9.5"/>
        <color rgb="FFFFFFFF"/>
        <rFont val="Noto Sans CJK SC"/>
        <family val="2"/>
      </rPr>
      <t xml:space="preserve">越南盾</t>
    </r>
  </si>
  <si>
    <t xml:space="preserve">代碼</t>
  </si>
  <si>
    <r>
      <rPr>
        <b val="true"/>
        <sz val="10"/>
        <color rgb="FF1F3864"/>
        <rFont val="微軟正黑體"/>
        <family val="0"/>
        <charset val="1"/>
      </rPr>
      <t xml:space="preserve">TWD </t>
    </r>
    <r>
      <rPr>
        <b val="true"/>
        <sz val="10"/>
        <color rgb="FF1F3864"/>
        <rFont val="Noto Sans CJK SC"/>
        <family val="2"/>
      </rPr>
      <t xml:space="preserve">新台幣</t>
    </r>
  </si>
  <si>
    <t xml:space="preserve">TWD</t>
  </si>
  <si>
    <r>
      <rPr>
        <b val="true"/>
        <sz val="10"/>
        <color rgb="FF1F3864"/>
        <rFont val="微軟正黑體"/>
        <family val="0"/>
        <charset val="1"/>
      </rPr>
      <t xml:space="preserve">USD </t>
    </r>
    <r>
      <rPr>
        <b val="true"/>
        <sz val="10"/>
        <color rgb="FF1F3864"/>
        <rFont val="Noto Sans CJK SC"/>
        <family val="2"/>
      </rPr>
      <t xml:space="preserve">美元</t>
    </r>
  </si>
  <si>
    <t xml:space="preserve">USD</t>
  </si>
  <si>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越南盾</t>
    </r>
  </si>
  <si>
    <t xml:space="preserve">VND</t>
  </si>
  <si>
    <r>
      <rPr>
        <b val="true"/>
        <sz val="10"/>
        <color rgb="FF1F3864"/>
        <rFont val="Noto Sans CJK SC"/>
        <family val="2"/>
      </rPr>
      <t xml:space="preserve">輸入幣別對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</si>
  <si>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t xml:space="preserve">自動由上表帶出</t>
  </si>
  <si>
    <r>
      <rPr>
        <b val="true"/>
        <sz val="10"/>
        <color rgb="FF1F3864"/>
        <rFont val="Noto Sans CJK SC"/>
        <family val="2"/>
      </rPr>
      <t xml:space="preserve">顯示幣別對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</si>
  <si>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r>
      <rPr>
        <b val="true"/>
        <sz val="10"/>
        <color rgb="FF1F3864"/>
        <rFont val="Noto Sans CJK SC"/>
        <family val="2"/>
      </rPr>
      <t xml:space="preserve">幣別換算倍率 </t>
    </r>
    <r>
      <rPr>
        <b val="true"/>
        <sz val="10"/>
        <color rgb="FF1F3864"/>
        <rFont val="微軟正黑體"/>
        <family val="0"/>
        <charset val="1"/>
      </rPr>
      <t xml:space="preserve">FX multiplier</t>
    </r>
  </si>
  <si>
    <r>
      <rPr>
        <sz val="9"/>
        <color rgb="FF606060"/>
        <rFont val="Noto Sans CJK SC"/>
        <family val="2"/>
      </rPr>
      <t xml:space="preserve">＝輸入幣別匯率 </t>
    </r>
    <r>
      <rPr>
        <sz val="9"/>
        <color rgb="FF606060"/>
        <rFont val="微軟正黑體"/>
        <family val="0"/>
        <charset val="1"/>
      </rPr>
      <t xml:space="preserve">÷ </t>
    </r>
    <r>
      <rPr>
        <sz val="9"/>
        <color rgb="FF606060"/>
        <rFont val="Noto Sans CJK SC"/>
        <family val="2"/>
      </rPr>
      <t xml:space="preserve">顯示幣別匯率。輸入幣別的金額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這個倍率 ＝ 顯示幣別的金額。</t>
    </r>
  </si>
  <si>
    <t xml:space="preserve">顯示單位除數</t>
  </si>
  <si>
    <t xml:space="preserve">自動由「顯示單位」帶出</t>
  </si>
  <si>
    <r>
      <rPr>
        <b val="true"/>
        <sz val="10"/>
        <color rgb="FF1F3864"/>
        <rFont val="Noto Sans CJK SC"/>
        <family val="2"/>
      </rPr>
      <t xml:space="preserve">★ 顯示係數 </t>
    </r>
    <r>
      <rPr>
        <b val="true"/>
        <sz val="10"/>
        <color rgb="FF1F3864"/>
        <rFont val="微軟正黑體"/>
        <family val="0"/>
        <charset val="1"/>
      </rPr>
      <t xml:space="preserve">Display factor</t>
    </r>
  </si>
  <si>
    <t xml:space="preserve">全檔所有「顯示幣別」欄位都乘這個係數。</t>
  </si>
  <si>
    <r>
      <rPr>
        <b val="true"/>
        <sz val="10"/>
        <color rgb="FF1F3864"/>
        <rFont val="Noto Sans CJK SC"/>
        <family val="2"/>
      </rPr>
      <t xml:space="preserve">金額標示 </t>
    </r>
    <r>
      <rPr>
        <b val="true"/>
        <sz val="10"/>
        <color rgb="FF1F3864"/>
        <rFont val="微軟正黑體"/>
        <family val="0"/>
        <charset val="1"/>
      </rPr>
      <t xml:space="preserve">Money label</t>
    </r>
  </si>
  <si>
    <r>
      <rPr>
        <sz val="9"/>
        <color rgb="FF606060"/>
        <rFont val="Noto Sans CJK SC"/>
        <family val="2"/>
      </rPr>
      <t xml:space="preserve">出現在各分頁的欄位標題，例「</t>
    </r>
    <r>
      <rPr>
        <sz val="9"/>
        <color rgb="FF606060"/>
        <rFont val="微軟正黑體"/>
        <family val="0"/>
        <charset val="1"/>
      </rPr>
      <t xml:space="preserve">TWD </t>
    </r>
    <r>
      <rPr>
        <sz val="9"/>
        <color rgb="FF606060"/>
        <rFont val="Noto Sans CJK SC"/>
        <family val="2"/>
      </rPr>
      <t xml:space="preserve">千」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</si>
  <si>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時間與稅務（越南）</t>
    </r>
  </si>
  <si>
    <r>
      <rPr>
        <b val="true"/>
        <sz val="10"/>
        <color rgb="FF1F3864"/>
        <rFont val="Noto Sans CJK SC"/>
        <family val="2"/>
      </rPr>
      <t xml:space="preserve">模型年數 </t>
    </r>
    <r>
      <rPr>
        <b val="true"/>
        <sz val="10"/>
        <color rgb="FF1F3864"/>
        <rFont val="微軟正黑體"/>
        <family val="0"/>
        <charset val="1"/>
      </rPr>
      <t xml:space="preserve">Model years</t>
    </r>
  </si>
  <si>
    <t xml:space="preserve">年</t>
  </si>
  <si>
    <r>
      <rPr>
        <sz val="9"/>
        <color rgb="FF606060"/>
        <rFont val="Noto Sans CJK SC"/>
        <family val="2"/>
      </rPr>
      <t xml:space="preserve">建議 </t>
    </r>
    <r>
      <rPr>
        <sz val="9"/>
        <color rgb="FF606060"/>
        <rFont val="微軟正黑體"/>
        <family val="0"/>
        <charset val="1"/>
      </rPr>
      <t xml:space="preserve">8–12 </t>
    </r>
    <r>
      <rPr>
        <sz val="9"/>
        <color rgb="FF606060"/>
        <rFont val="Noto Sans CJK SC"/>
        <family val="2"/>
      </rPr>
      <t xml:space="preserve">年，須涵蓋主要設備壽命。本檔欄位配置上限為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</si>
  <si>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建置期 </t>
    </r>
    <r>
      <rPr>
        <b val="true"/>
        <sz val="10"/>
        <color rgb="FF1F3864"/>
        <rFont val="微軟正黑體"/>
        <family val="0"/>
        <charset val="1"/>
      </rPr>
      <t xml:space="preserve">Build months</t>
    </r>
  </si>
  <si>
    <t xml:space="preserve">月</t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</si>
  <si>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0 </t>
    </r>
    <r>
      <rPr>
        <sz val="9"/>
        <color rgb="FF606060"/>
        <rFont val="Noto Sans CJK SC"/>
        <family val="2"/>
      </rPr>
      <t xml:space="preserve">年＝建置期，不產生收入</t>
    </r>
  </si>
  <si>
    <r>
      <rPr>
        <b val="true"/>
        <sz val="10"/>
        <color rgb="FF1F3864"/>
        <rFont val="Noto Sans CJK SC"/>
        <family val="2"/>
      </rPr>
      <t xml:space="preserve">起始年 </t>
    </r>
    <r>
      <rPr>
        <b val="true"/>
        <sz val="10"/>
        <color rgb="FF1F3864"/>
        <rFont val="微軟正黑體"/>
        <family val="0"/>
        <charset val="1"/>
      </rPr>
      <t xml:space="preserve">Start year</t>
    </r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</si>
  <si>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1 </t>
    </r>
    <r>
      <rPr>
        <sz val="9"/>
        <color rgb="FF606060"/>
        <rFont val="Noto Sans CJK SC"/>
        <family val="2"/>
      </rPr>
      <t xml:space="preserve">個營運年的西元年</t>
    </r>
  </si>
  <si>
    <t xml:space="preserve">標準企業所得稅率</t>
  </si>
  <si>
    <r>
      <rPr>
        <sz val="9"/>
        <color rgb="FF606060"/>
        <rFont val="Noto Sans CJK SC"/>
        <family val="2"/>
      </rPr>
      <t xml:space="preserve">越南標準 </t>
    </r>
    <r>
      <rPr>
        <sz val="9"/>
        <color rgb="FF606060"/>
        <rFont val="微軟正黑體"/>
        <family val="0"/>
        <charset val="1"/>
      </rPr>
      <t xml:space="preserve">CIT </t>
    </r>
    <r>
      <rPr>
        <sz val="9"/>
        <color rgb="FF606060"/>
        <rFont val="Noto Sans CJK SC"/>
        <family val="2"/>
      </rPr>
      <t xml:space="preserve">稅率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（</t>
    </r>
    <r>
      <rPr>
        <sz val="9"/>
        <color rgb="FF606060"/>
        <rFont val="微軟正黑體"/>
        <family val="0"/>
        <charset val="1"/>
      </rPr>
      <t xml:space="preserve">Law 67/2025/QH15 </t>
    </r>
    <r>
      <rPr>
        <sz val="9"/>
        <color rgb="FF606060"/>
        <rFont val="Noto Sans CJK SC"/>
        <family val="2"/>
      </rPr>
      <t xml:space="preserve">自 </t>
    </r>
    <r>
      <rPr>
        <sz val="9"/>
        <color rgb="FF606060"/>
        <rFont val="微軟正黑體"/>
        <family val="0"/>
        <charset val="1"/>
      </rPr>
      <t xml:space="preserve">2025/10/1 </t>
    </r>
    <r>
      <rPr>
        <sz val="9"/>
        <color rgb="FF606060"/>
        <rFont val="Noto Sans CJK SC"/>
        <family val="2"/>
      </rPr>
      <t xml:space="preserve">生效）</t>
    </r>
  </si>
  <si>
    <t xml:space="preserve">適用優惠稅率</t>
  </si>
  <si>
    <r>
      <rPr>
        <sz val="9"/>
        <color rgb="FF606060"/>
        <rFont val="微軟正黑體"/>
        <family val="0"/>
        <charset val="1"/>
      </rPr>
      <t xml:space="preserve">★ PwC </t>
    </r>
    <r>
      <rPr>
        <sz val="9"/>
        <color rgb="FF606060"/>
        <rFont val="Noto Sans CJK SC"/>
        <family val="2"/>
      </rPr>
      <t xml:space="preserve">越南 </t>
    </r>
    <r>
      <rPr>
        <sz val="9"/>
        <color rgb="FF606060"/>
        <rFont val="微軟正黑體"/>
        <family val="0"/>
        <charset val="1"/>
      </rPr>
      <t xml:space="preserve">Pocket Tax Book </t>
    </r>
    <r>
      <rPr>
        <sz val="9"/>
        <color rgb="FF606060"/>
        <rFont val="Noto Sans CJK SC"/>
        <family val="2"/>
      </rPr>
      <t xml:space="preserve">明載：教育、醫療等社會化領域享有「整個專案存續期間」的 </t>
    </r>
    <r>
      <rPr>
        <sz val="9"/>
        <color rgb="FF606060"/>
        <rFont val="微軟正黑體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稅率。若本案不符資格請改回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。資格認定須由越南稅務顧問確認。</t>
    </r>
  </si>
  <si>
    <r>
      <rPr>
        <b val="true"/>
        <sz val="10"/>
        <color rgb="FF1F3864"/>
        <rFont val="Noto Sans CJK SC"/>
        <family val="2"/>
      </rPr>
      <t xml:space="preserve">免稅年數 </t>
    </r>
    <r>
      <rPr>
        <b val="true"/>
        <sz val="10"/>
        <color rgb="FF1F3864"/>
        <rFont val="微軟正黑體"/>
        <family val="0"/>
        <charset val="1"/>
      </rPr>
      <t xml:space="preserve">Tax holiday</t>
    </r>
  </si>
  <si>
    <r>
      <rPr>
        <sz val="9"/>
        <color rgb="FF606060"/>
        <rFont val="Noto Sans CJK SC"/>
        <family val="2"/>
      </rPr>
      <t xml:space="preserve">社會化專案：位於社經困難地區者免稅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9 </t>
    </r>
    <r>
      <rPr>
        <sz val="9"/>
        <color rgb="FF606060"/>
        <rFont val="Noto Sans CJK SC"/>
        <family val="2"/>
      </rPr>
      <t xml:space="preserve">年；一般地區免稅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</si>
  <si>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減半年數 </t>
    </r>
    <r>
      <rPr>
        <b val="true"/>
        <sz val="10"/>
        <color rgb="FF1F3864"/>
        <rFont val="微軟正黑體"/>
        <family val="0"/>
        <charset val="1"/>
      </rPr>
      <t xml:space="preserve">50% reduction</t>
    </r>
  </si>
  <si>
    <r>
      <rPr>
        <sz val="9"/>
        <color rgb="FF606060"/>
        <rFont val="Noto Sans CJK SC"/>
        <family val="2"/>
      </rPr>
      <t xml:space="preserve">接續免稅期之後，稅率減半（</t>
    </r>
    <r>
      <rPr>
        <sz val="9"/>
        <color rgb="FF606060"/>
        <rFont val="微軟正黑體"/>
        <family val="0"/>
        <charset val="1"/>
      </rPr>
      <t xml:space="preserve">10%→5%</t>
    </r>
    <r>
      <rPr>
        <sz val="9"/>
        <color rgb="FF606060"/>
        <rFont val="Noto Sans CJK SC"/>
        <family val="2"/>
      </rPr>
      <t xml:space="preserve">）</t>
    </r>
  </si>
  <si>
    <t xml:space="preserve">免稅起算規則：營收後最多遞延</t>
  </si>
  <si>
    <r>
      <rPr>
        <sz val="9"/>
        <color rgb="FF606060"/>
        <rFont val="Noto Sans CJK SC"/>
        <family val="2"/>
      </rPr>
      <t xml:space="preserve">★ 法定規則（</t>
    </r>
    <r>
      <rPr>
        <sz val="9"/>
        <color rgb="FF606060"/>
        <rFont val="微軟正黑體"/>
        <family val="0"/>
        <charset val="1"/>
      </rPr>
      <t xml:space="preserve">PwC</t>
    </r>
    <r>
      <rPr>
        <sz val="9"/>
        <color rgb="FF606060"/>
        <rFont val="Noto Sans CJK SC"/>
        <family val="2"/>
      </rPr>
      <t xml:space="preserve">）：免稅期自「首次從受優惠活動獲利」起算；但若產生營收後 </t>
    </r>
    <r>
      <rPr>
        <sz val="9"/>
        <color rgb="FF606060"/>
        <rFont val="微軟正黑體"/>
        <family val="0"/>
        <charset val="1"/>
      </rPr>
      <t xml:space="preserve">3 </t>
    </r>
    <r>
      <rPr>
        <sz val="9"/>
        <color rgb="FF606060"/>
        <rFont val="Noto Sans CJK SC"/>
        <family val="2"/>
      </rPr>
      <t xml:space="preserve">年內仍未獲利，則自營運第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年起強制起算。本檔已內建此邏輯。</t>
    </r>
  </si>
  <si>
    <t xml:space="preserve">虧損可扣抵年限</t>
  </si>
  <si>
    <r>
      <rPr>
        <sz val="9"/>
        <color rgb="FF606060"/>
        <rFont val="Noto Sans CJK SC"/>
        <family val="2"/>
      </rPr>
      <t xml:space="preserve">越南：虧損可全額連續向後扣抵最長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年，不得向前扣抵。逾期未用即永久失效。</t>
    </r>
  </si>
  <si>
    <r>
      <rPr>
        <b val="true"/>
        <sz val="10"/>
        <color rgb="FF1F3864"/>
        <rFont val="Noto Sans CJK SC"/>
        <family val="2"/>
      </rPr>
      <t xml:space="preserve">★ 進項 </t>
    </r>
    <r>
      <rPr>
        <b val="true"/>
        <sz val="10"/>
        <color rgb="FF1F3864"/>
        <rFont val="微軟正黑體"/>
        <family val="0"/>
        <charset val="1"/>
      </rPr>
      <t xml:space="preserve">VAT </t>
    </r>
    <r>
      <rPr>
        <b val="true"/>
        <sz val="10"/>
        <color rgb="FF1F3864"/>
        <rFont val="Noto Sans CJK SC"/>
        <family val="2"/>
      </rPr>
      <t xml:space="preserve">可否扣抵</t>
    </r>
  </si>
  <si>
    <r>
      <rPr>
        <b val="true"/>
        <sz val="10.5"/>
        <color rgb="FF000000"/>
        <rFont val="Noto Sans CJK SC"/>
        <family val="2"/>
      </rPr>
      <t xml:space="preserve">否 — 醫療服務免 </t>
    </r>
    <r>
      <rPr>
        <b val="true"/>
        <sz val="10.5"/>
        <color rgb="FF000000"/>
        <rFont val="微軟正黑體"/>
        <family val="0"/>
        <charset val="1"/>
      </rPr>
      <t xml:space="preserve">VAT</t>
    </r>
  </si>
  <si>
    <r>
      <rPr>
        <sz val="9"/>
        <color rgb="FF606060"/>
        <rFont val="Noto Sans CJK SC"/>
        <family val="2"/>
      </rPr>
      <t xml:space="preserve">★ 越南醫療檢查治療服務屬 </t>
    </r>
    <r>
      <rPr>
        <sz val="9"/>
        <color rgb="FF606060"/>
        <rFont val="微軟正黑體"/>
        <family val="0"/>
        <charset val="1"/>
      </rPr>
      <t xml:space="preserve">VAT</t>
    </r>
    <r>
      <rPr>
        <sz val="9"/>
        <color rgb="FF606060"/>
        <rFont val="Noto Sans CJK SC"/>
        <family val="2"/>
      </rPr>
      <t xml:space="preserve">「免稅（</t>
    </r>
    <r>
      <rPr>
        <sz val="9"/>
        <color rgb="FF606060"/>
        <rFont val="微軟正黑體"/>
        <family val="0"/>
        <charset val="1"/>
      </rPr>
      <t xml:space="preserve">exempt</t>
    </r>
    <r>
      <rPr>
        <sz val="9"/>
        <color rgb="FF606060"/>
        <rFont val="Noto Sans CJK SC"/>
        <family val="2"/>
      </rPr>
      <t xml:space="preserve">）」而非零稅率（</t>
    </r>
    <r>
      <rPr>
        <sz val="9"/>
        <color rgb="FF606060"/>
        <rFont val="微軟正黑體"/>
        <family val="0"/>
        <charset val="1"/>
      </rPr>
      <t xml:space="preserve">VAT Law 48/2024/QH15 </t>
    </r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條第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款）。免稅代表進項 </t>
    </r>
    <r>
      <rPr>
        <sz val="9"/>
        <color rgb="FF606060"/>
        <rFont val="微軟正黑體"/>
        <family val="0"/>
        <charset val="1"/>
      </rPr>
      <t xml:space="preserve">VAT </t>
    </r>
    <r>
      <rPr>
        <sz val="9"/>
        <color rgb="FF606060"/>
        <rFont val="Noto Sans CJK SC"/>
        <family val="2"/>
      </rPr>
      <t xml:space="preserve">不可扣抵、必須計入成本。這是越南醫院財務模型最常見的重大低估（</t>
    </r>
    <r>
      <rPr>
        <sz val="9"/>
        <color rgb="FF606060"/>
        <rFont val="微軟正黑體"/>
        <family val="0"/>
        <charset val="1"/>
      </rPr>
      <t xml:space="preserve">CAPEX </t>
    </r>
    <r>
      <rPr>
        <sz val="9"/>
        <color rgb="FF606060"/>
        <rFont val="Noto Sans CJK SC"/>
        <family val="2"/>
      </rPr>
      <t xml:space="preserve">會少估 </t>
    </r>
    <r>
      <rPr>
        <sz val="9"/>
        <color rgb="FF606060"/>
        <rFont val="微軟正黑體"/>
        <family val="0"/>
        <charset val="1"/>
      </rPr>
      <t xml:space="preserve">5–10%</t>
    </r>
    <r>
      <rPr>
        <sz val="9"/>
        <color rgb="FF606060"/>
        <rFont val="Noto Sans CJK SC"/>
        <family val="2"/>
      </rPr>
      <t xml:space="preserve">）。</t>
    </r>
  </si>
  <si>
    <r>
      <rPr>
        <b val="true"/>
        <sz val="12"/>
        <color rgb="FFBF8F00"/>
        <rFont val="微軟正黑體"/>
        <family val="0"/>
        <charset val="1"/>
      </rPr>
      <t xml:space="preserve">D. </t>
    </r>
    <r>
      <rPr>
        <b val="true"/>
        <sz val="12"/>
        <color rgb="FFBF8F00"/>
        <rFont val="Noto Sans CJK SC"/>
        <family val="2"/>
      </rPr>
      <t xml:space="preserve">折現率</t>
    </r>
  </si>
  <si>
    <t xml:space="preserve">折現率來源</t>
  </si>
  <si>
    <r>
      <rPr>
        <b val="true"/>
        <sz val="10.5"/>
        <color rgb="FF000000"/>
        <rFont val="Noto Sans CJK SC"/>
        <family val="2"/>
      </rPr>
      <t xml:space="preserve">由 </t>
    </r>
    <r>
      <rPr>
        <b val="true"/>
        <sz val="10.5"/>
        <color rgb="FF000000"/>
        <rFont val="微軟正黑體"/>
        <family val="0"/>
        <charset val="1"/>
      </rPr>
      <t xml:space="preserve">07 </t>
    </r>
    <r>
      <rPr>
        <b val="true"/>
        <sz val="10.5"/>
        <color rgb="FF000000"/>
        <rFont val="Noto Sans CJK SC"/>
        <family val="2"/>
      </rPr>
      <t xml:space="preserve">分頁 </t>
    </r>
    <r>
      <rPr>
        <b val="true"/>
        <sz val="10.5"/>
        <color rgb="FF000000"/>
        <rFont val="微軟正黑體"/>
        <family val="0"/>
        <charset val="1"/>
      </rPr>
      <t xml:space="preserve">WACC </t>
    </r>
    <r>
      <rPr>
        <b val="true"/>
        <sz val="10.5"/>
        <color rgb="FF000000"/>
        <rFont val="Noto Sans CJK SC"/>
        <family val="2"/>
      </rPr>
      <t xml:space="preserve">推算</t>
    </r>
  </si>
  <si>
    <r>
      <rPr>
        <sz val="9"/>
        <color rgb="FF606060"/>
        <rFont val="Noto Sans CJK SC"/>
        <family val="2"/>
      </rPr>
      <t xml:space="preserve">「由 </t>
    </r>
    <r>
      <rPr>
        <sz val="9"/>
        <color rgb="FF606060"/>
        <rFont val="微軟正黑體"/>
        <family val="0"/>
        <charset val="1"/>
      </rPr>
      <t xml:space="preserve">07 </t>
    </r>
    <r>
      <rPr>
        <sz val="9"/>
        <color rgb="FF606060"/>
        <rFont val="Noto Sans CJK SC"/>
        <family val="2"/>
      </rPr>
      <t xml:space="preserve">分頁 </t>
    </r>
    <r>
      <rPr>
        <sz val="9"/>
        <color rgb="FF606060"/>
        <rFont val="微軟正黑體"/>
        <family val="0"/>
        <charset val="1"/>
      </rPr>
      <t xml:space="preserve">WACC </t>
    </r>
    <r>
      <rPr>
        <sz val="9"/>
        <color rgb="FF606060"/>
        <rFont val="Noto Sans CJK SC"/>
        <family val="2"/>
      </rPr>
      <t xml:space="preserve">推算」或「手動輸入」</t>
    </r>
  </si>
  <si>
    <t xml:space="preserve">手動折現率</t>
  </si>
  <si>
    <t xml:space="preserve">僅當上一格選「手動輸入」時採用</t>
  </si>
  <si>
    <r>
      <rPr>
        <b val="true"/>
        <sz val="10"/>
        <color rgb="FF1F3864"/>
        <rFont val="Noto Sans CJK SC"/>
        <family val="2"/>
      </rPr>
      <t xml:space="preserve">★ 採用折現率 </t>
    </r>
    <r>
      <rPr>
        <b val="true"/>
        <sz val="10"/>
        <color rgb="FF1F3864"/>
        <rFont val="微軟正黑體"/>
        <family val="0"/>
        <charset val="1"/>
      </rPr>
      <t xml:space="preserve">Discount rate</t>
    </r>
  </si>
  <si>
    <t xml:space="preserve">本模型實際使用的折現率</t>
  </si>
  <si>
    <r>
      <rPr>
        <b val="true"/>
        <sz val="10"/>
        <color rgb="FF1F3864"/>
        <rFont val="微軟正黑體"/>
        <family val="0"/>
        <charset val="1"/>
      </rPr>
      <t xml:space="preserve">MIRR </t>
    </r>
    <r>
      <rPr>
        <b val="true"/>
        <sz val="10"/>
        <color rgb="FF1F3864"/>
        <rFont val="Noto Sans CJK SC"/>
        <family val="2"/>
      </rPr>
      <t xml:space="preserve">再投資報酬率</t>
    </r>
  </si>
  <si>
    <r>
      <rPr>
        <sz val="9"/>
        <color rgb="FF606060"/>
        <rFont val="微軟正黑體"/>
        <family val="0"/>
        <charset val="1"/>
      </rPr>
      <t xml:space="preserve">★ MIRR </t>
    </r>
    <r>
      <rPr>
        <sz val="9"/>
        <color rgb="FF606060"/>
        <rFont val="Noto Sans CJK SC"/>
        <family val="2"/>
      </rPr>
      <t xml:space="preserve">相對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的關鍵改良：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隱含假設所有期中現金流都以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本身再投資（對高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專案極不現實）。</t>
    </r>
    <r>
      <rPr>
        <sz val="9"/>
        <color rgb="FF606060"/>
        <rFont val="微軟正黑體"/>
        <family val="0"/>
        <charset val="1"/>
      </rPr>
      <t xml:space="preserve">MIRR </t>
    </r>
    <r>
      <rPr>
        <sz val="9"/>
        <color rgb="FF606060"/>
        <rFont val="Noto Sans CJK SC"/>
        <family val="2"/>
      </rPr>
      <t xml:space="preserve">讓你明確指定一個合理的再投資率。建議設為公司實際的資金報酬率或略低於 </t>
    </r>
    <r>
      <rPr>
        <sz val="9"/>
        <color rgb="FF606060"/>
        <rFont val="微軟正黑體"/>
        <family val="0"/>
        <charset val="1"/>
      </rPr>
      <t xml:space="preserve">WACC</t>
    </r>
    <r>
      <rPr>
        <sz val="9"/>
        <color rgb="FF606060"/>
        <rFont val="Noto Sans CJK SC"/>
        <family val="2"/>
      </rPr>
      <t xml:space="preserve">。</t>
    </r>
  </si>
  <si>
    <r>
      <rPr>
        <b val="true"/>
        <sz val="12"/>
        <color rgb="FFBF8F00"/>
        <rFont val="微軟正黑體"/>
        <family val="0"/>
        <charset val="1"/>
      </rPr>
      <t xml:space="preserve">E. </t>
    </r>
    <r>
      <rPr>
        <b val="true"/>
        <sz val="12"/>
        <color rgb="FFBF8F00"/>
        <rFont val="Noto Sans CJK SC"/>
        <family val="2"/>
      </rPr>
      <t xml:space="preserve">營運資金（</t>
    </r>
    <r>
      <rPr>
        <b val="true"/>
        <sz val="12"/>
        <color rgb="FFBF8F00"/>
        <rFont val="微軟正黑體"/>
        <family val="0"/>
        <charset val="1"/>
      </rPr>
      <t xml:space="preserve">Working capital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</si>
  <si>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★ 越南醫療業特有風險</t>
  </si>
  <si>
    <r>
      <rPr>
        <sz val="8.5"/>
        <color rgb="FFC00000"/>
        <rFont val="微軟正黑體"/>
        <family val="0"/>
        <charset val="1"/>
      </rPr>
      <t xml:space="preserve">2025 </t>
    </r>
    <r>
      <rPr>
        <sz val="8.5"/>
        <color rgb="FFC00000"/>
        <rFont val="Noto Sans CJK SC"/>
        <family val="2"/>
      </rPr>
      <t xml:space="preserve">年 </t>
    </r>
    <r>
      <rPr>
        <sz val="8.5"/>
        <color rgb="FFC00000"/>
        <rFont val="微軟正黑體"/>
        <family val="0"/>
        <charset val="1"/>
      </rPr>
      <t xml:space="preserve">8 </t>
    </r>
    <r>
      <rPr>
        <sz val="8.5"/>
        <color rgb="FFC00000"/>
        <rFont val="Noto Sans CJK SC"/>
        <family val="2"/>
      </rPr>
      <t xml:space="preserve">月報導：胡志明市各醫院被健保「懸置未結算」的費用近 </t>
    </r>
    <r>
      <rPr>
        <sz val="8.5"/>
        <color rgb="FFC00000"/>
        <rFont val="微軟正黑體"/>
        <family val="0"/>
        <charset val="1"/>
      </rPr>
      <t xml:space="preserve">2,500 </t>
    </r>
    <r>
      <rPr>
        <sz val="8.5"/>
        <color rgb="FFC00000"/>
        <rFont val="Noto Sans CJK SC"/>
        <family val="2"/>
      </rPr>
      <t xml:space="preserve">十億越盾（約 </t>
    </r>
    <r>
      <rPr>
        <sz val="8.5"/>
        <color rgb="FFC00000"/>
        <rFont val="微軟正黑體"/>
        <family val="0"/>
        <charset val="1"/>
      </rPr>
      <t xml:space="preserve">9,600 </t>
    </r>
    <r>
      <rPr>
        <sz val="8.5"/>
        <color rgb="FFC00000"/>
        <rFont val="Noto Sans CJK SC"/>
        <family val="2"/>
      </rPr>
      <t xml:space="preserve">萬美元），橫跨 </t>
    </r>
    <r>
      <rPr>
        <sz val="8.5"/>
        <color rgb="FFC00000"/>
        <rFont val="微軟正黑體"/>
        <family val="0"/>
        <charset val="1"/>
      </rPr>
      <t xml:space="preserve">2023–2024 </t>
    </r>
    <r>
      <rPr>
        <sz val="8.5"/>
        <color rgb="FFC00000"/>
        <rFont val="Noto Sans CJK SC"/>
        <family val="2"/>
      </rPr>
      <t xml:space="preserve">兩年，醫院須依《健保法》第 </t>
    </r>
    <r>
      <rPr>
        <sz val="8.5"/>
        <color rgb="FFC00000"/>
        <rFont val="微軟正黑體"/>
        <family val="0"/>
        <charset val="1"/>
      </rPr>
      <t xml:space="preserve">32 </t>
    </r>
    <r>
      <rPr>
        <sz val="8.5"/>
        <color rgb="FFC00000"/>
        <rFont val="Noto Sans CJK SC"/>
        <family val="2"/>
      </rPr>
      <t xml:space="preserve">條請求社保先行墊付。因此健保應收天數不應套用一般假設。</t>
    </r>
  </si>
  <si>
    <r>
      <rPr>
        <b val="true"/>
        <sz val="10"/>
        <color rgb="FF1F3864"/>
        <rFont val="Noto Sans CJK SC"/>
        <family val="2"/>
      </rPr>
      <t xml:space="preserve">健保應收天數 </t>
    </r>
    <r>
      <rPr>
        <b val="true"/>
        <sz val="10"/>
        <color rgb="FF1F3864"/>
        <rFont val="微軟正黑體"/>
        <family val="0"/>
        <charset val="1"/>
      </rPr>
      <t xml:space="preserve">DSO (BHYT)</t>
    </r>
  </si>
  <si>
    <t xml:space="preserve">天</t>
  </si>
  <si>
    <r>
      <rPr>
        <sz val="9"/>
        <color rgb="FF606060"/>
        <rFont val="Noto Sans CJK SC"/>
        <family val="2"/>
      </rPr>
      <t xml:space="preserve">越南社保按季結算且常有延遲與超支懸置，建議 </t>
    </r>
    <r>
      <rPr>
        <sz val="9"/>
        <color rgb="FF606060"/>
        <rFont val="微軟正黑體"/>
        <family val="0"/>
        <charset val="1"/>
      </rPr>
      <t xml:space="preserve">120–180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</si>
  <si>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自費應收天數 </t>
    </r>
    <r>
      <rPr>
        <b val="true"/>
        <sz val="10"/>
        <color rgb="FF1F3864"/>
        <rFont val="微軟正黑體"/>
        <family val="0"/>
        <charset val="1"/>
      </rPr>
      <t xml:space="preserve">DSO (self-pay)</t>
    </r>
  </si>
  <si>
    <t xml:space="preserve">自費多為當場收款</t>
  </si>
  <si>
    <r>
      <rPr>
        <b val="true"/>
        <sz val="10"/>
        <color rgb="FF1F3864"/>
        <rFont val="Noto Sans CJK SC"/>
        <family val="2"/>
      </rPr>
      <t xml:space="preserve">耗材存貨天數 </t>
    </r>
    <r>
      <rPr>
        <b val="true"/>
        <sz val="10"/>
        <color rgb="FF1F3864"/>
        <rFont val="微軟正黑體"/>
        <family val="0"/>
        <charset val="1"/>
      </rPr>
      <t xml:space="preserve">DIO</t>
    </r>
  </si>
  <si>
    <r>
      <rPr>
        <sz val="9"/>
        <color rgb="FF606060"/>
        <rFont val="Noto Sans CJK SC"/>
        <family val="2"/>
      </rPr>
      <t xml:space="preserve">顯影劑、針具等耗材的安全庫存；進口耗材建議 </t>
    </r>
    <r>
      <rPr>
        <sz val="9"/>
        <color rgb="FF606060"/>
        <rFont val="微軟正黑體"/>
        <family val="0"/>
        <charset val="1"/>
      </rPr>
      <t xml:space="preserve">45–90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</si>
  <si>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應付帳款天數 </t>
    </r>
    <r>
      <rPr>
        <b val="true"/>
        <sz val="10"/>
        <color rgb="FF1F3864"/>
        <rFont val="微軟正黑體"/>
        <family val="0"/>
        <charset val="1"/>
      </rPr>
      <t xml:space="preserve">DPO</t>
    </r>
  </si>
  <si>
    <t xml:space="preserve">向供應商的付款條件</t>
  </si>
  <si>
    <r>
      <rPr>
        <b val="true"/>
        <sz val="12"/>
        <color rgb="FFBF8F00"/>
        <rFont val="微軟正黑體"/>
        <family val="0"/>
        <charset val="1"/>
      </rPr>
      <t xml:space="preserve">F. </t>
    </r>
    <r>
      <rPr>
        <b val="true"/>
        <sz val="12"/>
        <color rgb="FFBF8F00"/>
        <rFont val="Noto Sans CJK SC"/>
        <family val="2"/>
      </rPr>
      <t xml:space="preserve">終值與殘值（</t>
    </r>
    <r>
      <rPr>
        <b val="true"/>
        <sz val="12"/>
        <color rgb="FFBF8F00"/>
        <rFont val="微軟正黑體"/>
        <family val="0"/>
        <charset val="1"/>
      </rPr>
      <t xml:space="preserve">Terminal value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</si>
  <si>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終值方法</t>
  </si>
  <si>
    <r>
      <rPr>
        <b val="true"/>
        <sz val="10.5"/>
        <color rgb="FF000000"/>
        <rFont val="Noto Sans CJK SC"/>
        <family val="2"/>
      </rPr>
      <t xml:space="preserve">殘值法 </t>
    </r>
    <r>
      <rPr>
        <b val="true"/>
        <sz val="10.5"/>
        <color rgb="FF000000"/>
        <rFont val="微軟正黑體"/>
        <family val="0"/>
        <charset val="1"/>
      </rPr>
      <t xml:space="preserve">Salvage</t>
    </r>
    <r>
      <rPr>
        <b val="true"/>
        <sz val="10.5"/>
        <color rgb="FF000000"/>
        <rFont val="Noto Sans CJK SC"/>
        <family val="2"/>
      </rPr>
      <t xml:space="preserve">（有限年期資產）</t>
    </r>
  </si>
  <si>
    <r>
      <rPr>
        <sz val="9"/>
        <color rgb="FF606060"/>
        <rFont val="Noto Sans CJK SC"/>
        <family val="2"/>
      </rPr>
      <t xml:space="preserve">★ 基礎建設與特許經營型專案的業界作法：不用永續成長法。</t>
    </r>
    <r>
      <rPr>
        <sz val="9"/>
        <color rgb="FF606060"/>
        <rFont val="微軟正黑體"/>
        <family val="0"/>
        <charset val="1"/>
      </rPr>
      <t xml:space="preserve">Wall Street Prep </t>
    </r>
    <r>
      <rPr>
        <sz val="9"/>
        <color rgb="FF606060"/>
        <rFont val="Noto Sans CJK SC"/>
        <family val="2"/>
      </rPr>
      <t xml:space="preserve">明述「終值法假設無限期營運，對有預定終止日的有限年期資產需採替代評價方法」。本檔預設殘值法。</t>
    </r>
  </si>
  <si>
    <r>
      <rPr>
        <b val="true"/>
        <sz val="10"/>
        <color rgb="FF1F3864"/>
        <rFont val="Noto Sans CJK SC"/>
        <family val="2"/>
      </rPr>
      <t xml:space="preserve">永續成長率 </t>
    </r>
    <r>
      <rPr>
        <b val="true"/>
        <sz val="10"/>
        <color rgb="FF1F3864"/>
        <rFont val="微軟正黑體"/>
        <family val="0"/>
        <charset val="1"/>
      </rPr>
      <t xml:space="preserve">g</t>
    </r>
    <r>
      <rPr>
        <b val="true"/>
        <sz val="10"/>
        <color rgb="FF1F3864"/>
        <rFont val="Noto Sans CJK SC"/>
        <family val="2"/>
      </rPr>
      <t xml:space="preserve">（僅永續法用）</t>
    </r>
  </si>
  <si>
    <r>
      <rPr>
        <sz val="9"/>
        <color rgb="FF606060"/>
        <rFont val="Noto Sans CJK SC"/>
        <family val="2"/>
      </rPr>
      <t xml:space="preserve">若改用永續成長法：</t>
    </r>
    <r>
      <rPr>
        <sz val="9"/>
        <color rgb="FF606060"/>
        <rFont val="微軟正黑體"/>
        <family val="0"/>
        <charset val="1"/>
      </rPr>
      <t xml:space="preserve">g </t>
    </r>
    <r>
      <rPr>
        <sz val="9"/>
        <color rgb="FF606060"/>
        <rFont val="Noto Sans CJK SC"/>
        <family val="2"/>
      </rPr>
      <t xml:space="preserve">應介於 </t>
    </r>
    <r>
      <rPr>
        <sz val="9"/>
        <color rgb="FF606060"/>
        <rFont val="微軟正黑體"/>
        <family val="0"/>
        <charset val="1"/>
      </rPr>
      <t xml:space="preserve">2–4%</t>
    </r>
    <r>
      <rPr>
        <sz val="9"/>
        <color rgb="FF606060"/>
        <rFont val="Noto Sans CJK SC"/>
        <family val="2"/>
      </rPr>
      <t xml:space="preserve">，超過 </t>
    </r>
    <r>
      <rPr>
        <sz val="9"/>
        <color rgb="FF606060"/>
        <rFont val="微軟正黑體"/>
        <family val="0"/>
        <charset val="1"/>
      </rPr>
      <t xml:space="preserve">5% </t>
    </r>
    <r>
      <rPr>
        <sz val="9"/>
        <color rgb="FF606060"/>
        <rFont val="Noto Sans CJK SC"/>
        <family val="2"/>
      </rPr>
      <t xml:space="preserve">等於假設本案最終超越全球經濟成長。</t>
    </r>
  </si>
  <si>
    <r>
      <rPr>
        <b val="true"/>
        <sz val="10"/>
        <color rgb="FF548235"/>
        <rFont val="Noto Sans CJK SC"/>
        <family val="2"/>
      </rPr>
      <t xml:space="preserve">填完本頁後，請依序檢查 </t>
    </r>
    <r>
      <rPr>
        <b val="true"/>
        <sz val="10"/>
        <color rgb="FF548235"/>
        <rFont val="微軟正黑體"/>
        <family val="0"/>
        <charset val="1"/>
      </rPr>
      <t xml:space="preserve">02 → 03 → 04</t>
    </r>
    <r>
      <rPr>
        <b val="true"/>
        <sz val="10"/>
        <color rgb="FF548235"/>
        <rFont val="Noto Sans CJK SC"/>
        <family val="2"/>
      </rPr>
      <t xml:space="preserve">，然後直接看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決策摘要。</t>
    </r>
    <r>
      <rPr>
        <b val="true"/>
        <sz val="10"/>
        <color rgb="FF548235"/>
        <rFont val="微軟正黑體"/>
        <family val="0"/>
        <charset val="1"/>
      </rPr>
      <t xml:space="preserve">05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06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08 </t>
    </r>
    <r>
      <rPr>
        <b val="true"/>
        <sz val="10"/>
        <color rgb="FF548235"/>
        <rFont val="Noto Sans CJK SC"/>
        <family val="2"/>
      </rPr>
      <t xml:space="preserve">是自動算的，不需編輯；</t>
    </r>
    <r>
      <rPr>
        <b val="true"/>
        <sz val="10"/>
        <color rgb="FF548235"/>
        <rFont val="微軟正黑體"/>
        <family val="0"/>
        <charset val="1"/>
      </rPr>
      <t xml:space="preserve">07 </t>
    </r>
    <r>
      <rPr>
        <b val="true"/>
        <sz val="10"/>
        <color rgb="FF548235"/>
        <rFont val="Noto Sans CJK SC"/>
        <family val="2"/>
      </rPr>
      <t xml:space="preserve">折現率建議與投資方確認後再定案；</t>
    </r>
    <r>
      <rPr>
        <b val="true"/>
        <sz val="10"/>
        <color rgb="FF548235"/>
        <rFont val="微軟正黑體"/>
        <family val="0"/>
        <charset val="1"/>
      </rPr>
      <t xml:space="preserve">09 </t>
    </r>
    <r>
      <rPr>
        <b val="true"/>
        <sz val="10"/>
        <color rgb="FF548235"/>
        <rFont val="Noto Sans CJK SC"/>
        <family val="2"/>
      </rPr>
      <t xml:space="preserve">只有使能型投資需要填。</t>
    </r>
  </si>
  <si>
    <r>
      <rPr>
        <b val="true"/>
        <sz val="15"/>
        <color rgb="FFFFFFFF"/>
        <rFont val="微軟正黑體"/>
        <family val="0"/>
        <charset val="1"/>
      </rPr>
      <t xml:space="preserve">01B </t>
    </r>
    <r>
      <rPr>
        <b val="true"/>
        <sz val="15"/>
        <color rgb="FFFFFFFF"/>
        <rFont val="Noto Sans CJK SC"/>
        <family val="2"/>
      </rPr>
      <t xml:space="preserve">投資類別判斷精靈｜</t>
    </r>
    <r>
      <rPr>
        <b val="true"/>
        <sz val="15"/>
        <color rgb="FFFFFFFF"/>
        <rFont val="微軟正黑體"/>
        <family val="0"/>
        <charset val="1"/>
      </rPr>
      <t xml:space="preserve">Which yardstick should this project be measured with?</t>
    </r>
  </si>
  <si>
    <r>
      <rPr>
        <i val="true"/>
        <sz val="9.5"/>
        <color rgb="FF404040"/>
        <rFont val="Noto Sans CJK SC"/>
        <family val="2"/>
      </rPr>
      <t xml:space="preserve">不確定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分頁該選哪一種投資類別時，回答下面四題（不適用的題目留白即可），本頁會推薦一類並說明理由。★ 這是輔助工具，不是替你決定——推薦出來之後請自己確認合理，再回到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欄選擇。</t>
    </r>
  </si>
  <si>
    <t xml:space="preserve">★ 回答之前先確認一件事：本試算器一律站在「群晶／聯盟」的投資角度，不是醫院的角度。
同一個案子，對醫院可能是「法規強制型」（不做不能營業），對群晶卻是「營收型」或「策略布局型」。搞錯立場，後面四題都會答錯。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</si>
  <si>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依序回答（不適用的題留白）</t>
    </r>
  </si>
  <si>
    <t xml:space="preserve">題號</t>
  </si>
  <si>
    <t xml:space="preserve">問題</t>
  </si>
  <si>
    <t xml:space="preserve">你的回答（下拉選擇）</t>
  </si>
  <si>
    <t xml:space="preserve">怎麼想這一題</t>
  </si>
  <si>
    <t xml:space="preserve">Q1</t>
  </si>
  <si>
    <t xml:space="preserve">這個案子有沒有錢從「聯盟外部」進來？</t>
  </si>
  <si>
    <r>
      <rPr>
        <b val="true"/>
        <sz val="10.5"/>
        <color rgb="FF000000"/>
        <rFont val="Noto Sans CJK SC"/>
        <family val="2"/>
      </rPr>
      <t xml:space="preserve">有，但金額還算不準（要等市場成熟，或要等第 </t>
    </r>
    <r>
      <rPr>
        <b val="true"/>
        <sz val="10.5"/>
        <color rgb="FF000000"/>
        <rFont val="微軟正黑體"/>
        <family val="0"/>
        <charset val="1"/>
      </rPr>
      <t xml:space="preserve">2</t>
    </r>
    <r>
      <rPr>
        <b val="true"/>
        <sz val="10.5"/>
        <color rgb="FF000000"/>
        <rFont val="Noto Sans CJK SC"/>
        <family val="2"/>
      </rPr>
      <t xml:space="preserve">、</t>
    </r>
    <r>
      <rPr>
        <b val="true"/>
        <sz val="10.5"/>
        <color rgb="FF000000"/>
        <rFont val="微軟正黑體"/>
        <family val="0"/>
        <charset val="1"/>
      </rPr>
      <t xml:space="preserve">3 </t>
    </r>
    <r>
      <rPr>
        <b val="true"/>
        <sz val="10.5"/>
        <color rgb="FF000000"/>
        <rFont val="Noto Sans CJK SC"/>
        <family val="2"/>
      </rPr>
      <t xml:space="preserve">個客戶）</t>
    </r>
  </si>
  <si>
    <r>
      <rPr>
        <sz val="8.5"/>
        <color rgb="FF505050"/>
        <rFont val="Noto Sans CJK SC"/>
        <family val="2"/>
      </rPr>
      <t xml:space="preserve">★ 關鍵在「外部」兩個字。外部＝聯盟以外的付款者（醫院、健保 </t>
    </r>
    <r>
      <rPr>
        <sz val="8.5"/>
        <color rgb="FF505050"/>
        <rFont val="微軟正黑體"/>
        <family val="0"/>
        <charset val="1"/>
      </rPr>
      <t xml:space="preserve">BHYT</t>
    </r>
    <r>
      <rPr>
        <sz val="8.5"/>
        <color rgb="FF505050"/>
        <rFont val="Noto Sans CJK SC"/>
        <family val="2"/>
      </rPr>
      <t xml:space="preserve">、病人自費、保險公司）。院內或聯盟內的「內部轉付服務費」不算——那是左手換右手，不是新的錢進來。「算得準」的意思是：有公告給付碼、有正式報價，或有可比的市場行情。</t>
    </r>
  </si>
  <si>
    <t xml:space="preserve">Q2</t>
  </si>
  <si>
    <r>
      <rPr>
        <b val="true"/>
        <sz val="11"/>
        <color rgb="FF1F3864"/>
        <rFont val="Noto Sans CJK SC"/>
        <family val="2"/>
      </rPr>
      <t xml:space="preserve">不做這個案子，會發生什麼？（</t>
    </r>
    <r>
      <rPr>
        <b val="true"/>
        <sz val="11"/>
        <color rgb="FF1F3864"/>
        <rFont val="微軟正黑體"/>
        <family val="0"/>
        <charset val="1"/>
      </rPr>
      <t xml:space="preserve">Q1 </t>
    </r>
    <r>
      <rPr>
        <b val="true"/>
        <sz val="11"/>
        <color rgb="FF1F3864"/>
        <rFont val="Noto Sans CJK SC"/>
        <family val="2"/>
      </rPr>
      <t xml:space="preserve">選「沒有」才需要答）</t>
    </r>
  </si>
  <si>
    <t xml:space="preserve">這一題在問「效益的形式」。它不產生收入，那它到底幫你避免了什麼？是別的專案做不成、是被罰、是某筆支出繼續花、還是營運中斷——四種答案對應四種不同的評估方法。</t>
  </si>
  <si>
    <t xml:space="preserve">Q3</t>
  </si>
  <si>
    <t xml:space="preserve">這個案子承載（服務）幾個其他專案？</t>
  </si>
  <si>
    <r>
      <rPr>
        <sz val="8.5"/>
        <color rgb="FF505050"/>
        <rFont val="Noto Sans CJK SC"/>
        <family val="2"/>
      </rPr>
      <t xml:space="preserve">★ 使能型投資的硬門檻：必須 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。只服務單一專案的「平台」，本質上是那個專案的成本，不是平台，應該把成本併進那個專案一起評估。填之前可以先去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 </t>
    </r>
    <r>
      <rPr>
        <sz val="8.5"/>
        <color rgb="FF505050"/>
        <rFont val="微軟正黑體"/>
        <family val="0"/>
        <charset val="1"/>
      </rPr>
      <t xml:space="preserve">F </t>
    </r>
    <r>
      <rPr>
        <sz val="8.5"/>
        <color rgb="FF505050"/>
        <rFont val="Noto Sans CJK SC"/>
        <family val="2"/>
      </rPr>
      <t xml:space="preserve">區塊把承載清單列出來數一數。</t>
    </r>
  </si>
  <si>
    <t xml:space="preserve">Q4</t>
  </si>
  <si>
    <r>
      <rPr>
        <b val="true"/>
        <sz val="11"/>
        <color rgb="FF1F3864"/>
        <rFont val="Noto Sans CJK SC"/>
        <family val="2"/>
      </rPr>
      <t xml:space="preserve">不做的話，現有營運會不會停擺？（</t>
    </r>
    <r>
      <rPr>
        <b val="true"/>
        <sz val="11"/>
        <color rgb="FF1F3864"/>
        <rFont val="微軟正黑體"/>
        <family val="0"/>
        <charset val="1"/>
      </rPr>
      <t xml:space="preserve">Q2 </t>
    </r>
    <r>
      <rPr>
        <b val="true"/>
        <sz val="11"/>
        <color rgb="FF1F3864"/>
        <rFont val="Noto Sans CJK SC"/>
        <family val="2"/>
      </rPr>
      <t xml:space="preserve">選「某一筆既有支出」才需要答）</t>
    </r>
  </si>
  <si>
    <r>
      <rPr>
        <sz val="8.5"/>
        <color rgb="FF505050"/>
        <rFont val="Noto Sans CJK SC"/>
        <family val="2"/>
      </rPr>
      <t xml:space="preserve">用來分辨 </t>
    </r>
    <r>
      <rPr>
        <sz val="8.5"/>
        <color rgb="FF505050"/>
        <rFont val="微軟正黑體"/>
        <family val="0"/>
        <charset val="1"/>
      </rPr>
      <t xml:space="preserve">D </t>
    </r>
    <r>
      <rPr>
        <sz val="8.5"/>
        <color rgb="FF505050"/>
        <rFont val="Noto Sans CJK SC"/>
        <family val="2"/>
      </rPr>
      <t xml:space="preserve">降本型與 </t>
    </r>
    <r>
      <rPr>
        <sz val="8.5"/>
        <color rgb="FF505050"/>
        <rFont val="微軟正黑體"/>
        <family val="0"/>
        <charset val="1"/>
      </rPr>
      <t xml:space="preserve">E </t>
    </r>
    <r>
      <rPr>
        <sz val="8.5"/>
        <color rgb="FF505050"/>
        <rFont val="Noto Sans CJK SC"/>
        <family val="2"/>
      </rPr>
      <t xml:space="preserve">汰換維持型。判準是「你有沒有真的選擇」：不做就停擺 ⇒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（沒得選，不必細算，同規格取最低生命週期成本即可）；還能撐一段時間 ⇒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（有得選，要細算，因為你可以選擇不做）。</t>
    </r>
  </si>
  <si>
    <r>
      <rPr>
        <b val="true"/>
        <sz val="12"/>
        <color rgb="FF548235"/>
        <rFont val="微軟正黑體"/>
        <family val="0"/>
        <charset val="1"/>
      </rPr>
      <t xml:space="preserve">B. </t>
    </r>
    <r>
      <rPr>
        <b val="true"/>
        <sz val="12"/>
        <color rgb="FF548235"/>
        <rFont val="Noto Sans CJK SC"/>
        <family val="2"/>
      </rPr>
      <t xml:space="preserve">判斷結果</t>
    </r>
  </si>
  <si>
    <t xml:space="preserve">★ 建議投資類別</t>
  </si>
  <si>
    <t xml:space="preserve">判斷理由</t>
  </si>
  <si>
    <t xml:space="preserve">建議下一步</t>
  </si>
  <si>
    <r>
      <rPr>
        <b val="true"/>
        <sz val="10.5"/>
        <color rgb="FF1F3864"/>
        <rFont val="Noto Sans CJK SC"/>
        <family val="2"/>
      </rPr>
      <t xml:space="preserve">與 </t>
    </r>
    <r>
      <rPr>
        <b val="true"/>
        <sz val="10.5"/>
        <color rgb="FF1F3864"/>
        <rFont val="微軟正黑體"/>
        <family val="0"/>
        <charset val="1"/>
      </rPr>
      <t xml:space="preserve">01 </t>
    </r>
    <r>
      <rPr>
        <b val="true"/>
        <sz val="10.5"/>
        <color rgb="FF1F3864"/>
        <rFont val="Noto Sans CJK SC"/>
        <family val="2"/>
      </rPr>
      <t xml:space="preserve">分頁比對</t>
    </r>
  </si>
  <si>
    <r>
      <rPr>
        <b val="true"/>
        <sz val="12"/>
        <color rgb="FFC00000"/>
        <rFont val="微軟正黑體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四個最常卡住的地方</t>
    </r>
  </si>
  <si>
    <t xml:space="preserve">① 立場沒講清楚</t>
  </si>
  <si>
    <r>
      <rPr>
        <sz val="9"/>
        <color rgb="FF404050"/>
        <rFont val="Noto Sans CJK SC"/>
        <family val="2"/>
      </rPr>
      <t xml:space="preserve">同一個案子，對醫院是「法規強制型」（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月前必須完成電子病歷），對群晶卻是「策略布局型」。本表一律站在群晶／聯盟的投資角度。填之前先確認你在算誰的帳。</t>
    </r>
  </si>
  <si>
    <t xml:space="preserve">② 內部轉付被當成營收</t>
  </si>
  <si>
    <r>
      <rPr>
        <sz val="9"/>
        <color rgb="FF404050"/>
        <rFont val="Noto Sans CJK SC"/>
        <family val="2"/>
      </rPr>
      <t xml:space="preserve">機房向院內其他專案收「內部服務費」，看起來像收入，但那是左手換右手。判準：這筆錢有沒有從聯盟外部進來？沒有就是 </t>
    </r>
    <r>
      <rPr>
        <sz val="9"/>
        <color rgb="FF404050"/>
        <rFont val="微軟正黑體"/>
        <family val="0"/>
        <charset val="1"/>
      </rPr>
      <t xml:space="preserve">B </t>
    </r>
    <r>
      <rPr>
        <sz val="9"/>
        <color rgb="FF404050"/>
        <rFont val="Noto Sans CJK SC"/>
        <family val="2"/>
      </rPr>
      <t xml:space="preserve">使能型，不是 </t>
    </r>
    <r>
      <rPr>
        <sz val="9"/>
        <color rgb="FF404050"/>
        <rFont val="微軟正黑體"/>
        <family val="0"/>
        <charset val="1"/>
      </rPr>
      <t xml:space="preserve">A </t>
    </r>
    <r>
      <rPr>
        <sz val="9"/>
        <color rgb="FF404050"/>
        <rFont val="Noto Sans CJK SC"/>
        <family val="2"/>
      </rPr>
      <t xml:space="preserve">營收型。</t>
    </r>
  </si>
  <si>
    <r>
      <rPr>
        <b val="true"/>
        <sz val="10"/>
        <color rgb="FFC00000"/>
        <rFont val="微軟正黑體"/>
        <family val="0"/>
        <charset val="1"/>
      </rPr>
      <t xml:space="preserve">③ D </t>
    </r>
    <r>
      <rPr>
        <b val="true"/>
        <sz val="10"/>
        <color rgb="FFC00000"/>
        <rFont val="Noto Sans CJK SC"/>
        <family val="2"/>
      </rPr>
      <t xml:space="preserve">和 </t>
    </r>
    <r>
      <rPr>
        <b val="true"/>
        <sz val="10"/>
        <color rgb="FFC00000"/>
        <rFont val="微軟正黑體"/>
        <family val="0"/>
        <charset val="1"/>
      </rPr>
      <t xml:space="preserve">E </t>
    </r>
    <r>
      <rPr>
        <b val="true"/>
        <sz val="10"/>
        <color rgb="FFC00000"/>
        <rFont val="Noto Sans CJK SC"/>
        <family val="2"/>
      </rPr>
      <t xml:space="preserve">分不開</t>
    </r>
  </si>
  <si>
    <r>
      <rPr>
        <sz val="9"/>
        <color rgb="FF404050"/>
        <rFont val="Noto Sans CJK SC"/>
        <family val="2"/>
      </rPr>
      <t xml:space="preserve">汰換舊伺服器同時也省電費，算哪一種？看你有沒有真的選擇：不換就停擺 ⇒ </t>
    </r>
    <r>
      <rPr>
        <sz val="9"/>
        <color rgb="FF404050"/>
        <rFont val="微軟正黑體"/>
        <family val="0"/>
        <charset val="1"/>
      </rPr>
      <t xml:space="preserve">E</t>
    </r>
    <r>
      <rPr>
        <sz val="9"/>
        <color rgb="FF404050"/>
        <rFont val="Noto Sans CJK SC"/>
        <family val="2"/>
      </rPr>
      <t xml:space="preserve">（不必細算）；還能撐但換了更省 ⇒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（要細算）。這就是 </t>
    </r>
    <r>
      <rPr>
        <sz val="9"/>
        <color rgb="FF404050"/>
        <rFont val="微軟正黑體"/>
        <family val="0"/>
        <charset val="1"/>
      </rPr>
      <t xml:space="preserve">Q4 </t>
    </r>
    <r>
      <rPr>
        <sz val="9"/>
        <color rgb="FF404050"/>
        <rFont val="Noto Sans CJK SC"/>
        <family val="2"/>
      </rPr>
      <t xml:space="preserve">在問的事。</t>
    </r>
  </si>
  <si>
    <t xml:space="preserve">④ 一個案子同時符合兩三類</t>
  </si>
  <si>
    <r>
      <rPr>
        <sz val="9"/>
        <color rgb="FF404050"/>
        <rFont val="Noto Sans CJK SC"/>
        <family val="2"/>
      </rPr>
      <t xml:space="preserve">很常見。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案其實同時是 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（承載別的專案）和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（比外租省錢）。規則：選效益佔比最大的那一類，其餘寫進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假設來源分頁備註，不要為了數字好看挑一個。</t>
    </r>
  </si>
  <si>
    <r>
      <rPr>
        <b val="true"/>
        <sz val="10"/>
        <color rgb="FF1F3864"/>
        <rFont val="Noto Sans CJK SC"/>
        <family val="2"/>
      </rPr>
      <t xml:space="preserve">如果四題怎麼答都答不出來，通常不是分類法不夠用，而是「專案範圍畫錯了」——把兩件性質不同的事綁在同一個案子裡。這時候該做的是拆案，不是硬選一個類別。（本工具的 </t>
    </r>
    <r>
      <rPr>
        <b val="true"/>
        <sz val="10"/>
        <color rgb="FF1F3864"/>
        <rFont val="微軟正黑體"/>
        <family val="0"/>
        <charset val="1"/>
      </rPr>
      <t xml:space="preserve">IDC </t>
    </r>
    <r>
      <rPr>
        <b val="true"/>
        <sz val="10"/>
        <color rgb="FF1F3864"/>
        <rFont val="Noto Sans CJK SC"/>
        <family val="2"/>
      </rPr>
      <t xml:space="preserve">個案刻意把院區網路排除在機房案之外，就是這個理由。）</t>
    </r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</si>
  <si>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投資成本 </t>
    </r>
    <r>
      <rPr>
        <b val="true"/>
        <sz val="15"/>
        <color rgb="FFFFFFFF"/>
        <rFont val="微軟正黑體"/>
        <family val="0"/>
        <charset val="1"/>
      </rPr>
      <t xml:space="preserve">CAPEX</t>
    </r>
    <r>
      <rPr>
        <b val="true"/>
        <sz val="15"/>
        <color rgb="FFFFFFFF"/>
        <rFont val="Noto Sans CJK SC"/>
        <family val="2"/>
      </rPr>
      <t xml:space="preserve">｜工程分項明細（</t>
    </r>
    <r>
      <rPr>
        <b val="true"/>
        <sz val="15"/>
        <color rgb="FFFFFFFF"/>
        <rFont val="微軟正黑體"/>
        <family val="0"/>
        <charset val="1"/>
      </rPr>
      <t xml:space="preserve">BOQ</t>
    </r>
    <r>
      <rPr>
        <b val="true"/>
        <sz val="15"/>
        <color rgb="FFFFFFFF"/>
        <rFont val="Noto Sans CJK SC"/>
        <family val="2"/>
      </rPr>
      <t xml:space="preserve">）</t>
    </r>
  </si>
  <si>
    <r>
      <rPr>
        <i val="true"/>
        <sz val="9.5"/>
        <color rgb="FF404040"/>
        <rFont val="Noto Sans CJK SC"/>
        <family val="2"/>
      </rPr>
      <t xml:space="preserve">黃底＝要填。每一列請用工程界正式的分項名稱，並以「數量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單價」結構表達，這樣才能拿去跟廠商報價逐項核對。★ 關稅與 </t>
    </r>
    <r>
      <rPr>
        <i val="true"/>
        <sz val="9.5"/>
        <color rgb="FF404040"/>
        <rFont val="微軟正黑體"/>
        <family val="0"/>
        <charset val="1"/>
      </rPr>
      <t xml:space="preserve">VAT</t>
    </r>
    <r>
      <rPr>
        <i val="true"/>
        <sz val="9.5"/>
        <color rgb="FF404040"/>
        <rFont val="Noto Sans CJK SC"/>
        <family val="2"/>
      </rPr>
      <t xml:space="preserve">：越南醫療服務屬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免稅，代表進項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不可扣抵、必須計入成本並資本化——</t>
    </r>
    <r>
      <rPr>
        <i val="true"/>
        <sz val="9.5"/>
        <color rgb="FF404040"/>
        <rFont val="微軟正黑體"/>
        <family val="0"/>
        <charset val="1"/>
      </rPr>
      <t xml:space="preserve">K </t>
    </r>
    <r>
      <rPr>
        <i val="true"/>
        <sz val="9.5"/>
        <color rgb="FF404040"/>
        <rFont val="Noto Sans CJK SC"/>
        <family val="2"/>
      </rPr>
      <t xml:space="preserve">欄已內建此計算。★ 折舊年限依 </t>
    </r>
    <r>
      <rPr>
        <i val="true"/>
        <sz val="9.5"/>
        <color rgb="FF404040"/>
        <rFont val="微軟正黑體"/>
        <family val="0"/>
        <charset val="1"/>
      </rPr>
      <t xml:space="preserve">Circular 45/2013/TT-BTC</t>
    </r>
    <r>
      <rPr>
        <i val="true"/>
        <sz val="9.5"/>
        <color rgb="FF404040"/>
        <rFont val="Noto Sans CJK SC"/>
        <family val="2"/>
      </rPr>
      <t xml:space="preserve">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</t>
    </r>
  </si>
  <si>
    <r>
      <rPr>
        <sz val="9"/>
        <color rgb="FFC00000"/>
        <rFont val="Noto Sans CJK SC"/>
        <family val="2"/>
      </rPr>
      <t xml:space="preserve">★ 進口項目會被課關稅與進口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，且關稅計價基礎是 </t>
    </r>
    <r>
      <rPr>
        <sz val="9"/>
        <color rgb="FFC00000"/>
        <rFont val="微軟正黑體"/>
        <family val="0"/>
        <charset val="1"/>
      </rPr>
      <t xml:space="preserve">CIF</t>
    </r>
    <r>
      <rPr>
        <sz val="9"/>
        <color rgb="FFC00000"/>
        <rFont val="Noto Sans CJK SC"/>
        <family val="2"/>
      </rPr>
      <t xml:space="preserve">（含運費保險）；在地施工項目只有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。</t>
    </r>
    <r>
      <rPr>
        <sz val="9"/>
        <color rgb="FFC00000"/>
        <rFont val="微軟正黑體"/>
        <family val="0"/>
        <charset val="1"/>
      </rPr>
      <t xml:space="preserve">CT </t>
    </r>
    <r>
      <rPr>
        <sz val="9"/>
        <color rgb="FFC00000"/>
        <rFont val="Noto Sans CJK SC"/>
        <family val="2"/>
      </rPr>
      <t xml:space="preserve">主機 </t>
    </r>
    <r>
      <rPr>
        <sz val="9"/>
        <color rgb="FFC00000"/>
        <rFont val="微軟正黑體"/>
        <family val="0"/>
        <charset val="1"/>
      </rPr>
      <t xml:space="preserve">HS 9022.12.00 </t>
    </r>
    <r>
      <rPr>
        <sz val="9"/>
        <color rgb="FFC00000"/>
        <rFont val="Noto Sans CJK SC"/>
        <family val="2"/>
      </rPr>
      <t xml:space="preserve">的 </t>
    </r>
    <r>
      <rPr>
        <sz val="9"/>
        <color rgb="FFC00000"/>
        <rFont val="微軟正黑體"/>
        <family val="0"/>
        <charset val="1"/>
      </rPr>
      <t xml:space="preserve">MFN </t>
    </r>
    <r>
      <rPr>
        <sz val="9"/>
        <color rgb="FFC00000"/>
        <rFont val="Noto Sans CJK SC"/>
        <family val="2"/>
      </rPr>
      <t xml:space="preserve">稅率為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、</t>
    </r>
    <r>
      <rPr>
        <sz val="9"/>
        <color rgb="FFC00000"/>
        <rFont val="微軟正黑體"/>
        <family val="0"/>
        <charset val="1"/>
      </rPr>
      <t xml:space="preserve">FTA </t>
    </r>
    <r>
      <rPr>
        <sz val="9"/>
        <color rgb="FFC00000"/>
        <rFont val="Noto Sans CJK SC"/>
        <family val="2"/>
      </rPr>
      <t xml:space="preserve">亦為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（須附有效 </t>
    </r>
    <r>
      <rPr>
        <sz val="9"/>
        <color rgb="FFC00000"/>
        <rFont val="微軟正黑體"/>
        <family val="0"/>
        <charset val="1"/>
      </rPr>
      <t xml:space="preserve">C/O</t>
    </r>
    <r>
      <rPr>
        <sz val="9"/>
        <color rgb="FFC00000"/>
        <rFont val="Noto Sans CJK SC"/>
        <family val="2"/>
      </rPr>
      <t xml:space="preserve">），但 </t>
    </r>
    <r>
      <rPr>
        <sz val="9"/>
        <color rgb="FFC00000"/>
        <rFont val="微軟正黑體"/>
        <family val="0"/>
        <charset val="1"/>
      </rPr>
      <t xml:space="preserve">UPS</t>
    </r>
    <r>
      <rPr>
        <sz val="9"/>
        <color rgb="FFC00000"/>
        <rFont val="Noto Sans CJK SC"/>
        <family val="2"/>
      </rPr>
      <t xml:space="preserve">／發電機／空調類非 </t>
    </r>
    <r>
      <rPr>
        <sz val="9"/>
        <color rgb="FFC00000"/>
        <rFont val="微軟正黑體"/>
        <family val="0"/>
        <charset val="1"/>
      </rPr>
      <t xml:space="preserve">ITA </t>
    </r>
    <r>
      <rPr>
        <sz val="9"/>
        <color rgb="FFC00000"/>
        <rFont val="Noto Sans CJK SC"/>
        <family val="2"/>
      </rPr>
      <t xml:space="preserve">涵蓋，稅率明顯較高。</t>
    </r>
  </si>
  <si>
    <t xml:space="preserve">項次</t>
  </si>
  <si>
    <t xml:space="preserve">分類</t>
  </si>
  <si>
    <r>
      <rPr>
        <b val="true"/>
        <sz val="9.5"/>
        <color rgb="FFFFFFFF"/>
        <rFont val="Noto Sans CJK SC"/>
        <family val="2"/>
      </rPr>
      <t xml:space="preserve">分項工程名稱 </t>
    </r>
    <r>
      <rPr>
        <b val="true"/>
        <sz val="9.5"/>
        <color rgb="FFFFFFFF"/>
        <rFont val="微軟正黑體"/>
        <family val="0"/>
        <charset val="1"/>
      </rPr>
      <t xml:space="preserve">Work item</t>
    </r>
    <r>
      <rPr>
        <b val="true"/>
        <sz val="9.5"/>
        <color rgb="FFFFFFFF"/>
        <rFont val="Noto Sans CJK SC"/>
        <family val="2"/>
      </rPr>
      <t xml:space="preserve">（工程界正式名稱）</t>
    </r>
  </si>
  <si>
    <t xml:space="preserve">單位</t>
  </si>
  <si>
    <t xml:space="preserve">數量</t>
  </si>
  <si>
    <t xml:space="preserve">單價
（輸入幣別）</t>
  </si>
  <si>
    <t xml:space="preserve">未稅小計
（輸入幣別）</t>
  </si>
  <si>
    <t xml:space="preserve">進口／在地</t>
  </si>
  <si>
    <t xml:space="preserve">關稅率</t>
  </si>
  <si>
    <r>
      <rPr>
        <b val="true"/>
        <sz val="9.5"/>
        <color rgb="FFFFFFFF"/>
        <rFont val="微軟正黑體"/>
        <family val="0"/>
        <charset val="1"/>
      </rPr>
      <t xml:space="preserve">VAT</t>
    </r>
    <r>
      <rPr>
        <b val="true"/>
        <sz val="9.5"/>
        <color rgb="FFFFFFFF"/>
        <rFont val="Noto Sans CJK SC"/>
        <family val="2"/>
      </rPr>
      <t xml:space="preserve">率</t>
    </r>
  </si>
  <si>
    <t xml:space="preserve">不可扣抵稅費
（輸入幣別）</t>
  </si>
  <si>
    <t xml:space="preserve">含稅總額
（輸入幣別）</t>
  </si>
  <si>
    <t xml:space="preserve">折舊類別</t>
  </si>
  <si>
    <t xml:space="preserve">折舊
年限</t>
  </si>
  <si>
    <t xml:space="preserve">置換年</t>
  </si>
  <si>
    <t xml:space="preserve">殘值率</t>
  </si>
  <si>
    <t xml:space="preserve">出處／備註</t>
  </si>
  <si>
    <t xml:space="preserve">軟體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</si>
  <si>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核心平台授權（</t>
    </r>
    <r>
      <rPr>
        <sz val="9"/>
        <color rgb="FF000000"/>
        <rFont val="微軟正黑體"/>
        <family val="0"/>
        <charset val="1"/>
      </rPr>
      <t xml:space="preserve">500 </t>
    </r>
    <r>
      <rPr>
        <sz val="9"/>
        <color rgb="FF000000"/>
        <rFont val="Noto Sans CJK SC"/>
        <family val="2"/>
      </rPr>
      <t xml:space="preserve">床規模，含門診、住院、批價、病歷）</t>
    </r>
  </si>
  <si>
    <t xml:space="preserve">套</t>
  </si>
  <si>
    <t xml:space="preserve">進口</t>
  </si>
  <si>
    <r>
      <rPr>
        <sz val="9.5"/>
        <color rgb="FF000000"/>
        <rFont val="Noto Sans CJK SC"/>
        <family val="2"/>
      </rPr>
      <t xml:space="preserve">軟體與無形 </t>
    </r>
    <r>
      <rPr>
        <sz val="9.5"/>
        <color rgb="FF000000"/>
        <rFont val="微軟正黑體"/>
        <family val="0"/>
        <charset val="1"/>
      </rPr>
      <t xml:space="preserve">Software</t>
    </r>
  </si>
  <si>
    <r>
      <rPr>
        <sz val="8"/>
        <color rgb="FF606060"/>
        <rFont val="微軟正黑體"/>
        <family val="0"/>
        <charset val="1"/>
      </rPr>
      <t xml:space="preserve">tuoitre.vn</t>
    </r>
    <r>
      <rPr>
        <sz val="8"/>
        <color rgb="FF606060"/>
        <rFont val="Noto Sans CJK SC"/>
        <family val="2"/>
      </rPr>
      <t xml:space="preserve">：越南一級醫院 </t>
    </r>
    <r>
      <rPr>
        <sz val="8"/>
        <color rgb="FF606060"/>
        <rFont val="微軟正黑體"/>
        <family val="0"/>
        <charset val="1"/>
      </rPr>
      <t xml:space="preserve">IT </t>
    </r>
    <r>
      <rPr>
        <sz val="8"/>
        <color rgb="FF606060"/>
        <rFont val="Noto Sans CJK SC"/>
        <family val="2"/>
      </rPr>
      <t xml:space="preserve">投資 </t>
    </r>
    <r>
      <rPr>
        <sz val="8"/>
        <color rgb="FF606060"/>
        <rFont val="微軟正黑體"/>
        <family val="0"/>
        <charset val="1"/>
      </rPr>
      <t xml:space="preserve">10.5–40bn VND</t>
    </r>
    <r>
      <rPr>
        <sz val="8"/>
        <color rgb="FF606060"/>
        <rFont val="Noto Sans CJK SC"/>
        <family val="2"/>
      </rPr>
      <t xml:space="preserve">、占營收 </t>
    </r>
    <r>
      <rPr>
        <sz val="8"/>
        <color rgb="FF606060"/>
        <rFont val="微軟正黑體"/>
        <family val="0"/>
        <charset val="1"/>
      </rPr>
      <t xml:space="preserve">0.57–2.1%</t>
    </r>
    <r>
      <rPr>
        <sz val="8"/>
        <color rgb="FF606060"/>
        <rFont val="Noto Sans CJK SC"/>
        <family val="2"/>
      </rPr>
      <t xml:space="preserve">。★ 越南無公開每床授權價，廠商不公布價目（</t>
    </r>
    <r>
      <rPr>
        <sz val="8"/>
        <color rgb="FF606060"/>
        <rFont val="微軟正黑體"/>
        <family val="0"/>
        <charset val="1"/>
      </rPr>
      <t xml:space="preserve">ykhoanet.com</t>
    </r>
    <r>
      <rPr>
        <sz val="8"/>
        <color rgb="FF606060"/>
        <rFont val="Noto Sans CJK SC"/>
        <family val="2"/>
      </rPr>
      <t xml:space="preserve">）</t>
    </r>
  </si>
  <si>
    <r>
      <rPr>
        <sz val="9"/>
        <color rgb="FF000000"/>
        <rFont val="微軟正黑體"/>
        <family val="0"/>
        <charset val="1"/>
      </rPr>
      <t xml:space="preserve">LIS </t>
    </r>
    <r>
      <rPr>
        <sz val="9"/>
        <color rgb="FF000000"/>
        <rFont val="Noto Sans CJK SC"/>
        <family val="2"/>
      </rPr>
      <t xml:space="preserve">檢驗資訊模組與儀器雙向介接</t>
    </r>
  </si>
  <si>
    <t xml:space="preserve">電子病歷分級驗收要求檢驗檢查閉環</t>
  </si>
  <si>
    <r>
      <rPr>
        <sz val="9"/>
        <color rgb="FF000000"/>
        <rFont val="微軟正黑體"/>
        <family val="0"/>
        <charset val="1"/>
      </rPr>
      <t xml:space="preserve">RIS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介接與院內影像調閱</t>
    </r>
  </si>
  <si>
    <r>
      <rPr>
        <sz val="8"/>
        <color rgb="FF606060"/>
        <rFont val="Noto Sans CJK SC"/>
        <family val="2"/>
      </rPr>
      <t xml:space="preserve">與 </t>
    </r>
    <r>
      <rPr>
        <sz val="8"/>
        <color rgb="FF606060"/>
        <rFont val="微軟正黑體"/>
        <family val="0"/>
        <charset val="1"/>
      </rPr>
      <t xml:space="preserve">A </t>
    </r>
    <r>
      <rPr>
        <sz val="8"/>
        <color rgb="FF606060"/>
        <rFont val="Noto Sans CJK SC"/>
        <family val="2"/>
      </rPr>
      <t xml:space="preserve">醫院 </t>
    </r>
    <r>
      <rPr>
        <sz val="8"/>
        <color rgb="FF606060"/>
        <rFont val="微軟正黑體"/>
        <family val="0"/>
        <charset val="1"/>
      </rPr>
      <t xml:space="preserve">CT </t>
    </r>
    <r>
      <rPr>
        <sz val="8"/>
        <color rgb="FF606060"/>
        <rFont val="Noto Sans CJK SC"/>
        <family val="2"/>
      </rPr>
      <t xml:space="preserve">案的 </t>
    </r>
    <r>
      <rPr>
        <sz val="8"/>
        <color rgb="FF606060"/>
        <rFont val="微軟正黑體"/>
        <family val="0"/>
        <charset val="1"/>
      </rPr>
      <t xml:space="preserve">PACS </t>
    </r>
    <r>
      <rPr>
        <sz val="8"/>
        <color rgb="FF606060"/>
        <rFont val="Noto Sans CJK SC"/>
        <family val="2"/>
      </rPr>
      <t xml:space="preserve">採同一套標準，利於日後複製</t>
    </r>
  </si>
  <si>
    <r>
      <rPr>
        <sz val="9"/>
        <color rgb="FF000000"/>
        <rFont val="Noto Sans CJK SC"/>
        <family val="2"/>
      </rPr>
      <t xml:space="preserve">藥事管理與閉環給藥 </t>
    </r>
    <r>
      <rPr>
        <sz val="9"/>
        <color rgb="FF000000"/>
        <rFont val="微軟正黑體"/>
        <family val="0"/>
        <charset val="1"/>
      </rPr>
      <t xml:space="preserve">CPOE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BCMA </t>
    </r>
    <r>
      <rPr>
        <sz val="9"/>
        <color rgb="FF000000"/>
        <rFont val="Noto Sans CJK SC"/>
        <family val="2"/>
      </rPr>
      <t xml:space="preserve">模組</t>
    </r>
  </si>
  <si>
    <r>
      <rPr>
        <sz val="8"/>
        <color rgb="FF606060"/>
        <rFont val="Noto Sans CJK SC"/>
        <family val="2"/>
      </rPr>
      <t xml:space="preserve">給藥安全是 </t>
    </r>
    <r>
      <rPr>
        <sz val="8"/>
        <color rgb="FF606060"/>
        <rFont val="微軟正黑體"/>
        <family val="0"/>
        <charset val="1"/>
      </rPr>
      <t xml:space="preserve">EMR </t>
    </r>
    <r>
      <rPr>
        <sz val="8"/>
        <color rgb="FF606060"/>
        <rFont val="Noto Sans CJK SC"/>
        <family val="2"/>
      </rPr>
      <t xml:space="preserve">分級驗收的重點項目</t>
    </r>
  </si>
  <si>
    <t xml:space="preserve">護理紀錄與電子表單（含行動護理車終端授權）</t>
  </si>
  <si>
    <t xml:space="preserve">護理紀錄電子化是無紙化的最大工作量</t>
  </si>
  <si>
    <r>
      <rPr>
        <sz val="9"/>
        <color rgb="FF000000"/>
        <rFont val="微軟正黑體"/>
        <family val="0"/>
        <charset val="1"/>
      </rPr>
      <t xml:space="preserve">FHIR </t>
    </r>
    <r>
      <rPr>
        <sz val="9"/>
        <color rgb="FF000000"/>
        <rFont val="Noto Sans CJK SC"/>
        <family val="2"/>
      </rPr>
      <t xml:space="preserve">介接引擎（</t>
    </r>
    <r>
      <rPr>
        <sz val="9"/>
        <color rgb="FF000000"/>
        <rFont val="微軟正黑體"/>
        <family val="0"/>
        <charset val="1"/>
      </rPr>
      <t xml:space="preserve">HL7 FHIR R4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DICOM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</si>
  <si>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Decision 2146/QĐ-BYT </t>
    </r>
    <r>
      <rPr>
        <sz val="8"/>
        <color rgb="FF606060"/>
        <rFont val="Noto Sans CJK SC"/>
        <family val="2"/>
      </rPr>
      <t xml:space="preserve">指定 </t>
    </r>
    <r>
      <rPr>
        <sz val="8"/>
        <color rgb="FF606060"/>
        <rFont val="微軟正黑體"/>
        <family val="0"/>
        <charset val="1"/>
      </rPr>
      <t xml:space="preserve">HL7 FHIR R4</t>
    </r>
    <r>
      <rPr>
        <sz val="8"/>
        <color rgb="FF606060"/>
        <rFont val="Noto Sans CJK SC"/>
        <family val="2"/>
      </rPr>
      <t xml:space="preserve">＋</t>
    </r>
    <r>
      <rPr>
        <sz val="8"/>
        <color rgb="FF606060"/>
        <rFont val="微軟正黑體"/>
        <family val="0"/>
        <charset val="1"/>
      </rPr>
      <t xml:space="preserve">DICOM </t>
    </r>
    <r>
      <rPr>
        <sz val="8"/>
        <color rgb="FF606060"/>
        <rFont val="Noto Sans CJK SC"/>
        <family val="2"/>
      </rPr>
      <t xml:space="preserve">為國家標準；★ 越南本地 </t>
    </r>
    <r>
      <rPr>
        <sz val="8"/>
        <color rgb="FF606060"/>
        <rFont val="微軟正黑體"/>
        <family val="0"/>
        <charset val="1"/>
      </rPr>
      <t xml:space="preserve">IG </t>
    </r>
    <r>
      <rPr>
        <sz val="8"/>
        <color rgb="FF606060"/>
        <rFont val="Noto Sans CJK SC"/>
        <family val="2"/>
      </rPr>
      <t xml:space="preserve">仍為試用版，規格會變</t>
    </r>
  </si>
  <si>
    <r>
      <rPr>
        <sz val="9"/>
        <color rgb="FF000000"/>
        <rFont val="微軟正黑體"/>
        <family val="0"/>
        <charset val="1"/>
      </rPr>
      <t xml:space="preserve">VNeID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VSS </t>
    </r>
    <r>
      <rPr>
        <sz val="9"/>
        <color rgb="FF000000"/>
        <rFont val="Noto Sans CJK SC"/>
        <family val="2"/>
      </rPr>
      <t xml:space="preserve">健保申報與身分核驗介接</t>
    </r>
  </si>
  <si>
    <r>
      <rPr>
        <sz val="8"/>
        <color rgb="FF606060"/>
        <rFont val="Noto Sans CJK SC"/>
        <family val="2"/>
      </rPr>
      <t xml:space="preserve">★ 越南社保正在修訂申報資料閘道規則，介接規格變更風險高，</t>
    </r>
    <r>
      <rPr>
        <sz val="8"/>
        <color rgb="FF606060"/>
        <rFont val="微軟正黑體"/>
        <family val="0"/>
        <charset val="1"/>
      </rPr>
      <t xml:space="preserve">OPEX </t>
    </r>
    <r>
      <rPr>
        <sz val="8"/>
        <color rgb="FF606060"/>
        <rFont val="Noto Sans CJK SC"/>
        <family val="2"/>
      </rPr>
      <t xml:space="preserve">已編列維護費</t>
    </r>
  </si>
  <si>
    <t xml:space="preserve">服務</t>
  </si>
  <si>
    <t xml:space="preserve">越南在地化：病歷範本、衛生部報表格式、越文介面與術語對應</t>
  </si>
  <si>
    <t xml:space="preserve">式</t>
  </si>
  <si>
    <t xml:space="preserve">在地</t>
  </si>
  <si>
    <r>
      <rPr>
        <sz val="8"/>
        <color rgb="FF606060"/>
        <rFont val="Noto Sans CJK SC"/>
        <family val="2"/>
      </rPr>
      <t xml:space="preserve">★ 一次性投入。複製到第 </t>
    </r>
    <r>
      <rPr>
        <sz val="8"/>
        <color rgb="FF606060"/>
        <rFont val="微軟正黑體"/>
        <family val="0"/>
        <charset val="1"/>
      </rPr>
      <t xml:space="preserve">2</t>
    </r>
    <r>
      <rPr>
        <sz val="8"/>
        <color rgb="FF606060"/>
        <rFont val="Noto Sans CJK SC"/>
        <family val="2"/>
      </rPr>
      <t xml:space="preserve">、</t>
    </r>
    <r>
      <rPr>
        <sz val="8"/>
        <color rgb="FF606060"/>
        <rFont val="微軟正黑體"/>
        <family val="0"/>
        <charset val="1"/>
      </rPr>
      <t xml:space="preserve">3 </t>
    </r>
    <r>
      <rPr>
        <sz val="8"/>
        <color rgb="FF606060"/>
        <rFont val="Noto Sans CJK SC"/>
        <family val="2"/>
      </rPr>
      <t xml:space="preserve">家醫院時可攤薄六成以上——這是本案的核心商業論點</t>
    </r>
  </si>
  <si>
    <r>
      <rPr>
        <sz val="9"/>
        <color rgb="FF000000"/>
        <rFont val="Noto Sans CJK SC"/>
        <family val="2"/>
      </rPr>
      <t xml:space="preserve">資料移轉與病人主檔 </t>
    </r>
    <r>
      <rPr>
        <sz val="9"/>
        <color rgb="FF000000"/>
        <rFont val="微軟正黑體"/>
        <family val="0"/>
        <charset val="1"/>
      </rPr>
      <t xml:space="preserve">MPI </t>
    </r>
    <r>
      <rPr>
        <sz val="9"/>
        <color rgb="FF000000"/>
        <rFont val="Noto Sans CJK SC"/>
        <family val="2"/>
      </rPr>
      <t xml:space="preserve">清理去重（與 </t>
    </r>
    <r>
      <rPr>
        <sz val="9"/>
        <color rgb="FF000000"/>
        <rFont val="微軟正黑體"/>
        <family val="0"/>
        <charset val="1"/>
      </rPr>
      <t xml:space="preserve">CCCD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比對）</t>
    </r>
  </si>
  <si>
    <r>
      <rPr>
        <sz val="9.5"/>
        <color rgb="FF000000"/>
        <rFont val="Noto Sans CJK SC"/>
        <family val="2"/>
      </rPr>
      <t xml:space="preserve">費用化 </t>
    </r>
    <r>
      <rPr>
        <sz val="9.5"/>
        <color rgb="FF000000"/>
        <rFont val="微軟正黑體"/>
        <family val="0"/>
        <charset val="1"/>
      </rPr>
      <t xml:space="preserve">Expensed</t>
    </r>
  </si>
  <si>
    <r>
      <rPr>
        <sz val="8"/>
        <color rgb="FF606060"/>
        <rFont val="微軟正黑體"/>
        <family val="0"/>
        <charset val="1"/>
      </rPr>
      <t xml:space="preserve">pacscribe.com</t>
    </r>
    <r>
      <rPr>
        <sz val="8"/>
        <color rgb="FF606060"/>
        <rFont val="Noto Sans CJK SC"/>
        <family val="2"/>
      </rPr>
      <t xml:space="preserve">：資料移轉 </t>
    </r>
    <r>
      <rPr>
        <sz val="8"/>
        <color rgb="FF606060"/>
        <rFont val="微軟正黑體"/>
        <family val="0"/>
        <charset val="1"/>
      </rPr>
      <t xml:space="preserve">US$0.05–0.50/study</t>
    </r>
    <r>
      <rPr>
        <sz val="8"/>
        <color rgb="FF606060"/>
        <rFont val="Noto Sans CJK SC"/>
        <family val="2"/>
      </rPr>
      <t xml:space="preserve">。★ 一次性投入</t>
    </r>
  </si>
  <si>
    <r>
      <rPr>
        <sz val="9"/>
        <color rgb="FF000000"/>
        <rFont val="Noto Sans CJK SC"/>
        <family val="2"/>
      </rPr>
      <t xml:space="preserve">導入服務：流程重整、平行測試、</t>
    </r>
    <r>
      <rPr>
        <sz val="9"/>
        <color rgb="FF000000"/>
        <rFont val="微軟正黑體"/>
        <family val="0"/>
        <charset val="1"/>
      </rPr>
      <t xml:space="preserve">12 </t>
    </r>
    <r>
      <rPr>
        <sz val="9"/>
        <color rgb="FF000000"/>
        <rFont val="Noto Sans CJK SC"/>
        <family val="2"/>
      </rPr>
      <t xml:space="preserve">個月上線輔導</t>
    </r>
  </si>
  <si>
    <r>
      <rPr>
        <sz val="8"/>
        <color rgb="FF606060"/>
        <rFont val="微軟正黑體"/>
        <family val="0"/>
        <charset val="1"/>
      </rPr>
      <t xml:space="preserve">bvdkthaibinh.vn</t>
    </r>
    <r>
      <rPr>
        <sz val="8"/>
        <color rgb="FF606060"/>
        <rFont val="Noto Sans CJK SC"/>
        <family val="2"/>
      </rPr>
      <t xml:space="preserve">：越南 </t>
    </r>
    <r>
      <rPr>
        <sz val="8"/>
        <color rgb="FF606060"/>
        <rFont val="微軟正黑體"/>
        <family val="0"/>
        <charset val="1"/>
      </rPr>
      <t xml:space="preserve">EMR </t>
    </r>
    <r>
      <rPr>
        <sz val="8"/>
        <color rgb="FF606060"/>
        <rFont val="Noto Sans CJK SC"/>
        <family val="2"/>
      </rPr>
      <t xml:space="preserve">租賃 </t>
    </r>
    <r>
      <rPr>
        <sz val="8"/>
        <color rgb="FF606060"/>
        <rFont val="微軟正黑體"/>
        <family val="0"/>
        <charset val="1"/>
      </rPr>
      <t xml:space="preserve">RFQ </t>
    </r>
    <r>
      <rPr>
        <sz val="8"/>
        <color rgb="FF606060"/>
        <rFont val="Noto Sans CJK SC"/>
        <family val="2"/>
      </rPr>
      <t xml:space="preserve">多為 </t>
    </r>
    <r>
      <rPr>
        <sz val="8"/>
        <color rgb="FF606060"/>
        <rFont val="微軟正黑體"/>
        <family val="0"/>
        <charset val="1"/>
      </rPr>
      <t xml:space="preserve">36 </t>
    </r>
    <r>
      <rPr>
        <sz val="8"/>
        <color rgb="FF606060"/>
        <rFont val="Noto Sans CJK SC"/>
        <family val="2"/>
      </rPr>
      <t xml:space="preserve">個月、按季付款無預付。★ 一次性投入</t>
    </r>
  </si>
  <si>
    <t xml:space="preserve">醫師與護理教育訓練（含種子講師制度）</t>
  </si>
  <si>
    <t xml:space="preserve">人</t>
  </si>
  <si>
    <r>
      <rPr>
        <sz val="8"/>
        <color rgb="FF606060"/>
        <rFont val="微軟正黑體"/>
        <family val="0"/>
        <charset val="1"/>
      </rPr>
      <t xml:space="preserve">pacscribe.com</t>
    </r>
    <r>
      <rPr>
        <sz val="8"/>
        <color rgb="FF606060"/>
        <rFont val="Noto Sans CJK SC"/>
        <family val="2"/>
      </rPr>
      <t xml:space="preserve">：訓練 </t>
    </r>
    <r>
      <rPr>
        <sz val="8"/>
        <color rgb="FF606060"/>
        <rFont val="微軟正黑體"/>
        <family val="0"/>
        <charset val="1"/>
      </rPr>
      <t xml:space="preserve">US$200–700/</t>
    </r>
    <r>
      <rPr>
        <sz val="8"/>
        <color rgb="FF606060"/>
        <rFont val="Noto Sans CJK SC"/>
        <family val="2"/>
      </rPr>
      <t xml:space="preserve">人。</t>
    </r>
    <r>
      <rPr>
        <sz val="8"/>
        <color rgb="FF606060"/>
        <rFont val="微軟正黑體"/>
        <family val="0"/>
        <charset val="1"/>
      </rPr>
      <t xml:space="preserve">500 </t>
    </r>
    <r>
      <rPr>
        <sz val="8"/>
        <color rgb="FF606060"/>
        <rFont val="Noto Sans CJK SC"/>
        <family val="2"/>
      </rPr>
      <t xml:space="preserve">床醫院約 </t>
    </r>
    <r>
      <rPr>
        <sz val="8"/>
        <color rgb="FF606060"/>
        <rFont val="微軟正黑體"/>
        <family val="0"/>
        <charset val="1"/>
      </rPr>
      <t xml:space="preserve">600 </t>
    </r>
    <r>
      <rPr>
        <sz val="8"/>
        <color rgb="FF606060"/>
        <rFont val="Noto Sans CJK SC"/>
        <family val="2"/>
      </rPr>
      <t xml:space="preserve">名需訓人員。★ 一次性投入</t>
    </r>
  </si>
  <si>
    <t xml:space="preserve">設備</t>
  </si>
  <si>
    <r>
      <rPr>
        <sz val="9"/>
        <color rgb="FF000000"/>
        <rFont val="Noto Sans CJK SC"/>
        <family val="2"/>
      </rPr>
      <t xml:space="preserve">承載環境：伺服器、儲存、備份（可承載於 </t>
    </r>
    <r>
      <rPr>
        <sz val="9"/>
        <color rgb="FF000000"/>
        <rFont val="微軟正黑體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醫院 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，或商用雲）</t>
    </r>
  </si>
  <si>
    <r>
      <rPr>
        <sz val="9.5"/>
        <color rgb="FF000000"/>
        <rFont val="Noto Sans CJK SC"/>
        <family val="2"/>
      </rPr>
      <t xml:space="preserve">電腦與網通 </t>
    </r>
    <r>
      <rPr>
        <sz val="9.5"/>
        <color rgb="FF000000"/>
        <rFont val="微軟正黑體"/>
        <family val="0"/>
        <charset val="1"/>
      </rPr>
      <t xml:space="preserve">IT</t>
    </r>
  </si>
  <si>
    <r>
      <rPr>
        <sz val="8"/>
        <color rgb="FF606060"/>
        <rFont val="Noto Sans CJK SC"/>
        <family val="2"/>
      </rPr>
      <t xml:space="preserve">★ 若承載於 </t>
    </r>
    <r>
      <rPr>
        <sz val="8"/>
        <color rgb="FF606060"/>
        <rFont val="微軟正黑體"/>
        <family val="0"/>
        <charset val="1"/>
      </rPr>
      <t xml:space="preserve">A</t>
    </r>
    <r>
      <rPr>
        <sz val="8"/>
        <color rgb="FF606060"/>
        <rFont val="Noto Sans CJK SC"/>
        <family val="2"/>
      </rPr>
      <t xml:space="preserve">醫院 </t>
    </r>
    <r>
      <rPr>
        <sz val="8"/>
        <color rgb="FF606060"/>
        <rFont val="微軟正黑體"/>
        <family val="0"/>
        <charset val="1"/>
      </rPr>
      <t xml:space="preserve">IDC</t>
    </r>
    <r>
      <rPr>
        <sz val="8"/>
        <color rgb="FF606060"/>
        <rFont val="Noto Sans CJK SC"/>
        <family val="2"/>
      </rPr>
      <t xml:space="preserve">，本項即為聯盟內部轉付，並構成該機房「承載專案數 ≥</t>
    </r>
    <r>
      <rPr>
        <sz val="8"/>
        <color rgb="FF606060"/>
        <rFont val="微軟正黑體"/>
        <family val="0"/>
        <charset val="1"/>
      </rPr>
      <t xml:space="preserve">2</t>
    </r>
    <r>
      <rPr>
        <sz val="8"/>
        <color rgb="FF606060"/>
        <rFont val="Noto Sans CJK SC"/>
        <family val="2"/>
      </rPr>
      <t xml:space="preserve">」的證據</t>
    </r>
  </si>
  <si>
    <r>
      <rPr>
        <sz val="9"/>
        <color rgb="FF000000"/>
        <rFont val="Noto Sans CJK SC"/>
        <family val="2"/>
      </rPr>
      <t xml:space="preserve">電子簽章 </t>
    </r>
    <r>
      <rPr>
        <sz val="9"/>
        <color rgb="FF000000"/>
        <rFont val="微軟正黑體"/>
        <family val="0"/>
        <charset val="1"/>
      </rPr>
      <t xml:space="preserve">PKI </t>
    </r>
    <r>
      <rPr>
        <sz val="9"/>
        <color rgb="FF000000"/>
        <rFont val="Noto Sans CJK SC"/>
        <family val="2"/>
      </rPr>
      <t xml:space="preserve">憑證與生物辨識模組</t>
    </r>
  </si>
  <si>
    <r>
      <rPr>
        <sz val="8"/>
        <color rgb="FF606060"/>
        <rFont val="微軟正黑體"/>
        <family val="0"/>
        <charset val="1"/>
      </rPr>
      <t xml:space="preserve">Circular 13/2025 </t>
    </r>
    <r>
      <rPr>
        <sz val="8"/>
        <color rgb="FF606060"/>
        <rFont val="Noto Sans CJK SC"/>
        <family val="2"/>
      </rPr>
      <t xml:space="preserve">明文要求電子簽章與生物辨識；憑證有效期須定期更新</t>
    </r>
  </si>
  <si>
    <r>
      <rPr>
        <sz val="9"/>
        <color rgb="FF000000"/>
        <rFont val="Noto Sans CJK SC"/>
        <family val="2"/>
      </rPr>
      <t xml:space="preserve">資安與個資合規建置（</t>
    </r>
    <r>
      <rPr>
        <sz val="9"/>
        <color rgb="FF000000"/>
        <rFont val="微軟正黑體"/>
        <family val="0"/>
        <charset val="1"/>
      </rPr>
      <t xml:space="preserve">PDPL 91/2025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</si>
  <si>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微軟正黑體"/>
        <family val="0"/>
        <charset val="1"/>
      </rPr>
      <t xml:space="preserve">★ 2026/1/1 </t>
    </r>
    <r>
      <rPr>
        <sz val="8"/>
        <color rgb="FF606060"/>
        <rFont val="Noto Sans CJK SC"/>
        <family val="2"/>
      </rPr>
      <t xml:space="preserve">生效：病歷屬敏感個資、</t>
    </r>
    <r>
      <rPr>
        <sz val="8"/>
        <color rgb="FF606060"/>
        <rFont val="微軟正黑體"/>
        <family val="0"/>
        <charset val="1"/>
      </rPr>
      <t xml:space="preserve">72 </t>
    </r>
    <r>
      <rPr>
        <sz val="8"/>
        <color rgb="FF606060"/>
        <rFont val="Noto Sans CJK SC"/>
        <family val="2"/>
      </rPr>
      <t xml:space="preserve">小時通報義務、跨境傳輸須報公安部</t>
    </r>
  </si>
  <si>
    <r>
      <rPr>
        <sz val="9"/>
        <color rgb="FF000000"/>
        <rFont val="Noto Sans CJK SC"/>
        <family val="2"/>
      </rPr>
      <t xml:space="preserve">專案管理與 </t>
    </r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分級驗收顧問</t>
    </r>
  </si>
  <si>
    <t xml:space="preserve">對應衛生部電子病歷分級與驗收</t>
  </si>
  <si>
    <t xml:space="preserve">預備</t>
  </si>
  <si>
    <r>
      <rPr>
        <sz val="9"/>
        <color rgb="FF000000"/>
        <rFont val="Noto Sans CJK SC"/>
        <family val="2"/>
      </rPr>
      <t xml:space="preserve">不可預見費 </t>
    </r>
    <r>
      <rPr>
        <sz val="9"/>
        <color rgb="FF000000"/>
        <rFont val="微軟正黑體"/>
        <family val="0"/>
        <charset val="1"/>
      </rPr>
      <t xml:space="preserve">Contingency</t>
    </r>
  </si>
  <si>
    <r>
      <rPr>
        <sz val="8"/>
        <color rgb="FF606060"/>
        <rFont val="Noto Sans CJK SC"/>
        <family val="2"/>
      </rPr>
      <t xml:space="preserve">約未稅總額 </t>
    </r>
    <r>
      <rPr>
        <sz val="8"/>
        <color rgb="FF606060"/>
        <rFont val="微軟正黑體"/>
        <family val="0"/>
        <charset val="1"/>
      </rPr>
      <t xml:space="preserve">6%</t>
    </r>
    <r>
      <rPr>
        <sz val="8"/>
        <color rgb="FF606060"/>
        <rFont val="Noto Sans CJK SC"/>
        <family val="2"/>
      </rPr>
      <t xml:space="preserve">。醫院流程重整的變更風險高</t>
    </r>
  </si>
  <si>
    <r>
      <rPr>
        <b val="true"/>
        <sz val="11"/>
        <color rgb="FFFFFFFF"/>
        <rFont val="Noto Sans CJK SC"/>
        <family val="2"/>
      </rPr>
      <t xml:space="preserve">合計 </t>
    </r>
    <r>
      <rPr>
        <b val="true"/>
        <sz val="11"/>
        <color rgb="FFFFFFFF"/>
        <rFont val="微軟正黑體"/>
        <family val="0"/>
        <charset val="1"/>
      </rPr>
      <t xml:space="preserve">Total CAPEX</t>
    </r>
    <r>
      <rPr>
        <b val="true"/>
        <sz val="11"/>
        <color rgb="FFFFFFFF"/>
        <rFont val="Noto Sans CJK SC"/>
        <family val="2"/>
      </rPr>
      <t xml:space="preserve">（含不可扣抵稅費）</t>
    </r>
  </si>
  <si>
    <t xml:space="preserve">分類小計與結構檢查</t>
  </si>
  <si>
    <t xml:space="preserve">未稅金額</t>
  </si>
  <si>
    <t xml:space="preserve">佔比</t>
  </si>
  <si>
    <t xml:space="preserve">含稅金額</t>
  </si>
  <si>
    <t xml:space="preserve">折舊年限（加權）</t>
  </si>
  <si>
    <r>
      <rPr>
        <b val="true"/>
        <sz val="9.5"/>
        <color rgb="FF1F3864"/>
        <rFont val="Noto Sans CJK SC"/>
        <family val="2"/>
      </rPr>
      <t xml:space="preserve">建物與裝修 </t>
    </r>
    <r>
      <rPr>
        <b val="true"/>
        <sz val="9.5"/>
        <color rgb="FF1F3864"/>
        <rFont val="微軟正黑體"/>
        <family val="0"/>
        <charset val="1"/>
      </rPr>
      <t xml:space="preserve">Building</t>
    </r>
  </si>
  <si>
    <t xml:space="preserve">工程</t>
  </si>
  <si>
    <r>
      <rPr>
        <b val="true"/>
        <sz val="9.5"/>
        <color rgb="FF1F3864"/>
        <rFont val="Noto Sans CJK SC"/>
        <family val="2"/>
      </rPr>
      <t xml:space="preserve">醫療設備 </t>
    </r>
    <r>
      <rPr>
        <b val="true"/>
        <sz val="9.5"/>
        <color rgb="FF1F3864"/>
        <rFont val="微軟正黑體"/>
        <family val="0"/>
        <charset val="1"/>
      </rPr>
      <t xml:space="preserve">Medical equip</t>
    </r>
  </si>
  <si>
    <r>
      <rPr>
        <b val="true"/>
        <sz val="9.5"/>
        <color rgb="FF1F3864"/>
        <rFont val="Noto Sans CJK SC"/>
        <family val="2"/>
      </rPr>
      <t xml:space="preserve">機電設備 </t>
    </r>
    <r>
      <rPr>
        <b val="true"/>
        <sz val="9.5"/>
        <color rgb="FF1F3864"/>
        <rFont val="微軟正黑體"/>
        <family val="0"/>
        <charset val="1"/>
      </rPr>
      <t xml:space="preserve">M&amp;E</t>
    </r>
  </si>
  <si>
    <t xml:space="preserve">混合</t>
  </si>
  <si>
    <r>
      <rPr>
        <b val="true"/>
        <sz val="9.5"/>
        <color rgb="FF1F3864"/>
        <rFont val="Noto Sans CJK SC"/>
        <family val="2"/>
      </rPr>
      <t xml:space="preserve">電腦與網通 </t>
    </r>
    <r>
      <rPr>
        <b val="true"/>
        <sz val="9.5"/>
        <color rgb="FF1F3864"/>
        <rFont val="微軟正黑體"/>
        <family val="0"/>
        <charset val="1"/>
      </rPr>
      <t xml:space="preserve">IT</t>
    </r>
  </si>
  <si>
    <r>
      <rPr>
        <b val="true"/>
        <sz val="9.5"/>
        <color rgb="FF1F3864"/>
        <rFont val="Noto Sans CJK SC"/>
        <family val="2"/>
      </rPr>
      <t xml:space="preserve">軟體與無形 </t>
    </r>
    <r>
      <rPr>
        <b val="true"/>
        <sz val="9.5"/>
        <color rgb="FF1F3864"/>
        <rFont val="微軟正黑體"/>
        <family val="0"/>
        <charset val="1"/>
      </rPr>
      <t xml:space="preserve">Software</t>
    </r>
  </si>
  <si>
    <r>
      <rPr>
        <b val="true"/>
        <sz val="9.5"/>
        <color rgb="FF1F3864"/>
        <rFont val="Noto Sans CJK SC"/>
        <family val="2"/>
      </rPr>
      <t xml:space="preserve">費用化 </t>
    </r>
    <r>
      <rPr>
        <b val="true"/>
        <sz val="9.5"/>
        <color rgb="FF1F3864"/>
        <rFont val="微軟正黑體"/>
        <family val="0"/>
        <charset val="1"/>
      </rPr>
      <t xml:space="preserve">Expensed</t>
    </r>
  </si>
  <si>
    <t xml:space="preserve">★ 檢查點：不可扣抵稅費佔未稅金額的比例</t>
  </si>
  <si>
    <r>
      <rPr>
        <sz val="9"/>
        <color rgb="FFC00000"/>
        <rFont val="Noto Sans CJK SC"/>
        <family val="2"/>
      </rPr>
      <t xml:space="preserve">若這個數字低於 </t>
    </r>
    <r>
      <rPr>
        <sz val="9"/>
        <color rgb="FFC00000"/>
        <rFont val="微軟正黑體"/>
        <family val="0"/>
        <charset val="1"/>
      </rPr>
      <t xml:space="preserve">4%</t>
    </r>
    <r>
      <rPr>
        <sz val="9"/>
        <color rgb="FFC00000"/>
        <rFont val="Noto Sans CJK SC"/>
        <family val="2"/>
      </rPr>
      <t xml:space="preserve">，表示你可能把進項 </t>
    </r>
    <r>
      <rPr>
        <sz val="9"/>
        <color rgb="FFC00000"/>
        <rFont val="微軟正黑體"/>
        <family val="0"/>
        <charset val="1"/>
      </rPr>
      <t xml:space="preserve">VAT </t>
    </r>
    <r>
      <rPr>
        <sz val="9"/>
        <color rgb="FFC00000"/>
        <rFont val="Noto Sans CJK SC"/>
        <family val="2"/>
      </rPr>
      <t xml:space="preserve">當成可退稅處理了。越南醫療服務免 </t>
    </r>
    <r>
      <rPr>
        <sz val="9"/>
        <color rgb="FFC00000"/>
        <rFont val="微軟正黑體"/>
        <family val="0"/>
        <charset val="1"/>
      </rPr>
      <t xml:space="preserve">VAT ⇒ </t>
    </r>
    <r>
      <rPr>
        <sz val="9"/>
        <color rgb="FFC00000"/>
        <rFont val="Noto Sans CJK SC"/>
        <family val="2"/>
      </rPr>
      <t xml:space="preserve">進項不可扣抵 ⇒ 這一筆是實實在在的成本。</t>
    </r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</si>
  <si>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營運成本 </t>
    </r>
    <r>
      <rPr>
        <b val="true"/>
        <sz val="15"/>
        <color rgb="FFFFFFFF"/>
        <rFont val="微軟正黑體"/>
        <family val="0"/>
        <charset val="1"/>
      </rPr>
      <t xml:space="preserve">OPEX</t>
    </r>
    <r>
      <rPr>
        <b val="true"/>
        <sz val="15"/>
        <color rgb="FFFFFFFF"/>
        <rFont val="Noto Sans CJK SC"/>
        <family val="2"/>
      </rPr>
      <t xml:space="preserve">｜年度營運成本明細</t>
    </r>
  </si>
  <si>
    <r>
      <rPr>
        <i val="true"/>
        <sz val="9.5"/>
        <color rgb="FF404040"/>
        <rFont val="Noto Sans CJK SC"/>
        <family val="2"/>
      </rPr>
      <t xml:space="preserve">黃底＝要填。「成本性質」欄很重要：標為「變動」的項目會隨 </t>
    </r>
    <r>
      <rPr>
        <i val="true"/>
        <sz val="9.5"/>
        <color rgb="FF404040"/>
        <rFont val="微軟正黑體"/>
        <family val="0"/>
        <charset val="1"/>
      </rPr>
      <t xml:space="preserve">04 </t>
    </r>
    <r>
      <rPr>
        <i val="true"/>
        <sz val="9.5"/>
        <color rgb="FF404040"/>
        <rFont val="Noto Sans CJK SC"/>
        <family val="2"/>
      </rPr>
      <t xml:space="preserve">分頁的服務量爬坡而等比例縮放（例如顯影劑、耗材）；標為「固定」的項目不隨量變動（例如維保合約、人力、保險）。這一欄填錯，開辦頭幾年的現金流會嚴重失真。</t>
    </r>
  </si>
  <si>
    <r>
      <rPr>
        <b val="true"/>
        <sz val="9.5"/>
        <color rgb="FFFFFFFF"/>
        <rFont val="Noto Sans CJK SC"/>
        <family val="2"/>
      </rPr>
      <t xml:space="preserve">成本項目 </t>
    </r>
    <r>
      <rPr>
        <b val="true"/>
        <sz val="9.5"/>
        <color rgb="FFFFFFFF"/>
        <rFont val="微軟正黑體"/>
        <family val="0"/>
        <charset val="1"/>
      </rPr>
      <t xml:space="preserve">Cost item</t>
    </r>
  </si>
  <si>
    <t xml:space="preserve">單價／年費
（輸入幣別）</t>
  </si>
  <si>
    <t xml:space="preserve">首年金額
（輸入幣別）</t>
  </si>
  <si>
    <t xml:space="preserve">年成長率</t>
  </si>
  <si>
    <t xml:space="preserve">成本性質</t>
  </si>
  <si>
    <t xml:space="preserve">負責角色</t>
  </si>
  <si>
    <t xml:space="preserve">人力</t>
  </si>
  <si>
    <r>
      <rPr>
        <sz val="9"/>
        <color rgb="FF000000"/>
        <rFont val="Noto Sans CJK SC"/>
        <family val="2"/>
      </rPr>
      <t xml:space="preserve">產品維護與版本升級團隊（</t>
    </r>
    <r>
      <rPr>
        <sz val="9"/>
        <color rgb="FF000000"/>
        <rFont val="微軟正黑體"/>
        <family val="0"/>
        <charset val="1"/>
      </rPr>
      <t xml:space="preserve">3 </t>
    </r>
    <r>
      <rPr>
        <sz val="9"/>
        <color rgb="FF000000"/>
        <rFont val="Noto Sans CJK SC"/>
        <family val="2"/>
      </rPr>
      <t xml:space="preserve">人）</t>
    </r>
  </si>
  <si>
    <t xml:space="preserve">固定</t>
  </si>
  <si>
    <t xml:space="preserve">醫療資訊</t>
  </si>
  <si>
    <r>
      <rPr>
        <sz val="8"/>
        <color rgb="FF606060"/>
        <rFont val="微軟正黑體"/>
        <family val="0"/>
        <charset val="1"/>
      </rPr>
      <t xml:space="preserve">manpower.com.vn</t>
    </r>
    <r>
      <rPr>
        <sz val="8"/>
        <color rgb="FF606060"/>
        <rFont val="Noto Sans CJK SC"/>
        <family val="2"/>
      </rPr>
      <t xml:space="preserve">：越南資深開發／</t>
    </r>
    <r>
      <rPr>
        <sz val="8"/>
        <color rgb="FF606060"/>
        <rFont val="微軟正黑體"/>
        <family val="0"/>
        <charset val="1"/>
      </rPr>
      <t xml:space="preserve">DevOps 37–75m VND/</t>
    </r>
    <r>
      <rPr>
        <sz val="8"/>
        <color rgb="FF606060"/>
        <rFont val="Noto Sans CJK SC"/>
        <family val="2"/>
      </rPr>
      <t xml:space="preserve">月。★ 成長率 </t>
    </r>
    <r>
      <rPr>
        <sz val="8"/>
        <color rgb="FF606060"/>
        <rFont val="微軟正黑體"/>
        <family val="0"/>
        <charset val="1"/>
      </rPr>
      <t xml:space="preserve">8% </t>
    </r>
    <r>
      <rPr>
        <sz val="8"/>
        <color rgb="FF606060"/>
        <rFont val="Noto Sans CJK SC"/>
        <family val="2"/>
      </rPr>
      <t xml:space="preserve">反映越南 </t>
    </r>
    <r>
      <rPr>
        <sz val="8"/>
        <color rgb="FF606060"/>
        <rFont val="微軟正黑體"/>
        <family val="0"/>
        <charset val="1"/>
      </rPr>
      <t xml:space="preserve">IT </t>
    </r>
    <r>
      <rPr>
        <sz val="8"/>
        <color rgb="FF606060"/>
        <rFont val="Noto Sans CJK SC"/>
        <family val="2"/>
      </rPr>
      <t xml:space="preserve">薪資漲幅</t>
    </r>
  </si>
  <si>
    <r>
      <rPr>
        <sz val="9"/>
        <color rgb="FF000000"/>
        <rFont val="Noto Sans CJK SC"/>
        <family val="2"/>
      </rPr>
      <t xml:space="preserve">現場駐點支援工程師（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人）</t>
    </r>
  </si>
  <si>
    <r>
      <rPr>
        <sz val="8"/>
        <color rgb="FF606060"/>
        <rFont val="微軟正黑體"/>
        <family val="0"/>
        <charset val="1"/>
      </rPr>
      <t xml:space="preserve">ykhoanet.com</t>
    </r>
    <r>
      <rPr>
        <sz val="8"/>
        <color rgb="FF606060"/>
        <rFont val="Noto Sans CJK SC"/>
        <family val="2"/>
      </rPr>
      <t xml:space="preserve">：越南醫院 </t>
    </r>
    <r>
      <rPr>
        <sz val="8"/>
        <color rgb="FF606060"/>
        <rFont val="微軟正黑體"/>
        <family val="0"/>
        <charset val="1"/>
      </rPr>
      <t xml:space="preserve">IT 10–20m VND/</t>
    </r>
    <r>
      <rPr>
        <sz val="8"/>
        <color rgb="FF606060"/>
        <rFont val="Noto Sans CJK SC"/>
        <family val="2"/>
      </rPr>
      <t xml:space="preserve">月，駐點取高段</t>
    </r>
  </si>
  <si>
    <t xml:space="preserve">公用</t>
  </si>
  <si>
    <t xml:space="preserve">承載環境代管費（機房／雲端）</t>
  </si>
  <si>
    <t xml:space="preserve">數位基建</t>
  </si>
  <si>
    <r>
      <rPr>
        <sz val="8"/>
        <color rgb="FF606060"/>
        <rFont val="Noto Sans CJK SC"/>
        <family val="2"/>
      </rPr>
      <t xml:space="preserve">★ 若承載於 </t>
    </r>
    <r>
      <rPr>
        <sz val="8"/>
        <color rgb="FF606060"/>
        <rFont val="微軟正黑體"/>
        <family val="0"/>
        <charset val="1"/>
      </rPr>
      <t xml:space="preserve">A</t>
    </r>
    <r>
      <rPr>
        <sz val="8"/>
        <color rgb="FF606060"/>
        <rFont val="Noto Sans CJK SC"/>
        <family val="2"/>
      </rPr>
      <t xml:space="preserve">醫院 </t>
    </r>
    <r>
      <rPr>
        <sz val="8"/>
        <color rgb="FF606060"/>
        <rFont val="微軟正黑體"/>
        <family val="0"/>
        <charset val="1"/>
      </rPr>
      <t xml:space="preserve">IDC </t>
    </r>
    <r>
      <rPr>
        <sz val="8"/>
        <color rgb="FF606060"/>
        <rFont val="Noto Sans CJK SC"/>
        <family val="2"/>
      </rPr>
      <t xml:space="preserve">即為聯盟內部轉付；市價見 </t>
    </r>
    <r>
      <rPr>
        <sz val="8"/>
        <color rgb="FF606060"/>
        <rFont val="微軟正黑體"/>
        <family val="0"/>
        <charset val="1"/>
      </rPr>
      <t xml:space="preserve">IDC </t>
    </r>
    <r>
      <rPr>
        <sz val="8"/>
        <color rgb="FF606060"/>
        <rFont val="Noto Sans CJK SC"/>
        <family val="2"/>
      </rPr>
      <t xml:space="preserve">案 </t>
    </r>
    <r>
      <rPr>
        <sz val="8"/>
        <color rgb="FF606060"/>
        <rFont val="微軟正黑體"/>
        <family val="0"/>
        <charset val="1"/>
      </rPr>
      <t xml:space="preserve">09 </t>
    </r>
    <r>
      <rPr>
        <sz val="8"/>
        <color rgb="FF606060"/>
        <rFont val="Noto Sans CJK SC"/>
        <family val="2"/>
      </rPr>
      <t xml:space="preserve">分頁的外租單價</t>
    </r>
  </si>
  <si>
    <t xml:space="preserve">第三方軟體授權（資料庫、中介軟體、報表引擎）</t>
  </si>
  <si>
    <t xml:space="preserve">原廠年費</t>
  </si>
  <si>
    <t xml:space="preserve">維保</t>
  </si>
  <si>
    <r>
      <rPr>
        <sz val="9"/>
        <color rgb="FF000000"/>
        <rFont val="Noto Sans CJK SC"/>
        <family val="2"/>
      </rPr>
      <t xml:space="preserve">資安維運與弱點修補（</t>
    </r>
    <r>
      <rPr>
        <sz val="9"/>
        <color rgb="FF000000"/>
        <rFont val="微軟正黑體"/>
        <family val="0"/>
        <charset val="1"/>
      </rPr>
      <t xml:space="preserve">SOC </t>
    </r>
    <r>
      <rPr>
        <sz val="9"/>
        <color rgb="FF000000"/>
        <rFont val="Noto Sans CJK SC"/>
        <family val="2"/>
      </rPr>
      <t xml:space="preserve">訂閱）</t>
    </r>
  </si>
  <si>
    <t xml:space="preserve">CISO</t>
  </si>
  <si>
    <r>
      <rPr>
        <sz val="8"/>
        <color rgb="FF606060"/>
        <rFont val="微軟正黑體"/>
        <family val="0"/>
        <charset val="1"/>
      </rPr>
      <t xml:space="preserve">PDPL 91/2025 </t>
    </r>
    <r>
      <rPr>
        <sz val="8"/>
        <color rgb="FF606060"/>
        <rFont val="Noto Sans CJK SC"/>
        <family val="2"/>
      </rPr>
      <t xml:space="preserve">的 </t>
    </r>
    <r>
      <rPr>
        <sz val="8"/>
        <color rgb="FF606060"/>
        <rFont val="微軟正黑體"/>
        <family val="0"/>
        <charset val="1"/>
      </rPr>
      <t xml:space="preserve">72 </t>
    </r>
    <r>
      <rPr>
        <sz val="8"/>
        <color rgb="FF606060"/>
        <rFont val="Noto Sans CJK SC"/>
        <family val="2"/>
      </rPr>
      <t xml:space="preserve">小時通報義務需有偵測與應變量能</t>
    </r>
  </si>
  <si>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VSS </t>
    </r>
    <r>
      <rPr>
        <sz val="9"/>
        <color rgb="FF000000"/>
        <rFont val="Noto Sans CJK SC"/>
        <family val="2"/>
      </rPr>
      <t xml:space="preserve">介接規格變更維護</t>
    </r>
  </si>
  <si>
    <r>
      <rPr>
        <sz val="8"/>
        <color rgb="FF606060"/>
        <rFont val="Noto Sans CJK SC"/>
        <family val="2"/>
      </rPr>
      <t xml:space="preserve">★ 越南社保正在修訂申報資料閘道規則，介接規格會變。這是越南醫療 </t>
    </r>
    <r>
      <rPr>
        <sz val="8"/>
        <color rgb="FF606060"/>
        <rFont val="微軟正黑體"/>
        <family val="0"/>
        <charset val="1"/>
      </rPr>
      <t xml:space="preserve">IT </t>
    </r>
    <r>
      <rPr>
        <sz val="8"/>
        <color rgb="FF606060"/>
        <rFont val="Noto Sans CJK SC"/>
        <family val="2"/>
      </rPr>
      <t xml:space="preserve">特有的持續性成本</t>
    </r>
  </si>
  <si>
    <t xml:space="preserve">法規</t>
  </si>
  <si>
    <r>
      <rPr>
        <sz val="9"/>
        <color rgb="FF000000"/>
        <rFont val="Noto Sans CJK SC"/>
        <family val="2"/>
      </rPr>
      <t xml:space="preserve">年度稽核與合規（</t>
    </r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分級年度覆核、個資稽核）</t>
    </r>
  </si>
  <si>
    <t xml:space="preserve">法務</t>
  </si>
  <si>
    <t xml:space="preserve">含衛生部電子病歷分級年度覆核</t>
  </si>
  <si>
    <t xml:space="preserve">機房電力與對外頻寬分攤</t>
  </si>
  <si>
    <t xml:space="preserve">承載環境的水電與頻寬</t>
  </si>
  <si>
    <t xml:space="preserve">客服專線與持續教育訓練支援</t>
  </si>
  <si>
    <t xml:space="preserve">變動</t>
  </si>
  <si>
    <t xml:space="preserve">營運</t>
  </si>
  <si>
    <t xml:space="preserve">人員異動後的補訓需求持續存在</t>
  </si>
  <si>
    <t xml:space="preserve">管理</t>
  </si>
  <si>
    <r>
      <rPr>
        <sz val="9"/>
        <color rgb="FF000000"/>
        <rFont val="Noto Sans CJK SC"/>
        <family val="2"/>
      </rPr>
      <t xml:space="preserve">間接管理費分攤 </t>
    </r>
    <r>
      <rPr>
        <sz val="9"/>
        <color rgb="FF000000"/>
        <rFont val="微軟正黑體"/>
        <family val="0"/>
        <charset val="1"/>
      </rPr>
      <t xml:space="preserve">Overhead</t>
    </r>
  </si>
  <si>
    <t xml:space="preserve">財務</t>
  </si>
  <si>
    <t xml:space="preserve">分攤聯盟管理成本</t>
  </si>
  <si>
    <r>
      <rPr>
        <b val="true"/>
        <sz val="11"/>
        <color rgb="FFFFFFFF"/>
        <rFont val="Noto Sans CJK SC"/>
        <family val="2"/>
      </rPr>
      <t xml:space="preserve">合計 首年 </t>
    </r>
    <r>
      <rPr>
        <b val="true"/>
        <sz val="11"/>
        <color rgb="FFFFFFFF"/>
        <rFont val="微軟正黑體"/>
        <family val="0"/>
        <charset val="1"/>
      </rPr>
      <t xml:space="preserve">OPEX</t>
    </r>
  </si>
  <si>
    <r>
      <rPr>
        <b val="true"/>
        <sz val="9.5"/>
        <color rgb="FF2E747A"/>
        <rFont val="Noto Sans CJK SC"/>
        <family val="2"/>
      </rPr>
      <t xml:space="preserve">　其中：變動成本 </t>
    </r>
    <r>
      <rPr>
        <b val="true"/>
        <sz val="9.5"/>
        <color rgb="FF2E747A"/>
        <rFont val="微軟正黑體"/>
        <family val="0"/>
        <charset val="1"/>
      </rPr>
      <t xml:space="preserve">Variable</t>
    </r>
  </si>
  <si>
    <r>
      <rPr>
        <b val="true"/>
        <sz val="9.5"/>
        <color rgb="FF2E747A"/>
        <rFont val="Noto Sans CJK SC"/>
        <family val="2"/>
      </rPr>
      <t xml:space="preserve">　其中：固定成本 </t>
    </r>
    <r>
      <rPr>
        <b val="true"/>
        <sz val="9.5"/>
        <color rgb="FF2E747A"/>
        <rFont val="微軟正黑體"/>
        <family val="0"/>
        <charset val="1"/>
      </rPr>
      <t xml:space="preserve">Fixed</t>
    </r>
  </si>
  <si>
    <t xml:space="preserve">加權平均年成長率（依金額加權）</t>
  </si>
  <si>
    <r>
      <rPr>
        <sz val="9.5"/>
        <color rgb="FFC00000"/>
        <rFont val="Noto Sans CJK SC"/>
        <family val="2"/>
      </rPr>
      <t xml:space="preserve">★ 越南在地成本的三個常見低估：①「原廠維保」影像設備的業界行情是設備價的 </t>
    </r>
    <r>
      <rPr>
        <sz val="9.5"/>
        <color rgb="FFC00000"/>
        <rFont val="微軟正黑體"/>
        <family val="0"/>
        <charset val="1"/>
      </rPr>
      <t xml:space="preserve">8–15%</t>
    </r>
    <r>
      <rPr>
        <sz val="9.5"/>
        <color rgb="FFC00000"/>
        <rFont val="Noto Sans CJK SC"/>
        <family val="2"/>
      </rPr>
      <t xml:space="preserve">／年，十年就是另一台機器的錢；② 薪資年成長率不要填 </t>
    </r>
    <r>
      <rPr>
        <sz val="9.5"/>
        <color rgb="FFC00000"/>
        <rFont val="微軟正黑體"/>
        <family val="0"/>
        <charset val="1"/>
      </rPr>
      <t xml:space="preserve">0——</t>
    </r>
    <r>
      <rPr>
        <sz val="9.5"/>
        <color rgb="FFC00000"/>
        <rFont val="Noto Sans CJK SC"/>
        <family val="2"/>
      </rPr>
      <t xml:space="preserve">越南薪資漲幅明顯高於服務單價漲幅，這個剪刀差是長期模型裡最容易被忽略的殺手；③ 進口耗材要計入不可扣抵的進項 </t>
    </r>
    <r>
      <rPr>
        <sz val="9.5"/>
        <color rgb="FFC00000"/>
        <rFont val="微軟正黑體"/>
        <family val="0"/>
        <charset val="1"/>
      </rPr>
      <t xml:space="preserve">VAT</t>
    </r>
    <r>
      <rPr>
        <sz val="9.5"/>
        <color rgb="FFC00000"/>
        <rFont val="Noto Sans CJK SC"/>
        <family val="2"/>
      </rPr>
      <t xml:space="preserve">。</t>
    </r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</si>
  <si>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收入與產能｜</t>
    </r>
    <r>
      <rPr>
        <b val="true"/>
        <sz val="15"/>
        <color rgb="FFFFFFFF"/>
        <rFont val="微軟正黑體"/>
        <family val="0"/>
        <charset val="1"/>
      </rPr>
      <t xml:space="preserve">Revenue &amp; Capacity</t>
    </r>
  </si>
  <si>
    <r>
      <rPr>
        <i val="true"/>
        <sz val="9.5"/>
        <color rgb="FF404040"/>
        <rFont val="Noto Sans CJK SC"/>
        <family val="2"/>
      </rPr>
      <t xml:space="preserve">黃底＝要填。收入 ＝ 服務量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計費期數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加權單價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爬坡率。健保與自費分開設定，因為兩者的「單價」與「收現速度」完全不同——收現速度會在 </t>
    </r>
    <r>
      <rPr>
        <i val="true"/>
        <sz val="9.5"/>
        <color rgb="FF404040"/>
        <rFont val="微軟正黑體"/>
        <family val="0"/>
        <charset val="1"/>
      </rPr>
      <t xml:space="preserve">06 </t>
    </r>
    <r>
      <rPr>
        <i val="true"/>
        <sz val="9.5"/>
        <color rgb="FF404040"/>
        <rFont val="Noto Sans CJK SC"/>
        <family val="2"/>
      </rPr>
      <t xml:space="preserve">分頁的營運資金計算中用到。★ 使能型投資（如機房）若不直接對外收費，本頁服務量可填 </t>
    </r>
    <r>
      <rPr>
        <i val="true"/>
        <sz val="9.5"/>
        <color rgb="FF404040"/>
        <rFont val="微軟正黑體"/>
        <family val="0"/>
        <charset val="1"/>
      </rPr>
      <t xml:space="preserve">0</t>
    </r>
    <r>
      <rPr>
        <i val="true"/>
        <sz val="9.5"/>
        <color rgb="FF404040"/>
        <rFont val="Noto Sans CJK SC"/>
        <family val="2"/>
      </rPr>
      <t xml:space="preserve">，改到 </t>
    </r>
    <r>
      <rPr>
        <i val="true"/>
        <sz val="9.5"/>
        <color rgb="FF404040"/>
        <rFont val="微軟正黑體"/>
        <family val="0"/>
        <charset val="1"/>
      </rPr>
      <t xml:space="preserve">09 </t>
    </r>
    <r>
      <rPr>
        <i val="true"/>
        <sz val="9.5"/>
        <color rgb="FF404040"/>
        <rFont val="Noto Sans CJK SC"/>
        <family val="2"/>
      </rPr>
      <t xml:space="preserve">分頁做評估。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</si>
  <si>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產能與服務量</t>
    </r>
  </si>
  <si>
    <r>
      <rPr>
        <b val="true"/>
        <sz val="10"/>
        <color rgb="FF1F3864"/>
        <rFont val="Noto Sans CJK SC"/>
        <family val="2"/>
      </rPr>
      <t xml:space="preserve">服務床數 </t>
    </r>
    <r>
      <rPr>
        <b val="true"/>
        <sz val="10"/>
        <color rgb="FF1F3864"/>
        <rFont val="微軟正黑體"/>
        <family val="0"/>
        <charset val="1"/>
      </rPr>
      <t xml:space="preserve">Beds</t>
    </r>
  </si>
  <si>
    <t xml:space="preserve">床</t>
  </si>
  <si>
    <r>
      <rPr>
        <sz val="9"/>
        <color rgb="FF606060"/>
        <rFont val="微軟正黑體"/>
        <family val="0"/>
        <charset val="1"/>
      </rPr>
      <t xml:space="preserve">B </t>
    </r>
    <r>
      <rPr>
        <sz val="9"/>
        <color rgb="FF606060"/>
        <rFont val="Noto Sans CJK SC"/>
        <family val="2"/>
      </rPr>
      <t xml:space="preserve">醫院核定床數。★ 若實際規模為 </t>
    </r>
    <r>
      <rPr>
        <sz val="9"/>
        <color rgb="FF606060"/>
        <rFont val="微軟正黑體"/>
        <family val="0"/>
        <charset val="1"/>
      </rPr>
      <t xml:space="preserve">700–800 </t>
    </r>
    <r>
      <rPr>
        <sz val="9"/>
        <color rgb="FF606060"/>
        <rFont val="Noto Sans CJK SC"/>
        <family val="2"/>
      </rPr>
      <t xml:space="preserve">床，請直接改這一格重算——床數是本案最直接的槓桿。</t>
    </r>
  </si>
  <si>
    <r>
      <rPr>
        <b val="true"/>
        <sz val="10"/>
        <color rgb="FF1F3864"/>
        <rFont val="Noto Sans CJK SC"/>
        <family val="2"/>
      </rPr>
      <t xml:space="preserve">計費期數 </t>
    </r>
    <r>
      <rPr>
        <b val="true"/>
        <sz val="10"/>
        <color rgb="FF1F3864"/>
        <rFont val="微軟正黑體"/>
        <family val="0"/>
        <charset val="1"/>
      </rPr>
      <t xml:space="preserve">Billing periods</t>
    </r>
  </si>
  <si>
    <t xml:space="preserve">月／年</t>
  </si>
  <si>
    <r>
      <rPr>
        <sz val="9"/>
        <color rgb="FF606060"/>
        <rFont val="Noto Sans CJK SC"/>
        <family val="2"/>
      </rPr>
      <t xml:space="preserve">以租代購年費按月計，一年 </t>
    </r>
    <r>
      <rPr>
        <sz val="9"/>
        <color rgb="FF606060"/>
        <rFont val="微軟正黑體"/>
        <family val="0"/>
        <charset val="1"/>
      </rPr>
      <t xml:space="preserve">12 </t>
    </r>
    <r>
      <rPr>
        <sz val="9"/>
        <color rgb="FF606060"/>
        <rFont val="Noto Sans CJK SC"/>
        <family val="2"/>
      </rPr>
      <t xml:space="preserve">期</t>
    </r>
  </si>
  <si>
    <r>
      <rPr>
        <b val="true"/>
        <sz val="10"/>
        <color rgb="FF1F3864"/>
        <rFont val="Noto Sans CJK SC"/>
        <family val="2"/>
      </rPr>
      <t xml:space="preserve">設計產能利用率 </t>
    </r>
    <r>
      <rPr>
        <b val="true"/>
        <sz val="10"/>
        <color rgb="FF1F3864"/>
        <rFont val="微軟正黑體"/>
        <family val="0"/>
        <charset val="1"/>
      </rPr>
      <t xml:space="preserve">Capacity utilisation</t>
    </r>
  </si>
  <si>
    <t xml:space="preserve">滿載服務量相對於設備設計最大產能的比例，用來檢查「量」的假設是否物理上可行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</si>
  <si>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單價（健保 </t>
    </r>
    <r>
      <rPr>
        <b val="true"/>
        <sz val="12"/>
        <color rgb="FF1F3864"/>
        <rFont val="微軟正黑體"/>
        <family val="0"/>
        <charset val="1"/>
      </rPr>
      <t xml:space="preserve">vs </t>
    </r>
    <r>
      <rPr>
        <b val="true"/>
        <sz val="12"/>
        <color rgb="FF1F3864"/>
        <rFont val="Noto Sans CJK SC"/>
        <family val="2"/>
      </rPr>
      <t xml:space="preserve">自費）</t>
    </r>
  </si>
  <si>
    <r>
      <rPr>
        <b val="true"/>
        <sz val="10"/>
        <color rgb="FF1F3864"/>
        <rFont val="Noto Sans CJK SC"/>
        <family val="2"/>
      </rPr>
      <t xml:space="preserve">基本服務費 </t>
    </r>
    <r>
      <rPr>
        <b val="true"/>
        <sz val="10"/>
        <color rgb="FF1F3864"/>
        <rFont val="微軟正黑體"/>
        <family val="0"/>
        <charset val="1"/>
      </rPr>
      <t xml:space="preserve">Base fee</t>
    </r>
  </si>
  <si>
    <r>
      <rPr>
        <sz val="9"/>
        <color rgb="FF808080"/>
        <rFont val="微軟正黑體"/>
        <family val="0"/>
        <charset val="1"/>
      </rPr>
      <t xml:space="preserve">TWD</t>
    </r>
    <r>
      <rPr>
        <sz val="9"/>
        <color rgb="FF808080"/>
        <rFont val="Noto Sans CJK SC"/>
        <family val="2"/>
      </rPr>
      <t xml:space="preserve">／床／月</t>
    </r>
  </si>
  <si>
    <r>
      <rPr>
        <sz val="9"/>
        <color rgb="FF606060"/>
        <rFont val="Noto Sans CJK SC"/>
        <family val="2"/>
      </rPr>
      <t xml:space="preserve">含 </t>
    </r>
    <r>
      <rPr>
        <sz val="9"/>
        <color rgb="FF606060"/>
        <rFont val="微軟正黑體"/>
        <family val="0"/>
        <charset val="1"/>
      </rPr>
      <t xml:space="preserve">HIS</t>
    </r>
    <r>
      <rPr>
        <sz val="9"/>
        <color rgb="FF606060"/>
        <rFont val="Noto Sans CJK SC"/>
        <family val="2"/>
      </rPr>
      <t xml:space="preserve">／</t>
    </r>
    <r>
      <rPr>
        <sz val="9"/>
        <color rgb="FF606060"/>
        <rFont val="微軟正黑體"/>
        <family val="0"/>
        <charset val="1"/>
      </rPr>
      <t xml:space="preserve">EMR</t>
    </r>
    <r>
      <rPr>
        <sz val="9"/>
        <color rgb="FF606060"/>
        <rFont val="Noto Sans CJK SC"/>
        <family val="2"/>
      </rPr>
      <t xml:space="preserve">／</t>
    </r>
    <r>
      <rPr>
        <sz val="9"/>
        <color rgb="FF606060"/>
        <rFont val="微軟正黑體"/>
        <family val="0"/>
        <charset val="1"/>
      </rPr>
      <t xml:space="preserve">LIS</t>
    </r>
    <r>
      <rPr>
        <sz val="9"/>
        <color rgb="FF606060"/>
        <rFont val="Noto Sans CJK SC"/>
        <family val="2"/>
      </rPr>
      <t xml:space="preserve">／</t>
    </r>
    <r>
      <rPr>
        <sz val="9"/>
        <color rgb="FF606060"/>
        <rFont val="微軟正黑體"/>
        <family val="0"/>
        <charset val="1"/>
      </rPr>
      <t xml:space="preserve">RIS</t>
    </r>
    <r>
      <rPr>
        <sz val="9"/>
        <color rgb="FF606060"/>
        <rFont val="Noto Sans CJK SC"/>
        <family val="2"/>
      </rPr>
      <t xml:space="preserve">、承載環境與維運。</t>
    </r>
    <r>
      <rPr>
        <sz val="9"/>
        <color rgb="FF606060"/>
        <rFont val="微軟正黑體"/>
        <family val="0"/>
        <charset val="1"/>
      </rPr>
      <t xml:space="preserve">500 </t>
    </r>
    <r>
      <rPr>
        <sz val="9"/>
        <color rgb="FF606060"/>
        <rFont val="Noto Sans CJK SC"/>
        <family val="2"/>
      </rPr>
      <t xml:space="preserve">床 </t>
    </r>
    <r>
      <rPr>
        <sz val="9"/>
        <color rgb="FF606060"/>
        <rFont val="微軟正黑體"/>
        <family val="0"/>
        <charset val="1"/>
      </rPr>
      <t xml:space="preserve">× 1,680 × 12 </t>
    </r>
    <r>
      <rPr>
        <sz val="9"/>
        <color rgb="FF606060"/>
        <rFont val="Noto Sans CJK SC"/>
        <family val="2"/>
      </rPr>
      <t xml:space="preserve">＝ </t>
    </r>
    <r>
      <rPr>
        <sz val="9"/>
        <color rgb="FF606060"/>
        <rFont val="微軟正黑體"/>
        <family val="0"/>
        <charset val="1"/>
      </rPr>
      <t xml:space="preserve">1,008 </t>
    </r>
    <r>
      <rPr>
        <sz val="9"/>
        <color rgb="FF606060"/>
        <rFont val="Noto Sans CJK SC"/>
        <family val="2"/>
      </rPr>
      <t xml:space="preserve">萬 </t>
    </r>
    <r>
      <rPr>
        <sz val="9"/>
        <color rgb="FF606060"/>
        <rFont val="微軟正黑體"/>
        <family val="0"/>
        <charset val="1"/>
      </rPr>
      <t xml:space="preserve">TWD</t>
    </r>
    <r>
      <rPr>
        <sz val="9"/>
        <color rgb="FF606060"/>
        <rFont val="Noto Sans CJK SC"/>
        <family val="2"/>
      </rPr>
      <t xml:space="preserve">／年 ≒ </t>
    </r>
    <r>
      <rPr>
        <sz val="9"/>
        <color rgb="FF606060"/>
        <rFont val="微軟正黑體"/>
        <family val="0"/>
        <charset val="1"/>
      </rPr>
      <t xml:space="preserve">8.2bn VND</t>
    </r>
    <r>
      <rPr>
        <sz val="9"/>
        <color rgb="FF606060"/>
        <rFont val="Noto Sans CJK SC"/>
        <family val="2"/>
      </rPr>
      <t xml:space="preserve">／年；五年約 </t>
    </r>
    <r>
      <rPr>
        <sz val="9"/>
        <color rgb="FF606060"/>
        <rFont val="微軟正黑體"/>
        <family val="0"/>
        <charset val="1"/>
      </rPr>
      <t xml:space="preserve">41bn VND</t>
    </r>
    <r>
      <rPr>
        <sz val="9"/>
        <color rgb="FF606060"/>
        <rFont val="Noto Sans CJK SC"/>
        <family val="2"/>
      </rPr>
      <t xml:space="preserve">，已落在越南一級醫院 </t>
    </r>
    <r>
      <rPr>
        <sz val="9"/>
        <color rgb="FF606060"/>
        <rFont val="微軟正黑體"/>
        <family val="0"/>
        <charset val="1"/>
      </rPr>
      <t xml:space="preserve">IT </t>
    </r>
    <r>
      <rPr>
        <sz val="9"/>
        <color rgb="FF606060"/>
        <rFont val="Noto Sans CJK SC"/>
        <family val="2"/>
      </rPr>
      <t xml:space="preserve">投資區間（</t>
    </r>
    <r>
      <rPr>
        <sz val="9"/>
        <color rgb="FF606060"/>
        <rFont val="微軟正黑體"/>
        <family val="0"/>
        <charset val="1"/>
      </rPr>
      <t xml:space="preserve">10.5–40bn VND</t>
    </r>
    <r>
      <rPr>
        <sz val="9"/>
        <color rgb="FF606060"/>
        <rFont val="Noto Sans CJK SC"/>
        <family val="2"/>
      </rPr>
      <t xml:space="preserve">）的上緣。</t>
    </r>
  </si>
  <si>
    <r>
      <rPr>
        <b val="true"/>
        <sz val="10"/>
        <color rgb="FF1F3864"/>
        <rFont val="Noto Sans CJK SC"/>
        <family val="2"/>
      </rPr>
      <t xml:space="preserve">加值模組費 </t>
    </r>
    <r>
      <rPr>
        <b val="true"/>
        <sz val="10"/>
        <color rgb="FF1F3864"/>
        <rFont val="微軟正黑體"/>
        <family val="0"/>
        <charset val="1"/>
      </rPr>
      <t xml:space="preserve">Add-on fee</t>
    </r>
  </si>
  <si>
    <r>
      <rPr>
        <sz val="9"/>
        <color rgb="FF606060"/>
        <rFont val="微軟正黑體"/>
        <family val="0"/>
        <charset val="1"/>
      </rPr>
      <t xml:space="preserve">AI </t>
    </r>
    <r>
      <rPr>
        <sz val="9"/>
        <color rgb="FF606060"/>
        <rFont val="Noto Sans CJK SC"/>
        <family val="2"/>
      </rPr>
      <t xml:space="preserve">判讀介接、病人 </t>
    </r>
    <r>
      <rPr>
        <sz val="9"/>
        <color rgb="FF606060"/>
        <rFont val="微軟正黑體"/>
        <family val="0"/>
        <charset val="1"/>
      </rPr>
      <t xml:space="preserve">App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BI </t>
    </r>
    <r>
      <rPr>
        <sz val="9"/>
        <color rgb="FF606060"/>
        <rFont val="Noto Sans CJK SC"/>
        <family val="2"/>
      </rPr>
      <t xml:space="preserve">營運指揮、行動護理等加值模組</t>
    </r>
  </si>
  <si>
    <t xml:space="preserve">加值模組採用比例</t>
  </si>
  <si>
    <t xml:space="preserve">初期僅部分科別導入加值模組</t>
  </si>
  <si>
    <r>
      <rPr>
        <b val="true"/>
        <sz val="10"/>
        <color rgb="FF1F3864"/>
        <rFont val="Noto Sans CJK SC"/>
        <family val="2"/>
      </rPr>
      <t xml:space="preserve">加權平均單價 </t>
    </r>
    <r>
      <rPr>
        <b val="true"/>
        <sz val="10"/>
        <color rgb="FF1F3864"/>
        <rFont val="微軟正黑體"/>
        <family val="0"/>
        <charset val="1"/>
      </rPr>
      <t xml:space="preserve">Weighted price</t>
    </r>
  </si>
  <si>
    <t xml:space="preserve">自動計算</t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</si>
  <si>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成長率</t>
    </r>
  </si>
  <si>
    <t xml:space="preserve">服務量年成長率</t>
  </si>
  <si>
    <t xml:space="preserve">床數成長有限，主要來自服務範圍擴大</t>
  </si>
  <si>
    <t xml:space="preserve">單價年成長率</t>
  </si>
  <si>
    <r>
      <rPr>
        <sz val="9"/>
        <color rgb="FF606060"/>
        <rFont val="Noto Sans CJK SC"/>
        <family val="2"/>
      </rPr>
      <t xml:space="preserve">合約每 </t>
    </r>
    <r>
      <rPr>
        <sz val="9"/>
        <color rgb="FF606060"/>
        <rFont val="微軟正黑體"/>
        <family val="0"/>
        <charset val="1"/>
      </rPr>
      <t xml:space="preserve">3 </t>
    </r>
    <r>
      <rPr>
        <sz val="9"/>
        <color rgb="FF606060"/>
        <rFont val="Noto Sans CJK SC"/>
        <family val="2"/>
      </rPr>
      <t xml:space="preserve">年檢討一次。★ 越南尚無醫院軟體的公開定價基準（</t>
    </r>
    <r>
      <rPr>
        <sz val="9"/>
        <color rgb="FF606060"/>
        <rFont val="微軟正黑體"/>
        <family val="0"/>
        <charset val="1"/>
      </rPr>
      <t xml:space="preserve">ykhoanet.com</t>
    </r>
    <r>
      <rPr>
        <sz val="9"/>
        <color rgb="FF606060"/>
        <rFont val="Noto Sans CJK SC"/>
        <family val="2"/>
      </rPr>
      <t xml:space="preserve">），廠商不公布價目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</si>
  <si>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開辦爬坡 </t>
    </r>
    <r>
      <rPr>
        <b val="true"/>
        <sz val="12"/>
        <color rgb="FF1F3864"/>
        <rFont val="微軟正黑體"/>
        <family val="0"/>
        <charset val="1"/>
      </rPr>
      <t xml:space="preserve">Ramp-up</t>
    </r>
    <r>
      <rPr>
        <b val="true"/>
        <sz val="12"/>
        <color rgb="FF1F3864"/>
        <rFont val="Noto Sans CJK SC"/>
        <family val="2"/>
      </rPr>
      <t xml:space="preserve">（第 </t>
    </r>
    <r>
      <rPr>
        <b val="true"/>
        <sz val="12"/>
        <color rgb="FF1F3864"/>
        <rFont val="微軟正黑體"/>
        <family val="0"/>
        <charset val="1"/>
      </rPr>
      <t xml:space="preserve">1–10 </t>
    </r>
    <r>
      <rPr>
        <b val="true"/>
        <sz val="12"/>
        <color rgb="FF1F3864"/>
        <rFont val="Noto Sans CJK SC"/>
        <family val="2"/>
      </rPr>
      <t xml:space="preserve">年，滿載＝</t>
    </r>
    <r>
      <rPr>
        <b val="true"/>
        <sz val="12"/>
        <color rgb="FF1F3864"/>
        <rFont val="微軟正黑體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</si>
  <si>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年度</t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</si>
  <si>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</si>
  <si>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2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</si>
  <si>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3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</si>
  <si>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4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</si>
  <si>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5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</si>
  <si>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6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</si>
  <si>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7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</si>
  <si>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8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</si>
  <si>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9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</si>
  <si>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</si>
  <si>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10"/>
        <color rgb="FF1F3864"/>
        <rFont val="Noto Sans CJK SC"/>
        <family val="2"/>
      </rPr>
      <t xml:space="preserve">爬坡率 </t>
    </r>
    <r>
      <rPr>
        <b val="true"/>
        <sz val="10"/>
        <color rgb="FF1F3864"/>
        <rFont val="微軟正黑體"/>
        <family val="0"/>
        <charset val="1"/>
      </rPr>
      <t xml:space="preserve">Ramp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</si>
  <si>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逐年營收（自動計算，顯示幣別）</t>
    </r>
  </si>
  <si>
    <t xml:space="preserve">項目</t>
  </si>
  <si>
    <t xml:space="preserve">服務量（爬坡後）</t>
  </si>
  <si>
    <t xml:space="preserve">加權單價（成長後・輸入幣別）</t>
  </si>
  <si>
    <r>
      <rPr>
        <b val="true"/>
        <sz val="9.5"/>
        <color rgb="FF1F3864"/>
        <rFont val="Noto Sans CJK SC"/>
        <family val="2"/>
      </rPr>
      <t xml:space="preserve">健保營收 </t>
    </r>
    <r>
      <rPr>
        <b val="true"/>
        <sz val="9.5"/>
        <color rgb="FF1F3864"/>
        <rFont val="微軟正黑體"/>
        <family val="0"/>
        <charset val="1"/>
      </rPr>
      <t xml:space="preserve">BHYT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</si>
  <si>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1F3864"/>
        <rFont val="Noto Sans CJK SC"/>
        <family val="2"/>
      </rPr>
      <t xml:space="preserve">自費營收 </t>
    </r>
    <r>
      <rPr>
        <b val="true"/>
        <sz val="9.5"/>
        <color rgb="FF1F3864"/>
        <rFont val="微軟正黑體"/>
        <family val="0"/>
        <charset val="1"/>
      </rPr>
      <t xml:space="preserve">Self-pay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</si>
  <si>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548235"/>
        <rFont val="Noto Sans CJK SC"/>
        <family val="2"/>
      </rPr>
      <t xml:space="preserve">營收合計 </t>
    </r>
    <r>
      <rPr>
        <b val="true"/>
        <sz val="9.5"/>
        <color rgb="FF548235"/>
        <rFont val="微軟正黑體"/>
        <family val="0"/>
        <charset val="1"/>
      </rPr>
      <t xml:space="preserve">Total revenue</t>
    </r>
    <r>
      <rPr>
        <b val="true"/>
        <sz val="9.5"/>
        <color rgb="FF548235"/>
        <rFont val="Noto Sans CJK SC"/>
        <family val="2"/>
      </rPr>
      <t xml:space="preserve">（顯示幣別）</t>
    </r>
  </si>
  <si>
    <r>
      <rPr>
        <b val="true"/>
        <sz val="11"/>
        <color rgb="FF548235"/>
        <rFont val="Noto Sans CJK SC"/>
        <family val="2"/>
      </rPr>
      <t xml:space="preserve">滿載年營收 </t>
    </r>
    <r>
      <rPr>
        <b val="true"/>
        <sz val="11"/>
        <color rgb="FF548235"/>
        <rFont val="微軟正黑體"/>
        <family val="0"/>
        <charset val="1"/>
      </rPr>
      <t xml:space="preserve">Full-capacity revenue</t>
    </r>
    <r>
      <rPr>
        <b val="true"/>
        <sz val="11"/>
        <color rgb="FF548235"/>
        <rFont val="Noto Sans CJK SC"/>
        <family val="2"/>
      </rPr>
      <t xml:space="preserve">（顯示幣別）</t>
    </r>
  </si>
  <si>
    <r>
      <rPr>
        <sz val="9"/>
        <color rgb="FF606060"/>
        <rFont val="Noto Sans CJK SC"/>
        <family val="2"/>
      </rPr>
      <t xml:space="preserve">＝服務量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計費期數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加權單價，不含爬坡與成長。用來檢查量級是否合理。</t>
    </r>
  </si>
  <si>
    <r>
      <rPr>
        <sz val="9.5"/>
        <color rgb="FFC00000"/>
        <rFont val="Noto Sans CJK SC"/>
        <family val="2"/>
      </rPr>
      <t xml:space="preserve">收入＝床數 </t>
    </r>
    <r>
      <rPr>
        <sz val="9.5"/>
        <color rgb="FFC00000"/>
        <rFont val="微軟正黑體"/>
        <family val="0"/>
        <charset val="1"/>
      </rPr>
      <t xml:space="preserve">× </t>
    </r>
    <r>
      <rPr>
        <sz val="9.5"/>
        <color rgb="FFC00000"/>
        <rFont val="Noto Sans CJK SC"/>
        <family val="2"/>
      </rPr>
      <t xml:space="preserve">月數 </t>
    </r>
    <r>
      <rPr>
        <sz val="9.5"/>
        <color rgb="FFC00000"/>
        <rFont val="微軟正黑體"/>
        <family val="0"/>
        <charset val="1"/>
      </rPr>
      <t xml:space="preserve">× </t>
    </r>
    <r>
      <rPr>
        <sz val="9.5"/>
        <color rgb="FFC00000"/>
        <rFont val="Noto Sans CJK SC"/>
        <family val="2"/>
      </rPr>
      <t xml:space="preserve">服務費（以租代購年費）。爬坡代表分階段上線：第 </t>
    </r>
    <r>
      <rPr>
        <sz val="9.5"/>
        <color rgb="FFC00000"/>
        <rFont val="微軟正黑體"/>
        <family val="0"/>
        <charset val="1"/>
      </rPr>
      <t xml:space="preserve">1 </t>
    </r>
    <r>
      <rPr>
        <sz val="9.5"/>
        <color rgb="FFC00000"/>
        <rFont val="Noto Sans CJK SC"/>
        <family val="2"/>
      </rPr>
      <t xml:space="preserve">年 </t>
    </r>
    <r>
      <rPr>
        <sz val="9.5"/>
        <color rgb="FFC00000"/>
        <rFont val="微軟正黑體"/>
        <family val="0"/>
        <charset val="1"/>
      </rPr>
      <t xml:space="preserve">40%</t>
    </r>
    <r>
      <rPr>
        <sz val="9.5"/>
        <color rgb="FFC00000"/>
        <rFont val="Noto Sans CJK SC"/>
        <family val="2"/>
      </rPr>
      <t xml:space="preserve">（門診）、第 </t>
    </r>
    <r>
      <rPr>
        <sz val="9.5"/>
        <color rgb="FFC00000"/>
        <rFont val="微軟正黑體"/>
        <family val="0"/>
        <charset val="1"/>
      </rPr>
      <t xml:space="preserve">2 </t>
    </r>
    <r>
      <rPr>
        <sz val="9.5"/>
        <color rgb="FFC00000"/>
        <rFont val="Noto Sans CJK SC"/>
        <family val="2"/>
      </rPr>
      <t xml:space="preserve">年 </t>
    </r>
    <r>
      <rPr>
        <sz val="9.5"/>
        <color rgb="FFC00000"/>
        <rFont val="微軟正黑體"/>
        <family val="0"/>
        <charset val="1"/>
      </rPr>
      <t xml:space="preserve">75%</t>
    </r>
    <r>
      <rPr>
        <sz val="9.5"/>
        <color rgb="FFC00000"/>
        <rFont val="Noto Sans CJK SC"/>
        <family val="2"/>
      </rPr>
      <t xml:space="preserve">（住院＋檢驗）、第 </t>
    </r>
    <r>
      <rPr>
        <sz val="9.5"/>
        <color rgb="FFC00000"/>
        <rFont val="微軟正黑體"/>
        <family val="0"/>
        <charset val="1"/>
      </rPr>
      <t xml:space="preserve">3 </t>
    </r>
    <r>
      <rPr>
        <sz val="9.5"/>
        <color rgb="FFC00000"/>
        <rFont val="Noto Sans CJK SC"/>
        <family val="2"/>
      </rPr>
      <t xml:space="preserve">年起 </t>
    </r>
    <r>
      <rPr>
        <sz val="9.5"/>
        <color rgb="FFC00000"/>
        <rFont val="微軟正黑體"/>
        <family val="0"/>
        <charset val="1"/>
      </rPr>
      <t xml:space="preserve">100%</t>
    </r>
    <r>
      <rPr>
        <sz val="9.5"/>
        <color rgb="FFC00000"/>
        <rFont val="Noto Sans CJK SC"/>
        <family val="2"/>
      </rPr>
      <t xml:space="preserve">（全院無紙化）。★ 本案投資類別選「</t>
    </r>
    <r>
      <rPr>
        <sz val="9.5"/>
        <color rgb="FFC00000"/>
        <rFont val="微軟正黑體"/>
        <family val="0"/>
        <charset val="1"/>
      </rPr>
      <t xml:space="preserve">F </t>
    </r>
    <r>
      <rPr>
        <sz val="9.5"/>
        <color rgb="FFC00000"/>
        <rFont val="Noto Sans CJK SC"/>
        <family val="2"/>
      </rPr>
      <t xml:space="preserve">策略布局型」而非「</t>
    </r>
    <r>
      <rPr>
        <sz val="9.5"/>
        <color rgb="FFC00000"/>
        <rFont val="微軟正黑體"/>
        <family val="0"/>
        <charset val="1"/>
      </rPr>
      <t xml:space="preserve">A </t>
    </r>
    <r>
      <rPr>
        <sz val="9.5"/>
        <color rgb="FFC00000"/>
        <rFont val="Noto Sans CJK SC"/>
        <family val="2"/>
      </rPr>
      <t xml:space="preserve">營收型」，原因見 </t>
    </r>
    <r>
      <rPr>
        <sz val="9.5"/>
        <color rgb="FFC00000"/>
        <rFont val="微軟正黑體"/>
        <family val="0"/>
        <charset val="1"/>
      </rPr>
      <t xml:space="preserve">10 </t>
    </r>
    <r>
      <rPr>
        <sz val="9.5"/>
        <color rgb="FFC00000"/>
        <rFont val="Noto Sans CJK SC"/>
        <family val="2"/>
      </rPr>
      <t xml:space="preserve">分頁的解讀。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</si>
  <si>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折舊攤提｜</t>
    </r>
    <r>
      <rPr>
        <b val="true"/>
        <sz val="15"/>
        <color rgb="FFFFFFFF"/>
        <rFont val="微軟正黑體"/>
        <family val="0"/>
        <charset val="1"/>
      </rPr>
      <t xml:space="preserve">Depreciation &amp; Amortisation Schedule</t>
    </r>
  </si>
  <si>
    <r>
      <rPr>
        <i val="true"/>
        <sz val="9.5"/>
        <color rgb="FF404040"/>
        <rFont val="Noto Sans CJK SC"/>
        <family val="2"/>
      </rPr>
      <t xml:space="preserve">全公式，不需編輯。逐列對應 </t>
    </r>
    <r>
      <rPr>
        <i val="true"/>
        <sz val="9.5"/>
        <color rgb="FF404040"/>
        <rFont val="微軟正黑體"/>
        <family val="0"/>
        <charset val="1"/>
      </rPr>
      <t xml:space="preserve">02 </t>
    </r>
    <r>
      <rPr>
        <i val="true"/>
        <sz val="9.5"/>
        <color rgb="FF404040"/>
        <rFont val="Noto Sans CJK SC"/>
        <family val="2"/>
      </rPr>
      <t xml:space="preserve">分頁的每一個 </t>
    </r>
    <r>
      <rPr>
        <i val="true"/>
        <sz val="9.5"/>
        <color rgb="FF404040"/>
        <rFont val="微軟正黑體"/>
        <family val="0"/>
        <charset val="1"/>
      </rPr>
      <t xml:space="preserve">CAPEX </t>
    </r>
    <r>
      <rPr>
        <i val="true"/>
        <sz val="9.5"/>
        <color rgb="FF404040"/>
        <rFont val="Noto Sans CJK SC"/>
        <family val="2"/>
      </rPr>
      <t xml:space="preserve">分項，依其折舊類別與年限採直線法計提；設有「置換年」的資產（如 </t>
    </r>
    <r>
      <rPr>
        <i val="true"/>
        <sz val="9.5"/>
        <color rgb="FF404040"/>
        <rFont val="微軟正黑體"/>
        <family val="0"/>
        <charset val="1"/>
      </rPr>
      <t xml:space="preserve">UPS </t>
    </r>
    <r>
      <rPr>
        <i val="true"/>
        <sz val="9.5"/>
        <color rgb="FF404040"/>
        <rFont val="Noto Sans CJK SC"/>
        <family val="2"/>
      </rPr>
      <t xml:space="preserve">電池、球管、伺服器）會在置換年重新起算一段折舊。★ 折舊年限依越南 </t>
    </r>
    <r>
      <rPr>
        <i val="true"/>
        <sz val="9.5"/>
        <color rgb="FF404040"/>
        <rFont val="微軟正黑體"/>
        <family val="0"/>
        <charset val="1"/>
      </rPr>
      <t xml:space="preserve">Circular 45/2013/TT-BTC </t>
    </r>
    <r>
      <rPr>
        <i val="true"/>
        <sz val="9.5"/>
        <color rgb="FF404040"/>
        <rFont val="Noto Sans CJK SC"/>
        <family val="2"/>
      </rPr>
      <t xml:space="preserve">附錄一的法定區間：建物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年。★ 稅務提醒：本案若適用長期免稅或 </t>
    </r>
    <r>
      <rPr>
        <i val="true"/>
        <sz val="9.5"/>
        <color rgb="FF404040"/>
        <rFont val="微軟正黑體"/>
        <family val="0"/>
        <charset val="1"/>
      </rPr>
      <t xml:space="preserve">10% </t>
    </r>
    <r>
      <rPr>
        <i val="true"/>
        <sz val="9.5"/>
        <color rgb="FF404040"/>
        <rFont val="Noto Sans CJK SC"/>
        <family val="2"/>
      </rPr>
      <t xml:space="preserve">優惠稅率，加速折舊反而會浪費稅盾——折舊年限宜取法定區間的上限。</t>
    </r>
  </si>
  <si>
    <t xml:space="preserve">分項名稱</t>
  </si>
  <si>
    <t xml:space="preserve">年限</t>
  </si>
  <si>
    <t xml:space="preserve">折舊基數</t>
  </si>
  <si>
    <r>
      <rPr>
        <b val="true"/>
        <sz val="11"/>
        <color rgb="FFFFFFFF"/>
        <rFont val="Noto Sans CJK SC"/>
        <family val="2"/>
      </rPr>
      <t xml:space="preserve">折舊攤提合計 </t>
    </r>
    <r>
      <rPr>
        <b val="true"/>
        <sz val="11"/>
        <color rgb="FFFFFFFF"/>
        <rFont val="微軟正黑體"/>
        <family val="0"/>
        <charset val="1"/>
      </rPr>
      <t xml:space="preserve">Total D&amp;A</t>
    </r>
  </si>
  <si>
    <r>
      <rPr>
        <b val="true"/>
        <sz val="12"/>
        <color rgb="FF1F3864"/>
        <rFont val="Noto Sans CJK SC"/>
        <family val="2"/>
      </rPr>
      <t xml:space="preserve">資本支出時程（</t>
    </r>
    <r>
      <rPr>
        <b val="true"/>
        <sz val="12"/>
        <color rgb="FF1F3864"/>
        <rFont val="微軟正黑體"/>
        <family val="0"/>
        <charset val="1"/>
      </rPr>
      <t xml:space="preserve">Capital expenditure schedule</t>
    </r>
    <r>
      <rPr>
        <b val="true"/>
        <sz val="12"/>
        <color rgb="FF1F3864"/>
        <rFont val="Noto Sans CJK SC"/>
        <family val="2"/>
      </rPr>
      <t xml:space="preserve">，顯示幣別）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</si>
  <si>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0 </t>
    </r>
    <r>
      <rPr>
        <b val="true"/>
        <sz val="9.5"/>
        <color rgb="FFFFFFFF"/>
        <rFont val="Noto Sans CJK SC"/>
        <family val="2"/>
      </rPr>
      <t xml:space="preserve">年
建置期</t>
    </r>
  </si>
  <si>
    <r>
      <rPr>
        <b val="true"/>
        <sz val="10"/>
        <color rgb="FF2F5597"/>
        <rFont val="Noto Sans CJK SC"/>
        <family val="2"/>
      </rPr>
      <t xml:space="preserve">初始投資 </t>
    </r>
    <r>
      <rPr>
        <b val="true"/>
        <sz val="10"/>
        <color rgb="FF2F5597"/>
        <rFont val="微軟正黑體"/>
        <family val="0"/>
        <charset val="1"/>
      </rPr>
      <t xml:space="preserve">Initial CAPEX</t>
    </r>
  </si>
  <si>
    <r>
      <rPr>
        <b val="true"/>
        <sz val="10"/>
        <color rgb="FF2F5597"/>
        <rFont val="Noto Sans CJK SC"/>
        <family val="2"/>
      </rPr>
      <t xml:space="preserve">置換投資 </t>
    </r>
    <r>
      <rPr>
        <b val="true"/>
        <sz val="10"/>
        <color rgb="FF2F5597"/>
        <rFont val="微軟正黑體"/>
        <family val="0"/>
        <charset val="1"/>
      </rPr>
      <t xml:space="preserve">Replacement CAPEX</t>
    </r>
  </si>
  <si>
    <t xml:space="preserve">資本支出合計</t>
  </si>
  <si>
    <r>
      <rPr>
        <b val="true"/>
        <sz val="10"/>
        <color rgb="FF548235"/>
        <rFont val="Noto Sans CJK SC"/>
        <family val="2"/>
      </rPr>
      <t xml:space="preserve">期末殘值回收 </t>
    </r>
    <r>
      <rPr>
        <b val="true"/>
        <sz val="10"/>
        <color rgb="FF548235"/>
        <rFont val="微軟正黑體"/>
        <family val="0"/>
        <charset val="1"/>
      </rPr>
      <t xml:space="preserve">Salvage value</t>
    </r>
    <r>
      <rPr>
        <b val="true"/>
        <sz val="10"/>
        <color rgb="FF548235"/>
        <rFont val="Noto Sans CJK SC"/>
        <family val="2"/>
      </rPr>
      <t xml:space="preserve">（第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年一次認列）</t>
    </r>
  </si>
  <si>
    <r>
      <rPr>
        <sz val="9"/>
        <color rgb="FF808080"/>
        <rFont val="Noto Sans CJK SC"/>
        <family val="2"/>
      </rPr>
      <t xml:space="preserve">★ 建模說明：本表採直線法。若資產設有置換年，模型讓「原資產按原年限攤完」與「置換資產自置換年重新起算」並存，在置換年到原年限之間會有短暫重疊——這是為了讓公式保持透明可讀所做的簡化，對現金流無影響（折舊只影響稅），且方向保守（折舊多、稅少估）。若本案的置換金額重大，建議在 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分頁登錄此簡化並請會計師確認。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</si>
  <si>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現金流｜</t>
    </r>
    <r>
      <rPr>
        <b val="true"/>
        <sz val="15"/>
        <color rgb="FFFFFFFF"/>
        <rFont val="微軟正黑體"/>
        <family val="0"/>
        <charset val="1"/>
      </rPr>
      <t xml:space="preserve">Free Cash Flow to Firm</t>
    </r>
    <r>
      <rPr>
        <b val="true"/>
        <sz val="15"/>
        <color rgb="FFFFFFFF"/>
        <rFont val="Noto Sans CJK SC"/>
        <family val="2"/>
      </rPr>
      <t xml:space="preserve">（無槓桿自由現金流）</t>
    </r>
  </si>
  <si>
    <r>
      <rPr>
        <i val="true"/>
        <sz val="9.5"/>
        <color rgb="FF404040"/>
        <rFont val="Noto Sans CJK SC"/>
        <family val="2"/>
      </rPr>
      <t xml:space="preserve">全公式，不需編輯。採業界標準推導：營收 → </t>
    </r>
    <r>
      <rPr>
        <i val="true"/>
        <sz val="9.5"/>
        <color rgb="FF404040"/>
        <rFont val="微軟正黑體"/>
        <family val="0"/>
        <charset val="1"/>
      </rPr>
      <t xml:space="preserve">EBITDA → </t>
    </r>
    <r>
      <rPr>
        <i val="true"/>
        <sz val="9.5"/>
        <color rgb="FF404040"/>
        <rFont val="Noto Sans CJK SC"/>
        <family val="2"/>
      </rPr>
      <t xml:space="preserve">折舊攤提 → </t>
    </r>
    <r>
      <rPr>
        <i val="true"/>
        <sz val="9.5"/>
        <color rgb="FF404040"/>
        <rFont val="微軟正黑體"/>
        <family val="0"/>
        <charset val="1"/>
      </rPr>
      <t xml:space="preserve">EBIT → </t>
    </r>
    <r>
      <rPr>
        <i val="true"/>
        <sz val="9.5"/>
        <color rgb="FF404040"/>
        <rFont val="Noto Sans CJK SC"/>
        <family val="2"/>
      </rPr>
      <t xml:space="preserve">所得稅 → </t>
    </r>
    <r>
      <rPr>
        <i val="true"/>
        <sz val="9.5"/>
        <color rgb="FF404040"/>
        <rFont val="微軟正黑體"/>
        <family val="0"/>
        <charset val="1"/>
      </rPr>
      <t xml:space="preserve">NOPAT → </t>
    </r>
    <r>
      <rPr>
        <i val="true"/>
        <sz val="9.5"/>
        <color rgb="FF404040"/>
        <rFont val="Noto Sans CJK SC"/>
        <family val="2"/>
      </rPr>
      <t xml:space="preserve">＋折舊 −資本支出 −營運資金變動 ＝ </t>
    </r>
    <r>
      <rPr>
        <i val="true"/>
        <sz val="9.5"/>
        <color rgb="FF404040"/>
        <rFont val="微軟正黑體"/>
        <family val="0"/>
        <charset val="1"/>
      </rPr>
      <t xml:space="preserve">FCFF</t>
    </r>
    <r>
      <rPr>
        <i val="true"/>
        <sz val="9.5"/>
        <color rgb="FF404040"/>
        <rFont val="Noto Sans CJK SC"/>
        <family val="2"/>
      </rPr>
      <t xml:space="preserve">。★ 稅採「</t>
    </r>
    <r>
      <rPr>
        <i val="true"/>
        <sz val="9.5"/>
        <color rgb="FF404040"/>
        <rFont val="微軟正黑體"/>
        <family val="0"/>
        <charset val="1"/>
      </rPr>
      <t xml:space="preserve">EBIT × </t>
    </r>
    <r>
      <rPr>
        <i val="true"/>
        <sz val="9.5"/>
        <color rgb="FF404040"/>
        <rFont val="Noto Sans CJK SC"/>
        <family val="2"/>
      </rPr>
      <t xml:space="preserve">稅率」（未槓桿稅負），不用損益表實際稅額——因為利息稅盾已含在 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的 </t>
    </r>
    <r>
      <rPr>
        <i val="true"/>
        <sz val="9.5"/>
        <color rgb="FF404040"/>
        <rFont val="微軟正黑體"/>
        <family val="0"/>
        <charset val="1"/>
      </rPr>
      <t xml:space="preserve">Kd×(1−t) </t>
    </r>
    <r>
      <rPr>
        <i val="true"/>
        <sz val="9.5"/>
        <color rgb="FF404040"/>
        <rFont val="Noto Sans CJK SC"/>
        <family val="2"/>
      </rPr>
      <t xml:space="preserve">裡，重複計會高估價值。★ 所得稅已內建越南免稅期起算規則與 </t>
    </r>
    <r>
      <rPr>
        <i val="true"/>
        <sz val="9.5"/>
        <color rgb="FF404040"/>
        <rFont val="微軟正黑體"/>
        <family val="0"/>
        <charset val="1"/>
      </rPr>
      <t xml:space="preserve">5 </t>
    </r>
    <r>
      <rPr>
        <i val="true"/>
        <sz val="9.5"/>
        <color rgb="FF404040"/>
        <rFont val="Noto Sans CJK SC"/>
        <family val="2"/>
      </rPr>
      <t xml:space="preserve">年虧損扣抵。全部金額為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分頁設定的顯示幣別。</t>
    </r>
  </si>
  <si>
    <r>
      <rPr>
        <b val="true"/>
        <sz val="9.5"/>
        <color rgb="FFFFFFFF"/>
        <rFont val="Noto Sans CJK SC"/>
        <family val="2"/>
      </rPr>
      <t xml:space="preserve">項目 </t>
    </r>
    <r>
      <rPr>
        <b val="true"/>
        <sz val="9.5"/>
        <color rgb="FFFFFFFF"/>
        <rFont val="微軟正黑體"/>
        <family val="0"/>
        <charset val="1"/>
      </rPr>
      <t xml:space="preserve">Item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</si>
  <si>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營業損益 </t>
    </r>
    <r>
      <rPr>
        <b val="true"/>
        <sz val="12"/>
        <color rgb="FF1F3864"/>
        <rFont val="微軟正黑體"/>
        <family val="0"/>
        <charset val="1"/>
      </rPr>
      <t xml:space="preserve">Profit &amp; Loss</t>
    </r>
  </si>
  <si>
    <r>
      <rPr>
        <sz val="9.5"/>
        <color rgb="FF1F3864"/>
        <rFont val="Noto Sans CJK SC"/>
        <family val="2"/>
      </rPr>
      <t xml:space="preserve">　健保營收 </t>
    </r>
    <r>
      <rPr>
        <sz val="9.5"/>
        <color rgb="FF1F3864"/>
        <rFont val="微軟正黑體"/>
        <family val="0"/>
        <charset val="1"/>
      </rPr>
      <t xml:space="preserve">BHYT revenue</t>
    </r>
  </si>
  <si>
    <r>
      <rPr>
        <sz val="9.5"/>
        <color rgb="FF1F3864"/>
        <rFont val="Noto Sans CJK SC"/>
        <family val="2"/>
      </rPr>
      <t xml:space="preserve">　自費營收 </t>
    </r>
    <r>
      <rPr>
        <sz val="9.5"/>
        <color rgb="FF1F3864"/>
        <rFont val="微軟正黑體"/>
        <family val="0"/>
        <charset val="1"/>
      </rPr>
      <t xml:space="preserve">Self-pay revenue</t>
    </r>
  </si>
  <si>
    <r>
      <rPr>
        <b val="true"/>
        <sz val="10"/>
        <color rgb="FF1F3864"/>
        <rFont val="Noto Sans CJK SC"/>
        <family val="2"/>
      </rPr>
      <t xml:space="preserve">營收合計 </t>
    </r>
    <r>
      <rPr>
        <b val="true"/>
        <sz val="10"/>
        <color rgb="FF1F3864"/>
        <rFont val="微軟正黑體"/>
        <family val="0"/>
        <charset val="1"/>
      </rPr>
      <t xml:space="preserve">Total revenue</t>
    </r>
  </si>
  <si>
    <r>
      <rPr>
        <sz val="9.5"/>
        <color rgb="FF1F3864"/>
        <rFont val="Noto Sans CJK SC"/>
        <family val="2"/>
      </rPr>
      <t xml:space="preserve">　變動營運成本 </t>
    </r>
    <r>
      <rPr>
        <sz val="9.5"/>
        <color rgb="FF1F3864"/>
        <rFont val="微軟正黑體"/>
        <family val="0"/>
        <charset val="1"/>
      </rPr>
      <t xml:space="preserve">Variable OPEX</t>
    </r>
  </si>
  <si>
    <r>
      <rPr>
        <sz val="9.5"/>
        <color rgb="FF1F3864"/>
        <rFont val="Noto Sans CJK SC"/>
        <family val="2"/>
      </rPr>
      <t xml:space="preserve">　固定營運成本 </t>
    </r>
    <r>
      <rPr>
        <sz val="9.5"/>
        <color rgb="FF1F3864"/>
        <rFont val="微軟正黑體"/>
        <family val="0"/>
        <charset val="1"/>
      </rPr>
      <t xml:space="preserve">Fixed OPEX</t>
    </r>
  </si>
  <si>
    <r>
      <rPr>
        <b val="true"/>
        <sz val="10"/>
        <color rgb="FF1F3864"/>
        <rFont val="Noto Sans CJK SC"/>
        <family val="2"/>
      </rPr>
      <t xml:space="preserve">營運成本合計 </t>
    </r>
    <r>
      <rPr>
        <b val="true"/>
        <sz val="10"/>
        <color rgb="FF1F3864"/>
        <rFont val="微軟正黑體"/>
        <family val="0"/>
        <charset val="1"/>
      </rPr>
      <t xml:space="preserve">Total OPEX</t>
    </r>
  </si>
  <si>
    <t xml:space="preserve">EBITDA</t>
  </si>
  <si>
    <r>
      <rPr>
        <sz val="9.5"/>
        <color rgb="FF1F3864"/>
        <rFont val="Noto Sans CJK SC"/>
        <family val="2"/>
      </rPr>
      <t xml:space="preserve">　　</t>
    </r>
    <r>
      <rPr>
        <sz val="9.5"/>
        <color rgb="FF1F3864"/>
        <rFont val="微軟正黑體"/>
        <family val="0"/>
        <charset val="1"/>
      </rPr>
      <t xml:space="preserve">EBITDA </t>
    </r>
    <r>
      <rPr>
        <sz val="9.5"/>
        <color rgb="FF1F3864"/>
        <rFont val="Noto Sans CJK SC"/>
        <family val="2"/>
      </rPr>
      <t xml:space="preserve">利潤率</t>
    </r>
  </si>
  <si>
    <r>
      <rPr>
        <sz val="9.5"/>
        <color rgb="FF1F3864"/>
        <rFont val="Noto Sans CJK SC"/>
        <family val="2"/>
      </rPr>
      <t xml:space="preserve">　折舊攤提 </t>
    </r>
    <r>
      <rPr>
        <sz val="9.5"/>
        <color rgb="FF1F3864"/>
        <rFont val="微軟正黑體"/>
        <family val="0"/>
        <charset val="1"/>
      </rPr>
      <t xml:space="preserve">D&amp;A</t>
    </r>
  </si>
  <si>
    <r>
      <rPr>
        <b val="true"/>
        <sz val="10"/>
        <color rgb="FF1F3864"/>
        <rFont val="微軟正黑體"/>
        <family val="0"/>
        <charset val="1"/>
      </rPr>
      <t xml:space="preserve">EBIT </t>
    </r>
    <r>
      <rPr>
        <b val="true"/>
        <sz val="10"/>
        <color rgb="FF1F3864"/>
        <rFont val="Noto Sans CJK SC"/>
        <family val="2"/>
      </rPr>
      <t xml:space="preserve">營業利益</t>
    </r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</si>
  <si>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所得稅 </t>
    </r>
    <r>
      <rPr>
        <b val="true"/>
        <sz val="12"/>
        <color rgb="FF1F3864"/>
        <rFont val="微軟正黑體"/>
        <family val="0"/>
        <charset val="1"/>
      </rPr>
      <t xml:space="preserve">Income tax</t>
    </r>
    <r>
      <rPr>
        <b val="true"/>
        <sz val="12"/>
        <color rgb="FF1F3864"/>
        <rFont val="Noto Sans CJK SC"/>
        <family val="2"/>
      </rPr>
      <t xml:space="preserve">（含越南免稅期與虧損扣抵）</t>
    </r>
  </si>
  <si>
    <r>
      <rPr>
        <sz val="9.5"/>
        <color rgb="FF1F3864"/>
        <rFont val="Noto Sans CJK SC"/>
        <family val="2"/>
      </rPr>
      <t xml:space="preserve">　本期虧損產生 </t>
    </r>
    <r>
      <rPr>
        <sz val="9.5"/>
        <color rgb="FF1F3864"/>
        <rFont val="微軟正黑體"/>
        <family val="0"/>
        <charset val="1"/>
      </rPr>
      <t xml:space="preserve">Loss generated</t>
    </r>
  </si>
  <si>
    <r>
      <rPr>
        <sz val="9.5"/>
        <color rgb="FF1F3864"/>
        <rFont val="Noto Sans CJK SC"/>
        <family val="2"/>
      </rPr>
      <t xml:space="preserve">　可用虧損扣抵餘額（</t>
    </r>
    <r>
      <rPr>
        <sz val="9.5"/>
        <color rgb="FF1F3864"/>
        <rFont val="微軟正黑體"/>
        <family val="0"/>
        <charset val="1"/>
      </rPr>
      <t xml:space="preserve">5 </t>
    </r>
    <r>
      <rPr>
        <sz val="9.5"/>
        <color rgb="FF1F3864"/>
        <rFont val="Noto Sans CJK SC"/>
        <family val="2"/>
      </rPr>
      <t xml:space="preserve">年內）</t>
    </r>
  </si>
  <si>
    <r>
      <rPr>
        <sz val="9.5"/>
        <color rgb="FF1F3864"/>
        <rFont val="Noto Sans CJK SC"/>
        <family val="2"/>
      </rPr>
      <t xml:space="preserve">　本期使用虧損扣抵 </t>
    </r>
    <r>
      <rPr>
        <sz val="9.5"/>
        <color rgb="FF1F3864"/>
        <rFont val="微軟正黑體"/>
        <family val="0"/>
        <charset val="1"/>
      </rPr>
      <t xml:space="preserve">Loss utilised</t>
    </r>
  </si>
  <si>
    <r>
      <rPr>
        <sz val="9.5"/>
        <color rgb="FF1F3864"/>
        <rFont val="Noto Sans CJK SC"/>
        <family val="2"/>
      </rPr>
      <t xml:space="preserve">　課稅所得 </t>
    </r>
    <r>
      <rPr>
        <sz val="9.5"/>
        <color rgb="FF1F3864"/>
        <rFont val="微軟正黑體"/>
        <family val="0"/>
        <charset val="1"/>
      </rPr>
      <t xml:space="preserve">Taxable income</t>
    </r>
  </si>
  <si>
    <r>
      <rPr>
        <sz val="9"/>
        <color rgb="FF808080"/>
        <rFont val="Noto Sans CJK SC"/>
        <family val="2"/>
      </rPr>
      <t xml:space="preserve">　首次獲利年 </t>
    </r>
    <r>
      <rPr>
        <sz val="9"/>
        <color rgb="FF808080"/>
        <rFont val="微軟正黑體"/>
        <family val="0"/>
        <charset val="1"/>
      </rPr>
      <t xml:space="preserve">First profitable year</t>
    </r>
  </si>
  <si>
    <r>
      <rPr>
        <sz val="8.5"/>
        <color rgb="FF808080"/>
        <rFont val="Noto Sans CJK SC"/>
        <family val="2"/>
      </rPr>
      <t xml:space="preserve">免稅期自「首次從受優惠活動獲利」起算；但若產生營收後 </t>
    </r>
    <r>
      <rPr>
        <sz val="8.5"/>
        <color rgb="FF808080"/>
        <rFont val="微軟正黑體"/>
        <family val="0"/>
        <charset val="1"/>
      </rPr>
      <t xml:space="preserve">3 </t>
    </r>
    <r>
      <rPr>
        <sz val="8.5"/>
        <color rgb="FF808080"/>
        <rFont val="Noto Sans CJK SC"/>
        <family val="2"/>
      </rPr>
      <t xml:space="preserve">年內未獲利，則自營運第 </t>
    </r>
    <r>
      <rPr>
        <sz val="8.5"/>
        <color rgb="FF808080"/>
        <rFont val="微軟正黑體"/>
        <family val="0"/>
        <charset val="1"/>
      </rPr>
      <t xml:space="preserve">4 </t>
    </r>
    <r>
      <rPr>
        <sz val="8.5"/>
        <color rgb="FF808080"/>
        <rFont val="Noto Sans CJK SC"/>
        <family val="2"/>
      </rPr>
      <t xml:space="preserve">年起強制起算（</t>
    </r>
    <r>
      <rPr>
        <sz val="8.5"/>
        <color rgb="FF808080"/>
        <rFont val="微軟正黑體"/>
        <family val="0"/>
        <charset val="1"/>
      </rPr>
      <t xml:space="preserve">PwC</t>
    </r>
    <r>
      <rPr>
        <sz val="8.5"/>
        <color rgb="FF808080"/>
        <rFont val="Noto Sans CJK SC"/>
        <family val="2"/>
      </rPr>
      <t xml:space="preserve">）。</t>
    </r>
  </si>
  <si>
    <r>
      <rPr>
        <sz val="9"/>
        <color rgb="FF808080"/>
        <rFont val="Noto Sans CJK SC"/>
        <family val="2"/>
      </rPr>
      <t xml:space="preserve">　免稅起算年 </t>
    </r>
    <r>
      <rPr>
        <sz val="9"/>
        <color rgb="FF808080"/>
        <rFont val="微軟正黑體"/>
        <family val="0"/>
        <charset val="1"/>
      </rPr>
      <t xml:space="preserve">Holiday start year</t>
    </r>
  </si>
  <si>
    <r>
      <rPr>
        <sz val="9.5"/>
        <color rgb="FF1F3864"/>
        <rFont val="Noto Sans CJK SC"/>
        <family val="2"/>
      </rPr>
      <t xml:space="preserve">　適用稅率 </t>
    </r>
    <r>
      <rPr>
        <sz val="9.5"/>
        <color rgb="FF1F3864"/>
        <rFont val="微軟正黑體"/>
        <family val="0"/>
        <charset val="1"/>
      </rPr>
      <t xml:space="preserve">Effective tax rate</t>
    </r>
  </si>
  <si>
    <r>
      <rPr>
        <sz val="9.5"/>
        <color rgb="FF1F3864"/>
        <rFont val="Noto Sans CJK SC"/>
        <family val="2"/>
      </rPr>
      <t xml:space="preserve">　所得稅 </t>
    </r>
    <r>
      <rPr>
        <sz val="9.5"/>
        <color rgb="FF1F3864"/>
        <rFont val="微軟正黑體"/>
        <family val="0"/>
        <charset val="1"/>
      </rPr>
      <t xml:space="preserve">Income tax</t>
    </r>
  </si>
  <si>
    <r>
      <rPr>
        <b val="true"/>
        <sz val="10"/>
        <color rgb="FF1F3864"/>
        <rFont val="微軟正黑體"/>
        <family val="0"/>
        <charset val="1"/>
      </rPr>
      <t xml:space="preserve">NOPAT </t>
    </r>
    <r>
      <rPr>
        <b val="true"/>
        <sz val="10"/>
        <color rgb="FF1F3864"/>
        <rFont val="Noto Sans CJK SC"/>
        <family val="2"/>
      </rPr>
      <t xml:space="preserve">稅後營業淨利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</si>
  <si>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營運資金 </t>
    </r>
    <r>
      <rPr>
        <b val="true"/>
        <sz val="12"/>
        <color rgb="FF1F3864"/>
        <rFont val="微軟正黑體"/>
        <family val="0"/>
        <charset val="1"/>
      </rPr>
      <t xml:space="preserve">Working capital</t>
    </r>
  </si>
  <si>
    <r>
      <rPr>
        <sz val="9.5"/>
        <color rgb="FF1F3864"/>
        <rFont val="Noto Sans CJK SC"/>
        <family val="2"/>
      </rPr>
      <t xml:space="preserve">　應收帳款 </t>
    </r>
    <r>
      <rPr>
        <sz val="9.5"/>
        <color rgb="FF1F3864"/>
        <rFont val="微軟正黑體"/>
        <family val="0"/>
        <charset val="1"/>
      </rPr>
      <t xml:space="preserve">AR</t>
    </r>
    <r>
      <rPr>
        <sz val="9.5"/>
        <color rgb="FF1F3864"/>
        <rFont val="Noto Sans CJK SC"/>
        <family val="2"/>
      </rPr>
      <t xml:space="preserve">（健保／自費分開）</t>
    </r>
  </si>
  <si>
    <r>
      <rPr>
        <sz val="9.5"/>
        <color rgb="FF1F3864"/>
        <rFont val="Noto Sans CJK SC"/>
        <family val="2"/>
      </rPr>
      <t xml:space="preserve">　耗材存貨 </t>
    </r>
    <r>
      <rPr>
        <sz val="9.5"/>
        <color rgb="FF1F3864"/>
        <rFont val="微軟正黑體"/>
        <family val="0"/>
        <charset val="1"/>
      </rPr>
      <t xml:space="preserve">Inventory</t>
    </r>
  </si>
  <si>
    <r>
      <rPr>
        <sz val="9.5"/>
        <color rgb="FF1F3864"/>
        <rFont val="Noto Sans CJK SC"/>
        <family val="2"/>
      </rPr>
      <t xml:space="preserve">　應付帳款 </t>
    </r>
    <r>
      <rPr>
        <sz val="9.5"/>
        <color rgb="FF1F3864"/>
        <rFont val="微軟正黑體"/>
        <family val="0"/>
        <charset val="1"/>
      </rPr>
      <t xml:space="preserve">AP</t>
    </r>
  </si>
  <si>
    <r>
      <rPr>
        <sz val="9.5"/>
        <color rgb="FF1F3864"/>
        <rFont val="Noto Sans CJK SC"/>
        <family val="2"/>
      </rPr>
      <t xml:space="preserve">營運資金淨額 </t>
    </r>
    <r>
      <rPr>
        <sz val="9.5"/>
        <color rgb="FF1F3864"/>
        <rFont val="微軟正黑體"/>
        <family val="0"/>
        <charset val="1"/>
      </rPr>
      <t xml:space="preserve">NWC</t>
    </r>
  </si>
  <si>
    <r>
      <rPr>
        <sz val="9.5"/>
        <color rgb="FF1F3864"/>
        <rFont val="Noto Sans CJK SC"/>
        <family val="2"/>
      </rPr>
      <t xml:space="preserve">營運資金變動 </t>
    </r>
    <r>
      <rPr>
        <sz val="9.5"/>
        <color rgb="FF1F3864"/>
        <rFont val="微軟正黑體"/>
        <family val="0"/>
        <charset val="1"/>
      </rPr>
      <t xml:space="preserve">ΔNWC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</si>
  <si>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自由現金流 </t>
    </r>
    <r>
      <rPr>
        <b val="true"/>
        <sz val="12"/>
        <color rgb="FF1F3864"/>
        <rFont val="微軟正黑體"/>
        <family val="0"/>
        <charset val="1"/>
      </rPr>
      <t xml:space="preserve">Free Cash Flow to Firm</t>
    </r>
  </si>
  <si>
    <t xml:space="preserve">　＋ 折舊攤提（非現金加回）</t>
  </si>
  <si>
    <r>
      <rPr>
        <sz val="9.5"/>
        <color rgb="FF1F3864"/>
        <rFont val="Noto Sans CJK SC"/>
        <family val="2"/>
      </rPr>
      <t xml:space="preserve">　− 資本支出 </t>
    </r>
    <r>
      <rPr>
        <sz val="9.5"/>
        <color rgb="FF1F3864"/>
        <rFont val="微軟正黑體"/>
        <family val="0"/>
        <charset val="1"/>
      </rPr>
      <t xml:space="preserve">CapEx</t>
    </r>
  </si>
  <si>
    <t xml:space="preserve">　− 營運資金變動</t>
  </si>
  <si>
    <r>
      <rPr>
        <sz val="9.5"/>
        <color rgb="FF1F3864"/>
        <rFont val="Noto Sans CJK SC"/>
        <family val="2"/>
      </rPr>
      <t xml:space="preserve">　＋ 期末殘值回收 </t>
    </r>
    <r>
      <rPr>
        <sz val="9.5"/>
        <color rgb="FF1F3864"/>
        <rFont val="微軟正黑體"/>
        <family val="0"/>
        <charset val="1"/>
      </rPr>
      <t xml:space="preserve">Salvage</t>
    </r>
  </si>
  <si>
    <r>
      <rPr>
        <b val="true"/>
        <sz val="10"/>
        <color rgb="FF1F3864"/>
        <rFont val="Noto Sans CJK SC"/>
        <family val="2"/>
      </rPr>
      <t xml:space="preserve">自由現金流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</si>
  <si>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r>
      <rPr>
        <sz val="9.5"/>
        <color rgb="FF1F3864"/>
        <rFont val="Noto Sans CJK SC"/>
        <family val="2"/>
      </rPr>
      <t xml:space="preserve">折現因子 </t>
    </r>
    <r>
      <rPr>
        <sz val="9.5"/>
        <color rgb="FF1F3864"/>
        <rFont val="微軟正黑體"/>
        <family val="0"/>
        <charset val="1"/>
      </rPr>
      <t xml:space="preserve">Discount factor</t>
    </r>
  </si>
  <si>
    <r>
      <rPr>
        <sz val="9.5"/>
        <color rgb="FF1F3864"/>
        <rFont val="Noto Sans CJK SC"/>
        <family val="2"/>
      </rPr>
      <t xml:space="preserve">折現現金流 </t>
    </r>
    <r>
      <rPr>
        <sz val="9.5"/>
        <color rgb="FF1F3864"/>
        <rFont val="微軟正黑體"/>
        <family val="0"/>
        <charset val="1"/>
      </rPr>
      <t xml:space="preserve">Discounted FCF</t>
    </r>
  </si>
  <si>
    <r>
      <rPr>
        <b val="true"/>
        <sz val="10"/>
        <color rgb="FF1F3864"/>
        <rFont val="Noto Sans CJK SC"/>
        <family val="2"/>
      </rPr>
      <t xml:space="preserve">累計折現現金流 </t>
    </r>
    <r>
      <rPr>
        <b val="true"/>
        <sz val="10"/>
        <color rgb="FF1F3864"/>
        <rFont val="微軟正黑體"/>
        <family val="0"/>
        <charset val="1"/>
      </rPr>
      <t xml:space="preserve">Cumulative</t>
    </r>
  </si>
  <si>
    <r>
      <rPr>
        <b val="true"/>
        <sz val="12"/>
        <color rgb="FF548235"/>
        <rFont val="微軟正黑體"/>
        <family val="0"/>
        <charset val="1"/>
      </rPr>
      <t xml:space="preserve">E. </t>
    </r>
    <r>
      <rPr>
        <b val="true"/>
        <sz val="12"/>
        <color rgb="FF548235"/>
        <rFont val="Noto Sans CJK SC"/>
        <family val="2"/>
      </rPr>
      <t xml:space="preserve">投資指標 </t>
    </r>
    <r>
      <rPr>
        <b val="true"/>
        <sz val="12"/>
        <color rgb="FF548235"/>
        <rFont val="微軟正黑體"/>
        <family val="0"/>
        <charset val="1"/>
      </rPr>
      <t xml:space="preserve">Investment metrics</t>
    </r>
  </si>
  <si>
    <r>
      <rPr>
        <b val="true"/>
        <sz val="10"/>
        <color rgb="FF1F3864"/>
        <rFont val="微軟正黑體"/>
        <family val="0"/>
        <charset val="1"/>
      </rPr>
      <t xml:space="preserve">NPV </t>
    </r>
    <r>
      <rPr>
        <b val="true"/>
        <sz val="10"/>
        <color rgb="FF1F3864"/>
        <rFont val="Noto Sans CJK SC"/>
        <family val="2"/>
      </rPr>
      <t xml:space="preserve">淨現值</t>
    </r>
  </si>
  <si>
    <r>
      <rPr>
        <sz val="8.5"/>
        <color rgb="FF505050"/>
        <rFont val="Noto Sans CJK SC"/>
        <family val="2"/>
      </rPr>
      <t xml:space="preserve">所有年度折現現金流的總和。＞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代表在此折現率下創造價值。</t>
    </r>
  </si>
  <si>
    <r>
      <rPr>
        <b val="true"/>
        <sz val="10"/>
        <color rgb="FF1F3864"/>
        <rFont val="微軟正黑體"/>
        <family val="0"/>
        <charset val="1"/>
      </rPr>
      <t xml:space="preserve">IRR </t>
    </r>
    <r>
      <rPr>
        <b val="true"/>
        <sz val="10"/>
        <color rgb="FF1F3864"/>
        <rFont val="Noto Sans CJK SC"/>
        <family val="2"/>
      </rPr>
      <t xml:space="preserve">內部報酬率</t>
    </r>
  </si>
  <si>
    <r>
      <rPr>
        <sz val="8.5"/>
        <color rgb="FF505050"/>
        <rFont val="Noto Sans CJK SC"/>
        <family val="2"/>
      </rPr>
      <t xml:space="preserve">使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＝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的折現率。★ 當現金流正負交替（例如中途有大額置換投資）時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可能有多重解，請以 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</si>
  <si>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微軟正黑體"/>
        <family val="0"/>
        <charset val="1"/>
      </rPr>
      <t xml:space="preserve">★ MIRR </t>
    </r>
    <r>
      <rPr>
        <b val="true"/>
        <sz val="10"/>
        <color rgb="FF1F3864"/>
        <rFont val="Noto Sans CJK SC"/>
        <family val="2"/>
      </rPr>
      <t xml:space="preserve">修正內部報酬率</t>
    </r>
  </si>
  <si>
    <r>
      <rPr>
        <sz val="8.5"/>
        <color rgb="FF505050"/>
        <rFont val="Noto Sans CJK SC"/>
        <family val="2"/>
      </rPr>
      <t xml:space="preserve">★ 主要報酬指標。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隱含假設期中現金流以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本身再投資（不現實）；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改用你在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指定的再投資率，且對任何現金流序列都只有單一解。</t>
    </r>
  </si>
  <si>
    <r>
      <rPr>
        <b val="true"/>
        <sz val="10"/>
        <color rgb="FF1F3864"/>
        <rFont val="微軟正黑體"/>
        <family val="0"/>
        <charset val="1"/>
      </rPr>
      <t xml:space="preserve">PI </t>
    </r>
    <r>
      <rPr>
        <b val="true"/>
        <sz val="10"/>
        <color rgb="FF1F3864"/>
        <rFont val="Noto Sans CJK SC"/>
        <family val="2"/>
      </rPr>
      <t xml:space="preserve">獲利指數</t>
    </r>
  </si>
  <si>
    <r>
      <rPr>
        <sz val="8.5"/>
        <color rgb="FF505050"/>
        <rFont val="Noto Sans CJK SC"/>
        <family val="2"/>
      </rPr>
      <t xml:space="preserve">＝營運期折現現金流現值 </t>
    </r>
    <r>
      <rPr>
        <sz val="8.5"/>
        <color rgb="FF505050"/>
        <rFont val="微軟正黑體"/>
        <family val="0"/>
        <charset val="1"/>
      </rPr>
      <t xml:space="preserve">÷ </t>
    </r>
    <r>
      <rPr>
        <sz val="8.5"/>
        <color rgb="FF505050"/>
        <rFont val="Noto Sans CJK SC"/>
        <family val="2"/>
      </rPr>
      <t xml:space="preserve">初始投資。＞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即可接受。資本受限、要在多案之間排序時用這個指標。</t>
    </r>
  </si>
  <si>
    <t xml:space="preserve">折現回收期（年）</t>
  </si>
  <si>
    <t xml:space="preserve">折現後的累計現金流轉正所需年數。</t>
  </si>
  <si>
    <t xml:space="preserve">簡單回收期（年）</t>
  </si>
  <si>
    <t xml:space="preserve">不折現的粗略參考值。</t>
  </si>
  <si>
    <r>
      <rPr>
        <b val="true"/>
        <sz val="10"/>
        <color rgb="FF1F3864"/>
        <rFont val="微軟正黑體"/>
        <family val="0"/>
        <charset val="1"/>
      </rPr>
      <t xml:space="preserve">ROIC </t>
    </r>
    <r>
      <rPr>
        <b val="true"/>
        <sz val="10"/>
        <color rgb="FF1F3864"/>
        <rFont val="Noto Sans CJK SC"/>
        <family val="2"/>
      </rPr>
      <t xml:space="preserve">投入資本報酬率</t>
    </r>
  </si>
  <si>
    <r>
      <rPr>
        <sz val="8.5"/>
        <color rgb="FF505050"/>
        <rFont val="Noto Sans CJK SC"/>
        <family val="2"/>
      </rPr>
      <t xml:space="preserve">＝平均 </t>
    </r>
    <r>
      <rPr>
        <sz val="8.5"/>
        <color rgb="FF505050"/>
        <rFont val="微軟正黑體"/>
        <family val="0"/>
        <charset val="1"/>
      </rPr>
      <t xml:space="preserve">NOPAT ÷ </t>
    </r>
    <r>
      <rPr>
        <sz val="8.5"/>
        <color rgb="FF505050"/>
        <rFont val="Noto Sans CJK SC"/>
        <family val="2"/>
      </rPr>
      <t xml:space="preserve">投入資本。★ 判讀方式：與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比較——高於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</si>
  <si>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0"/>
        <color rgb="FF1F3864"/>
        <rFont val="Noto Sans CJK SC"/>
        <family val="2"/>
      </rPr>
      <t xml:space="preserve">滿載年 </t>
    </r>
    <r>
      <rPr>
        <b val="true"/>
        <sz val="10"/>
        <color rgb="FF1F3864"/>
        <rFont val="微軟正黑體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利潤率</t>
    </r>
  </si>
  <si>
    <r>
      <rPr>
        <sz val="8.5"/>
        <color rgb="FF505050"/>
        <rFont val="Noto Sans CJK SC"/>
        <family val="2"/>
      </rPr>
      <t xml:space="preserve">第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年的 </t>
    </r>
    <r>
      <rPr>
        <sz val="8.5"/>
        <color rgb="FF505050"/>
        <rFont val="微軟正黑體"/>
        <family val="0"/>
        <charset val="1"/>
      </rPr>
      <t xml:space="preserve">EBITDA ÷ </t>
    </r>
    <r>
      <rPr>
        <sz val="8.5"/>
        <color rgb="FF505050"/>
        <rFont val="Noto Sans CJK SC"/>
        <family val="2"/>
      </rPr>
      <t xml:space="preserve">營收。</t>
    </r>
  </si>
  <si>
    <r>
      <rPr>
        <b val="true"/>
        <sz val="10"/>
        <color rgb="FF1F3864"/>
        <rFont val="Noto Sans CJK SC"/>
        <family val="2"/>
      </rPr>
      <t xml:space="preserve">十年累計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</si>
  <si>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t xml:space="preserve">不折現的十年淨現金流總額。</t>
  </si>
  <si>
    <r>
      <rPr>
        <sz val="9"/>
        <color rgb="FFC00000"/>
        <rFont val="Noto Sans CJK SC"/>
        <family val="2"/>
      </rPr>
      <t xml:space="preserve">★ 為什麼本檔以 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為主要報酬指標：本模型允許每一個 </t>
    </r>
    <r>
      <rPr>
        <sz val="9"/>
        <color rgb="FFC00000"/>
        <rFont val="微軟正黑體"/>
        <family val="0"/>
        <charset val="1"/>
      </rPr>
      <t xml:space="preserve">CAPEX </t>
    </r>
    <r>
      <rPr>
        <sz val="9"/>
        <color rgb="FFC00000"/>
        <rFont val="Noto Sans CJK SC"/>
        <family val="2"/>
      </rPr>
      <t xml:space="preserve">分項設定「置換年」——</t>
    </r>
    <r>
      <rPr>
        <sz val="9"/>
        <color rgb="FFC00000"/>
        <rFont val="微軟正黑體"/>
        <family val="0"/>
        <charset val="1"/>
      </rPr>
      <t xml:space="preserve">UPS </t>
    </r>
    <r>
      <rPr>
        <sz val="9"/>
        <color rgb="FFC00000"/>
        <rFont val="Noto Sans CJK SC"/>
        <family val="2"/>
      </rPr>
      <t xml:space="preserve">電池第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年、伺服器第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年、球管第 </t>
    </r>
    <r>
      <rPr>
        <sz val="9"/>
        <color rgb="FFC00000"/>
        <rFont val="微軟正黑體"/>
        <family val="0"/>
        <charset val="1"/>
      </rPr>
      <t xml:space="preserve">5 </t>
    </r>
    <r>
      <rPr>
        <sz val="9"/>
        <color rgb="FFC00000"/>
        <rFont val="Noto Sans CJK SC"/>
        <family val="2"/>
      </rPr>
      <t xml:space="preserve">年——這使得現金流序列在正負之間交替，正是會讓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出現多重解的型態。</t>
    </r>
    <r>
      <rPr>
        <sz val="9"/>
        <color rgb="FFC00000"/>
        <rFont val="微軟正黑體"/>
        <family val="0"/>
        <charset val="1"/>
      </rPr>
      <t xml:space="preserve">Corporate Finance Institute </t>
    </r>
    <r>
      <rPr>
        <sz val="9"/>
        <color rgb="FFC00000"/>
        <rFont val="Noto Sans CJK SC"/>
        <family val="2"/>
      </rPr>
      <t xml:space="preserve">明述：「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對任何現金流序列都得到單一解，而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對正負交替的序列可能有兩個解。」</t>
    </r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</si>
  <si>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折現率｜</t>
    </r>
    <r>
      <rPr>
        <b val="true"/>
        <sz val="15"/>
        <color rgb="FFFFFFFF"/>
        <rFont val="微軟正黑體"/>
        <family val="0"/>
        <charset val="1"/>
      </rPr>
      <t xml:space="preserve">WACC</t>
    </r>
    <r>
      <rPr>
        <b val="true"/>
        <sz val="15"/>
        <color rgb="FFFFFFFF"/>
        <rFont val="Noto Sans CJK SC"/>
        <family val="2"/>
      </rPr>
      <t xml:space="preserve">（加權平均資金成本）</t>
    </r>
  </si>
  <si>
    <r>
      <rPr>
        <i val="true"/>
        <sz val="9.5"/>
        <color rgb="FF404040"/>
        <rFont val="Noto Sans CJK SC"/>
        <family val="2"/>
      </rPr>
      <t xml:space="preserve">折現率是整個模型影響最大的單一假設，不該隨手填。本頁用 </t>
    </r>
    <r>
      <rPr>
        <i val="true"/>
        <sz val="9.5"/>
        <color rgb="FF404040"/>
        <rFont val="微軟正黑體"/>
        <family val="0"/>
        <charset val="1"/>
      </rPr>
      <t xml:space="preserve">CAPM </t>
    </r>
    <r>
      <rPr>
        <i val="true"/>
        <sz val="9.5"/>
        <color rgb="FF404040"/>
        <rFont val="Noto Sans CJK SC"/>
        <family val="2"/>
      </rPr>
      <t xml:space="preserve">推算：股權成本 ＝ 無風險利率 ＋ </t>
    </r>
    <r>
      <rPr>
        <i val="true"/>
        <sz val="9.5"/>
        <color rgb="FF404040"/>
        <rFont val="微軟正黑體"/>
        <family val="0"/>
        <charset val="1"/>
      </rPr>
      <t xml:space="preserve">β×</t>
    </r>
    <r>
      <rPr>
        <i val="true"/>
        <sz val="9.5"/>
        <color rgb="FF404040"/>
        <rFont val="Noto Sans CJK SC"/>
        <family val="2"/>
      </rPr>
      <t xml:space="preserve">成熟市場風險溢酬 ＋ 國家風險溢酬，再與稅後債務成本加權。★ 若要改用手動輸入，請到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分頁把「折現率來源」改成「手動輸入」。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</si>
  <si>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無風險利率與風險溢酬（</t>
    </r>
    <r>
      <rPr>
        <b val="true"/>
        <sz val="12"/>
        <color rgb="FF1F3864"/>
        <rFont val="微軟正黑體"/>
        <family val="0"/>
        <charset val="1"/>
      </rPr>
      <t xml:space="preserve">Damodaran, 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</si>
  <si>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無風險利率 </t>
    </r>
    <r>
      <rPr>
        <b val="true"/>
        <sz val="10"/>
        <color rgb="FF1F3864"/>
        <rFont val="微軟正黑體"/>
        <family val="0"/>
        <charset val="1"/>
      </rPr>
      <t xml:space="preserve">Rf</t>
    </r>
  </si>
  <si>
    <r>
      <rPr>
        <sz val="8.5"/>
        <color rgb="FF505050"/>
        <rFont val="Noto Sans CJK SC"/>
        <family val="2"/>
      </rPr>
      <t xml:space="preserve">越南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年期公債殖利率（</t>
    </r>
    <r>
      <rPr>
        <sz val="8.5"/>
        <color rgb="FF505050"/>
        <rFont val="微軟正黑體"/>
        <family val="0"/>
        <charset val="1"/>
      </rPr>
      <t xml:space="preserve">tradingeconomics.com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2026-08-12</t>
    </r>
    <r>
      <rPr>
        <sz val="8.5"/>
        <color rgb="FF505050"/>
        <rFont val="Noto Sans CJK SC"/>
        <family val="2"/>
      </rPr>
      <t xml:space="preserve">）。以越南公債為基準代表本模型是「越盾名目」計價。</t>
    </r>
  </si>
  <si>
    <r>
      <rPr>
        <b val="true"/>
        <sz val="10"/>
        <color rgb="FF1F3864"/>
        <rFont val="Noto Sans CJK SC"/>
        <family val="2"/>
      </rPr>
      <t xml:space="preserve">成熟市場風險溢酬 </t>
    </r>
    <r>
      <rPr>
        <b val="true"/>
        <sz val="10"/>
        <color rgb="FF1F3864"/>
        <rFont val="微軟正黑體"/>
        <family val="0"/>
        <charset val="1"/>
      </rPr>
      <t xml:space="preserve">ERP</t>
    </r>
  </si>
  <si>
    <r>
      <rPr>
        <sz val="8.5"/>
        <color rgb="FF505050"/>
        <rFont val="微軟正黑體"/>
        <family val="0"/>
        <charset val="1"/>
      </rPr>
      <t xml:space="preserve">Damodaran 2026-01-01</t>
    </r>
    <r>
      <rPr>
        <sz val="8.5"/>
        <color rgb="FF505050"/>
        <rFont val="Noto Sans CJK SC"/>
        <family val="2"/>
      </rPr>
      <t xml:space="preserve">：由 </t>
    </r>
    <r>
      <rPr>
        <sz val="8.5"/>
        <color rgb="FF505050"/>
        <rFont val="微軟正黑體"/>
        <family val="0"/>
        <charset val="1"/>
      </rPr>
      <t xml:space="preserve">S&amp;P 500 </t>
    </r>
    <r>
      <rPr>
        <sz val="8.5"/>
        <color rgb="FF505050"/>
        <rFont val="Noto Sans CJK SC"/>
        <family val="2"/>
      </rPr>
      <t xml:space="preserve">隱含 </t>
    </r>
    <r>
      <rPr>
        <sz val="8.5"/>
        <color rgb="FF505050"/>
        <rFont val="微軟正黑體"/>
        <family val="0"/>
        <charset val="1"/>
      </rPr>
      <t xml:space="preserve">ERP </t>
    </r>
    <r>
      <rPr>
        <sz val="8.5"/>
        <color rgb="FF505050"/>
        <rFont val="Noto Sans CJK SC"/>
        <family val="2"/>
      </rPr>
      <t xml:space="preserve">扣除美國自身違約價差 </t>
    </r>
    <r>
      <rPr>
        <sz val="8.5"/>
        <color rgb="FF505050"/>
        <rFont val="微軟正黑體"/>
        <family val="0"/>
        <charset val="1"/>
      </rPr>
      <t xml:space="preserve">0.23% </t>
    </r>
    <r>
      <rPr>
        <sz val="8.5"/>
        <color rgb="FF505050"/>
        <rFont val="Noto Sans CJK SC"/>
        <family val="2"/>
      </rPr>
      <t xml:space="preserve">後得出（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</si>
  <si>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r>
      <rPr>
        <b val="true"/>
        <sz val="10"/>
        <color rgb="FF1F3864"/>
        <rFont val="Noto Sans CJK SC"/>
        <family val="2"/>
      </rPr>
      <t xml:space="preserve">越南國家風險溢酬 </t>
    </r>
    <r>
      <rPr>
        <b val="true"/>
        <sz val="10"/>
        <color rgb="FF1F3864"/>
        <rFont val="微軟正黑體"/>
        <family val="0"/>
        <charset val="1"/>
      </rPr>
      <t xml:space="preserve">CRP</t>
    </r>
  </si>
  <si>
    <r>
      <rPr>
        <sz val="8.5"/>
        <color rgb="FF505050"/>
        <rFont val="微軟正黑體"/>
        <family val="0"/>
        <charset val="1"/>
      </rPr>
      <t xml:space="preserve">Damodaran 2026-01-05</t>
    </r>
    <r>
      <rPr>
        <sz val="8.5"/>
        <color rgb="FF505050"/>
        <rFont val="Noto Sans CJK SC"/>
        <family val="2"/>
      </rPr>
      <t xml:space="preserve">：越南評等 </t>
    </r>
    <r>
      <rPr>
        <sz val="8.5"/>
        <color rgb="FF505050"/>
        <rFont val="微軟正黑體"/>
        <family val="0"/>
        <charset val="1"/>
      </rPr>
      <t xml:space="preserve">Ba2</t>
    </r>
    <r>
      <rPr>
        <sz val="8.5"/>
        <color rgb="FF505050"/>
        <rFont val="Noto Sans CJK SC"/>
        <family val="2"/>
      </rPr>
      <t xml:space="preserve">、調整後違約價差 </t>
    </r>
    <r>
      <rPr>
        <sz val="8.5"/>
        <color rgb="FF505050"/>
        <rFont val="微軟正黑體"/>
        <family val="0"/>
        <charset val="1"/>
      </rPr>
      <t xml:space="preserve">2.56%</t>
    </r>
    <r>
      <rPr>
        <sz val="8.5"/>
        <color rgb="FF505050"/>
        <rFont val="Noto Sans CJK SC"/>
        <family val="2"/>
      </rPr>
      <t xml:space="preserve">，再依股票相對債券的波動度放大約 </t>
    </r>
    <r>
      <rPr>
        <sz val="8.5"/>
        <color rgb="FF505050"/>
        <rFont val="微軟正黑體"/>
        <family val="0"/>
        <charset val="1"/>
      </rPr>
      <t xml:space="preserve">1.52 </t>
    </r>
    <r>
      <rPr>
        <sz val="8.5"/>
        <color rgb="FF505050"/>
        <rFont val="Noto Sans CJK SC"/>
        <family val="2"/>
      </rPr>
      <t xml:space="preserve">倍得出（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</si>
  <si>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t xml:space="preserve">　（參考）越南主權評等</t>
  </si>
  <si>
    <t xml:space="preserve">Ba2 (Moody's)</t>
  </si>
  <si>
    <r>
      <rPr>
        <sz val="8.5"/>
        <color rgb="FF808080"/>
        <rFont val="Noto Sans CJK SC"/>
        <family val="2"/>
      </rPr>
      <t xml:space="preserve">越南股權風險溢酬合計 ＝ </t>
    </r>
    <r>
      <rPr>
        <sz val="8.5"/>
        <color rgb="FF808080"/>
        <rFont val="微軟正黑體"/>
        <family val="0"/>
        <charset val="1"/>
      </rPr>
      <t xml:space="preserve">4.23% </t>
    </r>
    <r>
      <rPr>
        <sz val="8.5"/>
        <color rgb="FF808080"/>
        <rFont val="Noto Sans CJK SC"/>
        <family val="2"/>
      </rPr>
      <t xml:space="preserve">＋ </t>
    </r>
    <r>
      <rPr>
        <sz val="8.5"/>
        <color rgb="FF808080"/>
        <rFont val="微軟正黑體"/>
        <family val="0"/>
        <charset val="1"/>
      </rPr>
      <t xml:space="preserve">3.90% </t>
    </r>
    <r>
      <rPr>
        <sz val="8.5"/>
        <color rgb="FF808080"/>
        <rFont val="Noto Sans CJK SC"/>
        <family val="2"/>
      </rPr>
      <t xml:space="preserve">＝ </t>
    </r>
    <r>
      <rPr>
        <sz val="8.5"/>
        <color rgb="FF808080"/>
        <rFont val="微軟正黑體"/>
        <family val="0"/>
        <charset val="1"/>
      </rPr>
      <t xml:space="preserve">8.13%</t>
    </r>
    <r>
      <rPr>
        <sz val="8.5"/>
        <color rgb="FF808080"/>
        <rFont val="Noto Sans CJK SC"/>
        <family val="2"/>
      </rPr>
      <t xml:space="preserve">（</t>
    </r>
    <r>
      <rPr>
        <sz val="8.5"/>
        <color rgb="FF808080"/>
        <rFont val="微軟正黑體"/>
        <family val="0"/>
        <charset val="1"/>
      </rPr>
      <t xml:space="preserve">Damodaran </t>
    </r>
    <r>
      <rPr>
        <sz val="8.5"/>
        <color rgb="FF808080"/>
        <rFont val="Noto Sans CJK SC"/>
        <family val="2"/>
      </rPr>
      <t xml:space="preserve">資料表）</t>
    </r>
  </si>
  <si>
    <t xml:space="preserve">　（參考）越南調整後違約價差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</si>
  <si>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產業 </t>
    </r>
    <r>
      <rPr>
        <b val="true"/>
        <sz val="12"/>
        <color rgb="FF1F3864"/>
        <rFont val="微軟正黑體"/>
        <family val="0"/>
        <charset val="1"/>
      </rPr>
      <t xml:space="preserve">Beta</t>
    </r>
    <r>
      <rPr>
        <b val="true"/>
        <sz val="12"/>
        <color rgb="FF1F3864"/>
        <rFont val="Noto Sans CJK SC"/>
        <family val="2"/>
      </rPr>
      <t xml:space="preserve">（</t>
    </r>
    <r>
      <rPr>
        <b val="true"/>
        <sz val="12"/>
        <color rgb="FF1F3864"/>
        <rFont val="微軟正黑體"/>
        <family val="0"/>
        <charset val="1"/>
      </rPr>
      <t xml:space="preserve">Damodaran </t>
    </r>
    <r>
      <rPr>
        <b val="true"/>
        <sz val="12"/>
        <color rgb="FF1F3864"/>
        <rFont val="Noto Sans CJK SC"/>
        <family val="2"/>
      </rPr>
      <t xml:space="preserve">產業資料，</t>
    </r>
    <r>
      <rPr>
        <b val="true"/>
        <sz val="12"/>
        <color rgb="FF1F3864"/>
        <rFont val="微軟正黑體"/>
        <family val="0"/>
        <charset val="1"/>
      </rPr>
      <t xml:space="preserve">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</si>
  <si>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產業別 </t>
    </r>
    <r>
      <rPr>
        <b val="true"/>
        <sz val="10"/>
        <color rgb="FF1F3864"/>
        <rFont val="微軟正黑體"/>
        <family val="0"/>
        <charset val="1"/>
      </rPr>
      <t xml:space="preserve">Industry</t>
    </r>
  </si>
  <si>
    <t xml:space="preserve">Computer Services (βu 0.92)</t>
  </si>
  <si>
    <r>
      <rPr>
        <sz val="8.5"/>
        <color rgb="FF505050"/>
        <rFont val="Noto Sans CJK SC"/>
        <family val="2"/>
      </rPr>
      <t xml:space="preserve">★ 資料中心無獨立產業分類。實務上以 </t>
    </r>
    <r>
      <rPr>
        <sz val="8.5"/>
        <color rgb="FF505050"/>
        <rFont val="微軟正黑體"/>
        <family val="0"/>
        <charset val="1"/>
      </rPr>
      <t xml:space="preserve">R.E.I.T.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0.39</t>
    </r>
    <r>
      <rPr>
        <sz val="8.5"/>
        <color rgb="FF505050"/>
        <rFont val="Noto Sans CJK SC"/>
        <family val="2"/>
      </rPr>
      <t xml:space="preserve">，反映長約穩定現金流）與 </t>
    </r>
    <r>
      <rPr>
        <sz val="8.5"/>
        <color rgb="FF505050"/>
        <rFont val="微軟正黑體"/>
        <family val="0"/>
        <charset val="1"/>
      </rPr>
      <t xml:space="preserve">Computer Services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0.92</t>
    </r>
    <r>
      <rPr>
        <sz val="8.5"/>
        <color rgb="FF505050"/>
        <rFont val="Noto Sans CJK SC"/>
        <family val="2"/>
      </rPr>
      <t xml:space="preserve">，反映營運型服務）為區間上下界，依「長約 </t>
    </r>
    <r>
      <rPr>
        <sz val="8.5"/>
        <color rgb="FF505050"/>
        <rFont val="微軟正黑體"/>
        <family val="0"/>
        <charset val="1"/>
      </rPr>
      <t xml:space="preserve">vs </t>
    </r>
    <r>
      <rPr>
        <sz val="8.5"/>
        <color rgb="FF505050"/>
        <rFont val="Noto Sans CJK SC"/>
        <family val="2"/>
      </rPr>
      <t xml:space="preserve">零售」比重內插。</t>
    </r>
  </si>
  <si>
    <r>
      <rPr>
        <b val="true"/>
        <sz val="10"/>
        <color rgb="FF1F3864"/>
        <rFont val="Noto Sans CJK SC"/>
        <family val="2"/>
      </rPr>
      <t xml:space="preserve">無槓桿 </t>
    </r>
    <r>
      <rPr>
        <b val="true"/>
        <sz val="10"/>
        <color rgb="FF1F3864"/>
        <rFont val="微軟正黑體"/>
        <family val="0"/>
        <charset val="1"/>
      </rPr>
      <t xml:space="preserve">Beta βu</t>
    </r>
  </si>
  <si>
    <r>
      <rPr>
        <sz val="8.5"/>
        <color rgb="FF505050"/>
        <rFont val="Noto Sans CJK SC"/>
        <family val="2"/>
      </rPr>
      <t xml:space="preserve">醫院／醫療機構 </t>
    </r>
    <r>
      <rPr>
        <sz val="8.5"/>
        <color rgb="FF505050"/>
        <rFont val="微軟正黑體"/>
        <family val="0"/>
        <charset val="1"/>
      </rPr>
      <t xml:space="preserve">0.55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D/E 59.92%</t>
    </r>
    <r>
      <rPr>
        <sz val="8.5"/>
        <color rgb="FF505050"/>
        <rFont val="Noto Sans CJK SC"/>
        <family val="2"/>
      </rPr>
      <t xml:space="preserve">）；醫材產品 </t>
    </r>
    <r>
      <rPr>
        <sz val="8.5"/>
        <color rgb="FF505050"/>
        <rFont val="微軟正黑體"/>
        <family val="0"/>
        <charset val="1"/>
      </rPr>
      <t xml:space="preserve">0.83</t>
    </r>
    <r>
      <rPr>
        <sz val="8.5"/>
        <color rgb="FF505050"/>
        <rFont val="Noto Sans CJK SC"/>
        <family val="2"/>
      </rPr>
      <t xml:space="preserve">；資訊服務 </t>
    </r>
    <r>
      <rPr>
        <sz val="8.5"/>
        <color rgb="FF505050"/>
        <rFont val="微軟正黑體"/>
        <family val="0"/>
        <charset val="1"/>
      </rPr>
      <t xml:space="preserve">0.74</t>
    </r>
    <r>
      <rPr>
        <sz val="8.5"/>
        <color rgb="FF505050"/>
        <rFont val="Noto Sans CJK SC"/>
        <family val="2"/>
      </rPr>
      <t xml:space="preserve">；電腦服務 </t>
    </r>
    <r>
      <rPr>
        <sz val="8.5"/>
        <color rgb="FF505050"/>
        <rFont val="微軟正黑體"/>
        <family val="0"/>
        <charset val="1"/>
      </rPr>
      <t xml:space="preserve">0.92</t>
    </r>
    <r>
      <rPr>
        <sz val="8.5"/>
        <color rgb="FF505050"/>
        <rFont val="Noto Sans CJK SC"/>
        <family val="2"/>
      </rPr>
      <t xml:space="preserve">；</t>
    </r>
    <r>
      <rPr>
        <sz val="8.5"/>
        <color rgb="FF505050"/>
        <rFont val="微軟正黑體"/>
        <family val="0"/>
        <charset val="1"/>
      </rPr>
      <t xml:space="preserve">REIT 0.39</t>
    </r>
    <r>
      <rPr>
        <sz val="8.5"/>
        <color rgb="FF505050"/>
        <rFont val="Noto Sans CJK SC"/>
        <family val="2"/>
      </rPr>
      <t xml:space="preserve">。★ 為 </t>
    </r>
    <r>
      <rPr>
        <sz val="8.5"/>
        <color rgb="FF505050"/>
        <rFont val="微軟正黑體"/>
        <family val="0"/>
        <charset val="1"/>
      </rPr>
      <t xml:space="preserve">Damodaran </t>
    </r>
    <r>
      <rPr>
        <sz val="8.5"/>
        <color rgb="FF505050"/>
        <rFont val="Noto Sans CJK SC"/>
        <family val="2"/>
      </rPr>
      <t xml:space="preserve">美國樣本；用於越南專案時建議另取新興市場版校正。</t>
    </r>
  </si>
  <si>
    <r>
      <rPr>
        <b val="true"/>
        <sz val="10"/>
        <color rgb="FF1F3864"/>
        <rFont val="Noto Sans CJK SC"/>
        <family val="2"/>
      </rPr>
      <t xml:space="preserve">目標負債／權益 </t>
    </r>
    <r>
      <rPr>
        <b val="true"/>
        <sz val="10"/>
        <color rgb="FF1F3864"/>
        <rFont val="微軟正黑體"/>
        <family val="0"/>
        <charset val="1"/>
      </rPr>
      <t xml:space="preserve">D/E</t>
    </r>
  </si>
  <si>
    <t xml:space="preserve">本專案的目標資本結構。</t>
  </si>
  <si>
    <r>
      <rPr>
        <b val="true"/>
        <sz val="10"/>
        <color rgb="FF1F3864"/>
        <rFont val="Noto Sans CJK SC"/>
        <family val="2"/>
      </rPr>
      <t xml:space="preserve">適用稅率 </t>
    </r>
    <r>
      <rPr>
        <b val="true"/>
        <sz val="10"/>
        <color rgb="FF1F3864"/>
        <rFont val="微軟正黑體"/>
        <family val="0"/>
        <charset val="1"/>
      </rPr>
      <t xml:space="preserve">t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</si>
  <si>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分頁帶入（社會化醫療優惠稅率）</t>
    </r>
  </si>
  <si>
    <r>
      <rPr>
        <b val="true"/>
        <sz val="10"/>
        <color rgb="FF1F3864"/>
        <rFont val="Noto Sans CJK SC"/>
        <family val="2"/>
      </rPr>
      <t xml:space="preserve">有槓桿 </t>
    </r>
    <r>
      <rPr>
        <b val="true"/>
        <sz val="10"/>
        <color rgb="FF1F3864"/>
        <rFont val="微軟正黑體"/>
        <family val="0"/>
        <charset val="1"/>
      </rPr>
      <t xml:space="preserve">Beta βL</t>
    </r>
  </si>
  <si>
    <r>
      <rPr>
        <sz val="8.5"/>
        <color rgb="FF505050"/>
        <rFont val="微軟正黑體"/>
        <family val="0"/>
        <charset val="1"/>
      </rPr>
      <t xml:space="preserve">Hamada </t>
    </r>
    <r>
      <rPr>
        <sz val="8.5"/>
        <color rgb="FF505050"/>
        <rFont val="Noto Sans CJK SC"/>
        <family val="2"/>
      </rPr>
      <t xml:space="preserve">公式：</t>
    </r>
    <r>
      <rPr>
        <sz val="8.5"/>
        <color rgb="FF505050"/>
        <rFont val="微軟正黑體"/>
        <family val="0"/>
        <charset val="1"/>
      </rPr>
      <t xml:space="preserve">βL </t>
    </r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βu × [1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(1−t) × D/E]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</si>
  <si>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資本成本</t>
    </r>
  </si>
  <si>
    <r>
      <rPr>
        <b val="true"/>
        <sz val="10"/>
        <color rgb="FF1F3864"/>
        <rFont val="Noto Sans CJK SC"/>
        <family val="2"/>
      </rPr>
      <t xml:space="preserve">股權成本 </t>
    </r>
    <r>
      <rPr>
        <b val="true"/>
        <sz val="10"/>
        <color rgb="FF1F3864"/>
        <rFont val="微軟正黑體"/>
        <family val="0"/>
        <charset val="1"/>
      </rPr>
      <t xml:space="preserve">Ke</t>
    </r>
  </si>
  <si>
    <r>
      <rPr>
        <sz val="8.5"/>
        <color rgb="FF505050"/>
        <rFont val="微軟正黑體"/>
        <family val="0"/>
        <charset val="1"/>
      </rPr>
      <t xml:space="preserve">CAPM </t>
    </r>
    <r>
      <rPr>
        <sz val="8.5"/>
        <color rgb="FF505050"/>
        <rFont val="Noto Sans CJK SC"/>
        <family val="2"/>
      </rPr>
      <t xml:space="preserve">＋ 國家風險溢酬（</t>
    </r>
    <r>
      <rPr>
        <sz val="8.5"/>
        <color rgb="FF505050"/>
        <rFont val="微軟正黑體"/>
        <family val="0"/>
        <charset val="1"/>
      </rPr>
      <t xml:space="preserve">Damodaran 2026 </t>
    </r>
    <r>
      <rPr>
        <sz val="8.5"/>
        <color rgb="FF505050"/>
        <rFont val="Noto Sans CJK SC"/>
        <family val="2"/>
      </rPr>
      <t xml:space="preserve">採「加法」而非 </t>
    </r>
    <r>
      <rPr>
        <sz val="8.5"/>
        <color rgb="FF505050"/>
        <rFont val="微軟正黑體"/>
        <family val="0"/>
        <charset val="1"/>
      </rPr>
      <t xml:space="preserve">lambda </t>
    </r>
    <r>
      <rPr>
        <sz val="8.5"/>
        <color rgb="FF505050"/>
        <rFont val="Noto Sans CJK SC"/>
        <family val="2"/>
      </rPr>
      <t xml:space="preserve">乘數法）</t>
    </r>
  </si>
  <si>
    <r>
      <rPr>
        <b val="true"/>
        <sz val="10"/>
        <color rgb="FF1F3864"/>
        <rFont val="Noto Sans CJK SC"/>
        <family val="2"/>
      </rPr>
      <t xml:space="preserve">債務成本 </t>
    </r>
    <r>
      <rPr>
        <b val="true"/>
        <sz val="10"/>
        <color rgb="FF1F3864"/>
        <rFont val="微軟正黑體"/>
        <family val="0"/>
        <charset val="1"/>
      </rPr>
      <t xml:space="preserve">Kd</t>
    </r>
    <r>
      <rPr>
        <b val="true"/>
        <sz val="10"/>
        <color rgb="FF1F3864"/>
        <rFont val="Noto Sans CJK SC"/>
        <family val="2"/>
      </rPr>
      <t xml:space="preserve">（稅前）</t>
    </r>
  </si>
  <si>
    <r>
      <rPr>
        <sz val="8.5"/>
        <color rgb="FF505050"/>
        <rFont val="Noto Sans CJK SC"/>
        <family val="2"/>
      </rPr>
      <t xml:space="preserve">越南本地企業借款利率，或無風險利率＋本案信用價差。須以實際 </t>
    </r>
    <r>
      <rPr>
        <sz val="8.5"/>
        <color rgb="FF505050"/>
        <rFont val="微軟正黑體"/>
        <family val="0"/>
        <charset val="1"/>
      </rPr>
      <t xml:space="preserve">term sheet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</si>
  <si>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Noto Sans CJK SC"/>
        <family val="2"/>
      </rPr>
      <t xml:space="preserve">稅後債務成本 </t>
    </r>
    <r>
      <rPr>
        <b val="true"/>
        <sz val="10"/>
        <color rgb="FF1F3864"/>
        <rFont val="微軟正黑體"/>
        <family val="0"/>
        <charset val="1"/>
      </rPr>
      <t xml:space="preserve">Kd×(1−t)</t>
    </r>
  </si>
  <si>
    <r>
      <rPr>
        <sz val="8.5"/>
        <color rgb="FF505050"/>
        <rFont val="Noto Sans CJK SC"/>
        <family val="2"/>
      </rPr>
      <t xml:space="preserve">利息可抵稅，故實際成本較低。★ 這也是為何 </t>
    </r>
    <r>
      <rPr>
        <sz val="8.5"/>
        <color rgb="FF505050"/>
        <rFont val="微軟正黑體"/>
        <family val="0"/>
        <charset val="1"/>
      </rPr>
      <t xml:space="preserve">FCFF </t>
    </r>
    <r>
      <rPr>
        <sz val="8.5"/>
        <color rgb="FF505050"/>
        <rFont val="Noto Sans CJK SC"/>
        <family val="2"/>
      </rPr>
      <t xml:space="preserve">的稅要用 </t>
    </r>
    <r>
      <rPr>
        <sz val="8.5"/>
        <color rgb="FF505050"/>
        <rFont val="微軟正黑體"/>
        <family val="0"/>
        <charset val="1"/>
      </rPr>
      <t xml:space="preserve">EBIT×t</t>
    </r>
    <r>
      <rPr>
        <sz val="8.5"/>
        <color rgb="FF505050"/>
        <rFont val="Noto Sans CJK SC"/>
        <family val="2"/>
      </rPr>
      <t xml:space="preserve">，否則稅盾會被重複計算。</t>
    </r>
  </si>
  <si>
    <r>
      <rPr>
        <b val="true"/>
        <sz val="10"/>
        <color rgb="FF1F3864"/>
        <rFont val="Noto Sans CJK SC"/>
        <family val="2"/>
      </rPr>
      <t xml:space="preserve">權益比重 </t>
    </r>
    <r>
      <rPr>
        <b val="true"/>
        <sz val="10"/>
        <color rgb="FF1F3864"/>
        <rFont val="微軟正黑體"/>
        <family val="0"/>
        <charset val="1"/>
      </rPr>
      <t xml:space="preserve">E/(D+E)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</si>
  <si>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D/E </t>
    </r>
    <r>
      <rPr>
        <sz val="8.5"/>
        <color rgb="FF505050"/>
        <rFont val="Noto Sans CJK SC"/>
        <family val="2"/>
      </rPr>
      <t xml:space="preserve">推得</t>
    </r>
  </si>
  <si>
    <r>
      <rPr>
        <b val="true"/>
        <sz val="10"/>
        <color rgb="FF1F3864"/>
        <rFont val="Noto Sans CJK SC"/>
        <family val="2"/>
      </rPr>
      <t xml:space="preserve">負債比重 </t>
    </r>
    <r>
      <rPr>
        <b val="true"/>
        <sz val="10"/>
        <color rgb="FF1F3864"/>
        <rFont val="微軟正黑體"/>
        <family val="0"/>
        <charset val="1"/>
      </rPr>
      <t xml:space="preserve">D/(D+E)</t>
    </r>
  </si>
  <si>
    <r>
      <rPr>
        <b val="true"/>
        <sz val="12"/>
        <color rgb="FF548235"/>
        <rFont val="微軟正黑體"/>
        <family val="0"/>
        <charset val="1"/>
      </rPr>
      <t xml:space="preserve">D. </t>
    </r>
    <r>
      <rPr>
        <b val="true"/>
        <sz val="12"/>
        <color rgb="FF548235"/>
        <rFont val="Noto Sans CJK SC"/>
        <family val="2"/>
      </rPr>
      <t xml:space="preserve">加權平均資金成本</t>
    </r>
  </si>
  <si>
    <r>
      <rPr>
        <b val="true"/>
        <sz val="10"/>
        <color rgb="FF1F3864"/>
        <rFont val="微軟正黑體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（越盾名目）</t>
    </r>
  </si>
  <si>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×Ke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</t>
    </r>
    <r>
      <rPr>
        <sz val="8.5"/>
        <color rgb="FF505050"/>
        <rFont val="Noto Sans CJK SC"/>
        <family val="2"/>
      </rPr>
      <t xml:space="preserve">稅後</t>
    </r>
    <r>
      <rPr>
        <sz val="8.5"/>
        <color rgb="FF505050"/>
        <rFont val="微軟正黑體"/>
        <family val="0"/>
        <charset val="1"/>
      </rPr>
      <t xml:space="preserve">Kd</t>
    </r>
    <r>
      <rPr>
        <sz val="8.5"/>
        <color rgb="FF505050"/>
        <rFont val="Noto Sans CJK SC"/>
        <family val="2"/>
      </rPr>
      <t xml:space="preserve">。本模型的營收成長率是越盾名目成長，故對應的折現率也應為越盾名目。</t>
    </r>
  </si>
  <si>
    <r>
      <rPr>
        <b val="true"/>
        <sz val="9.5"/>
        <color rgb="FF808080"/>
        <rFont val="Noto Sans CJK SC"/>
        <family val="2"/>
      </rPr>
      <t xml:space="preserve">（參考）美元等值 </t>
    </r>
    <r>
      <rPr>
        <b val="true"/>
        <sz val="9.5"/>
        <color rgb="FF808080"/>
        <rFont val="微軟正黑體"/>
        <family val="0"/>
        <charset val="1"/>
      </rPr>
      <t xml:space="preserve">WACC</t>
    </r>
  </si>
  <si>
    <r>
      <rPr>
        <sz val="8.5"/>
        <color rgb="FFC00000"/>
        <rFont val="Noto Sans CJK SC"/>
        <family val="2"/>
      </rPr>
      <t xml:space="preserve">依 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的一致性原則換算：</t>
    </r>
    <r>
      <rPr>
        <sz val="8.5"/>
        <color rgb="FFC00000"/>
        <rFont val="微軟正黑體"/>
        <family val="0"/>
        <charset val="1"/>
      </rPr>
      <t xml:space="preserve">(1+r_USD) </t>
    </r>
    <r>
      <rPr>
        <sz val="8.5"/>
        <color rgb="FFC00000"/>
        <rFont val="Noto Sans CJK SC"/>
        <family val="2"/>
      </rPr>
      <t xml:space="preserve">＝ </t>
    </r>
    <r>
      <rPr>
        <sz val="8.5"/>
        <color rgb="FFC00000"/>
        <rFont val="微軟正黑體"/>
        <family val="0"/>
        <charset val="1"/>
      </rPr>
      <t xml:space="preserve">(1+r_VND) × (1+</t>
    </r>
    <r>
      <rPr>
        <sz val="8.5"/>
        <color rgb="FFC00000"/>
        <rFont val="Noto Sans CJK SC"/>
        <family val="2"/>
      </rPr>
      <t xml:space="preserve">美國通膨</t>
    </r>
    <r>
      <rPr>
        <sz val="8.5"/>
        <color rgb="FFC00000"/>
        <rFont val="微軟正黑體"/>
        <family val="0"/>
        <charset val="1"/>
      </rPr>
      <t xml:space="preserve">) ÷ (1+</t>
    </r>
    <r>
      <rPr>
        <sz val="8.5"/>
        <color rgb="FFC00000"/>
        <rFont val="Noto Sans CJK SC"/>
        <family val="2"/>
      </rPr>
      <t xml:space="preserve">越南通膨</t>
    </r>
    <r>
      <rPr>
        <sz val="8.5"/>
        <color rgb="FFC00000"/>
        <rFont val="微軟正黑體"/>
        <family val="0"/>
        <charset val="1"/>
      </rPr>
      <t xml:space="preserve">)</t>
    </r>
    <r>
      <rPr>
        <sz val="8.5"/>
        <color rgb="FFC00000"/>
        <rFont val="Noto Sans CJK SC"/>
        <family val="2"/>
      </rPr>
      <t xml:space="preserve">。假設越南長期通膨 </t>
    </r>
    <r>
      <rPr>
        <sz val="8.5"/>
        <color rgb="FFC00000"/>
        <rFont val="微軟正黑體"/>
        <family val="0"/>
        <charset val="1"/>
      </rPr>
      <t xml:space="preserve">4.0%</t>
    </r>
    <r>
      <rPr>
        <sz val="8.5"/>
        <color rgb="FFC00000"/>
        <rFont val="Noto Sans CJK SC"/>
        <family val="2"/>
      </rPr>
      <t xml:space="preserve">、美國 </t>
    </r>
    <r>
      <rPr>
        <sz val="8.5"/>
        <color rgb="FFC00000"/>
        <rFont val="微軟正黑體"/>
        <family val="0"/>
        <charset val="1"/>
      </rPr>
      <t xml:space="preserve">2.5%</t>
    </r>
    <r>
      <rPr>
        <sz val="8.5"/>
        <color rgb="FFC00000"/>
        <rFont val="Noto Sans CJK SC"/>
        <family val="2"/>
      </rPr>
      <t xml:space="preserve">。★ 僅供對照——若要改用美元建模，現金流的成長率也必須同步改為美元名目，否則就犯了「現金流與折現率通膨假設不一致」的錯誤。</t>
    </r>
  </si>
  <si>
    <t xml:space="preserve">★ 本模型採用的折現率</t>
  </si>
  <si>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分頁的「採用折現率」會抓這一格（除非你在 </t>
    </r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選了「手動輸入」）。★ 送投資決策前，這個數字必須與投資方書面確認——它比任何一筆成本估算都更能左右結論。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</si>
  <si>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敏感度：</t>
    </r>
    <r>
      <rPr>
        <b val="true"/>
        <sz val="12"/>
        <color rgb="FF1F3864"/>
        <rFont val="微軟正黑體"/>
        <family val="0"/>
        <charset val="1"/>
      </rPr>
      <t xml:space="preserve">WACC </t>
    </r>
    <r>
      <rPr>
        <b val="true"/>
        <sz val="12"/>
        <color rgb="FF1F3864"/>
        <rFont val="Noto Sans CJK SC"/>
        <family val="2"/>
      </rPr>
      <t xml:space="preserve">每變動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個百分點，</t>
    </r>
    <r>
      <rPr>
        <b val="true"/>
        <sz val="12"/>
        <color rgb="FF1F3864"/>
        <rFont val="微軟正黑體"/>
        <family val="0"/>
        <charset val="1"/>
      </rPr>
      <t xml:space="preserve">NPV </t>
    </r>
    <r>
      <rPr>
        <b val="true"/>
        <sz val="12"/>
        <color rgb="FF1F3864"/>
        <rFont val="Noto Sans CJK SC"/>
        <family val="2"/>
      </rPr>
      <t xml:space="preserve">變動多少</t>
    </r>
  </si>
  <si>
    <t xml:space="preserve">折現率</t>
  </si>
  <si>
    <t xml:space="preserve">−2pp</t>
  </si>
  <si>
    <t xml:space="preserve">−1pp</t>
  </si>
  <si>
    <t xml:space="preserve">基準</t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</si>
  <si>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1pp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</si>
  <si>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2pp</t>
    </r>
  </si>
  <si>
    <t xml:space="preserve">折現率值</t>
  </si>
  <si>
    <r>
      <rPr>
        <b val="true"/>
        <sz val="9.5"/>
        <color rgb="FF1F3864"/>
        <rFont val="Noto Sans CJK SC"/>
        <family val="2"/>
      </rPr>
      <t xml:space="preserve">對應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</si>
  <si>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sz val="9"/>
        <color rgb="FFC00000"/>
        <rFont val="Noto Sans CJK SC"/>
        <family val="2"/>
      </rPr>
      <t xml:space="preserve">★ 判讀：如果「＋</t>
    </r>
    <r>
      <rPr>
        <sz val="9"/>
        <color rgb="FFC00000"/>
        <rFont val="微軟正黑體"/>
        <family val="0"/>
        <charset val="1"/>
      </rPr>
      <t xml:space="preserve">1pp</t>
    </r>
    <r>
      <rPr>
        <sz val="9"/>
        <color rgb="FFC00000"/>
        <rFont val="Noto Sans CJK SC"/>
        <family val="2"/>
      </rPr>
      <t xml:space="preserve">」那一格就讓 </t>
    </r>
    <r>
      <rPr>
        <sz val="9"/>
        <color rgb="FFC00000"/>
        <rFont val="微軟正黑體"/>
        <family val="0"/>
        <charset val="1"/>
      </rPr>
      <t xml:space="preserve">NPV </t>
    </r>
    <r>
      <rPr>
        <sz val="9"/>
        <color rgb="FFC00000"/>
        <rFont val="Noto Sans CJK SC"/>
        <family val="2"/>
      </rPr>
      <t xml:space="preserve">轉負，代表本案對折現率極度敏感，在跟投資方談之前務必先把折現率的口徑談定，否則同一份模型會得到相反的結論。</t>
    </r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</si>
  <si>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敏感度分析｜</t>
    </r>
    <r>
      <rPr>
        <b val="true"/>
        <sz val="15"/>
        <color rgb="FFFFFFFF"/>
        <rFont val="微軟正黑體"/>
        <family val="0"/>
        <charset val="1"/>
      </rPr>
      <t xml:space="preserve">Scenarios, Tornado &amp; Breakeven</t>
    </r>
  </si>
  <si>
    <t xml:space="preserve">全公式。三個區塊回答三個不同的問題：情境分析＝「如果整個世界比預期差，會怎樣」；龍捲風圖＝「哪一個變數最致命，該優先去查證或談判」；損益兩平＝「至少要做到多少才不虧」。★ 龍捲風圖應在跑任何複雜模擬之前先做——它告訴你該把查證力氣花在哪裡。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</si>
  <si>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計算基礎（自動由 </t>
    </r>
    <r>
      <rPr>
        <b val="true"/>
        <sz val="12"/>
        <color rgb="FF1F3864"/>
        <rFont val="微軟正黑體"/>
        <family val="0"/>
        <charset val="1"/>
      </rPr>
      <t xml:space="preserve">06 </t>
    </r>
    <r>
      <rPr>
        <b val="true"/>
        <sz val="12"/>
        <color rgb="FF1F3864"/>
        <rFont val="Noto Sans CJK SC"/>
        <family val="2"/>
      </rPr>
      <t xml:space="preserve">現金流彙總）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</si>
  <si>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</si>
  <si>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MIRR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</si>
  <si>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PI</t>
    </r>
  </si>
  <si>
    <t xml:space="preserve">折現後營收現值</t>
  </si>
  <si>
    <t xml:space="preserve">折現後變動成本現值</t>
  </si>
  <si>
    <t xml:space="preserve">折現後固定成本現值</t>
  </si>
  <si>
    <t xml:space="preserve">資本支出現值</t>
  </si>
  <si>
    <t xml:space="preserve">平均適用稅率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</si>
  <si>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情境分析 </t>
    </r>
    <r>
      <rPr>
        <b val="true"/>
        <sz val="12"/>
        <color rgb="FF1F3864"/>
        <rFont val="微軟正黑體"/>
        <family val="0"/>
        <charset val="1"/>
      </rPr>
      <t xml:space="preserve">Scenario analysis</t>
    </r>
  </si>
  <si>
    <t xml:space="preserve">情境</t>
  </si>
  <si>
    <t xml:space="preserve">服務量</t>
  </si>
  <si>
    <t xml:space="preserve">單價</t>
  </si>
  <si>
    <t xml:space="preserve">營運成本</t>
  </si>
  <si>
    <t xml:space="preserve">資本支出</t>
  </si>
  <si>
    <t xml:space="preserve">相對基準</t>
  </si>
  <si>
    <t xml:space="preserve">說明</t>
  </si>
  <si>
    <r>
      <rPr>
        <b val="true"/>
        <sz val="10"/>
        <color rgb="FF1F3864"/>
        <rFont val="Noto Sans CJK SC"/>
        <family val="2"/>
      </rPr>
      <t xml:space="preserve">保守 </t>
    </r>
    <r>
      <rPr>
        <b val="true"/>
        <sz val="10"/>
        <color rgb="FF1F3864"/>
        <rFont val="微軟正黑體"/>
        <family val="0"/>
        <charset val="1"/>
      </rPr>
      <t xml:space="preserve">Downside</t>
    </r>
  </si>
  <si>
    <r>
      <rPr>
        <sz val="8.5"/>
        <color rgb="FF505050"/>
        <rFont val="Noto Sans CJK SC"/>
        <family val="2"/>
      </rPr>
      <t xml:space="preserve">量少一成半、價低一成、成本高一成、折現率高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</si>
  <si>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0"/>
        <color rgb="FF1F3864"/>
        <rFont val="Noto Sans CJK SC"/>
        <family val="2"/>
      </rPr>
      <t xml:space="preserve">基準 </t>
    </r>
    <r>
      <rPr>
        <b val="true"/>
        <sz val="10"/>
        <color rgb="FF1F3864"/>
        <rFont val="微軟正黑體"/>
        <family val="0"/>
        <charset val="1"/>
      </rPr>
      <t xml:space="preserve">Base</t>
    </r>
  </si>
  <si>
    <r>
      <rPr>
        <sz val="8.5"/>
        <color rgb="FF505050"/>
        <rFont val="微軟正黑體"/>
        <family val="0"/>
        <charset val="1"/>
      </rPr>
      <t xml:space="preserve">01–04 </t>
    </r>
    <r>
      <rPr>
        <sz val="8.5"/>
        <color rgb="FF505050"/>
        <rFont val="Noto Sans CJK SC"/>
        <family val="2"/>
      </rPr>
      <t xml:space="preserve">分頁目前的假設</t>
    </r>
  </si>
  <si>
    <r>
      <rPr>
        <b val="true"/>
        <sz val="10"/>
        <color rgb="FF1F3864"/>
        <rFont val="Noto Sans CJK SC"/>
        <family val="2"/>
      </rPr>
      <t xml:space="preserve">樂觀 </t>
    </r>
    <r>
      <rPr>
        <b val="true"/>
        <sz val="10"/>
        <color rgb="FF1F3864"/>
        <rFont val="微軟正黑體"/>
        <family val="0"/>
        <charset val="1"/>
      </rPr>
      <t xml:space="preserve">Upside</t>
    </r>
  </si>
  <si>
    <r>
      <rPr>
        <sz val="8.5"/>
        <color rgb="FF505050"/>
        <rFont val="Noto Sans CJK SC"/>
        <family val="2"/>
      </rPr>
      <t xml:space="preserve">量多一成半、價高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、成本低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、折現率低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</si>
  <si>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龍捲風圖 </t>
    </r>
    <r>
      <rPr>
        <b val="true"/>
        <sz val="12"/>
        <color rgb="FF1F3864"/>
        <rFont val="微軟正黑體"/>
        <family val="0"/>
        <charset val="1"/>
      </rPr>
      <t xml:space="preserve">Tornado — </t>
    </r>
    <r>
      <rPr>
        <b val="true"/>
        <sz val="12"/>
        <color rgb="FF1F3864"/>
        <rFont val="Noto Sans CJK SC"/>
        <family val="2"/>
      </rPr>
      <t xml:space="preserve">哪一個變數最致命</t>
    </r>
  </si>
  <si>
    <r>
      <rPr>
        <sz val="9"/>
        <color rgb="FF808080"/>
        <rFont val="Noto Sans CJK SC"/>
        <family val="2"/>
      </rPr>
      <t xml:space="preserve">每次只變動一個變數（</t>
    </r>
    <r>
      <rPr>
        <sz val="9"/>
        <color rgb="FF808080"/>
        <rFont val="微軟正黑體"/>
        <family val="0"/>
        <charset val="1"/>
      </rPr>
      <t xml:space="preserve">±15%</t>
    </r>
    <r>
      <rPr>
        <sz val="9"/>
        <color rgb="FF808080"/>
        <rFont val="Noto Sans CJK SC"/>
        <family val="2"/>
      </rPr>
      <t xml:space="preserve">，折現率為 </t>
    </r>
    <r>
      <rPr>
        <sz val="9"/>
        <color rgb="FF808080"/>
        <rFont val="微軟正黑體"/>
        <family val="0"/>
        <charset val="1"/>
      </rPr>
      <t xml:space="preserve">±1pp</t>
    </r>
    <r>
      <rPr>
        <sz val="9"/>
        <color rgb="FF808080"/>
        <rFont val="Noto Sans CJK SC"/>
        <family val="2"/>
      </rPr>
      <t xml:space="preserve">），其餘不變，看 </t>
    </r>
    <r>
      <rPr>
        <sz val="9"/>
        <color rgb="FF808080"/>
        <rFont val="微軟正黑體"/>
        <family val="0"/>
        <charset val="1"/>
      </rPr>
      <t xml:space="preserve">NPV </t>
    </r>
    <r>
      <rPr>
        <sz val="9"/>
        <color rgb="FF808080"/>
        <rFont val="Noto Sans CJK SC"/>
        <family val="2"/>
      </rPr>
      <t xml:space="preserve">的變動幅度，由大到小排序。長條最長的那一個，就是你該優先去查證、談判、或在合約裡設保護條款的變數。</t>
    </r>
  </si>
  <si>
    <t xml:space="preserve">變數</t>
  </si>
  <si>
    <r>
      <rPr>
        <b val="true"/>
        <sz val="9.5"/>
        <color rgb="FFFFFFFF"/>
        <rFont val="微軟正黑體"/>
        <family val="0"/>
        <charset val="1"/>
      </rPr>
      <t xml:space="preserve">−15%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</si>
  <si>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</si>
  <si>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t xml:space="preserve">影響幅度（絕對值）</t>
  </si>
  <si>
    <t xml:space="preserve">排序</t>
  </si>
  <si>
    <t xml:space="preserve">判讀</t>
  </si>
  <si>
    <r>
      <rPr>
        <b val="true"/>
        <sz val="9.5"/>
        <color rgb="FF1F3864"/>
        <rFont val="Noto Sans CJK SC"/>
        <family val="2"/>
      </rPr>
      <t xml:space="preserve">服務量 </t>
    </r>
    <r>
      <rPr>
        <b val="true"/>
        <sz val="9.5"/>
        <color rgb="FF1F3864"/>
        <rFont val="微軟正黑體"/>
        <family val="0"/>
        <charset val="1"/>
      </rPr>
      <t xml:space="preserve">Volume</t>
    </r>
  </si>
  <si>
    <t xml:space="preserve">量的風險應該用合約保底量或收入分成下限來管理</t>
  </si>
  <si>
    <r>
      <rPr>
        <b val="true"/>
        <sz val="9.5"/>
        <color rgb="FF1F3864"/>
        <rFont val="Noto Sans CJK SC"/>
        <family val="2"/>
      </rPr>
      <t xml:space="preserve">單價 </t>
    </r>
    <r>
      <rPr>
        <b val="true"/>
        <sz val="9.5"/>
        <color rgb="FF1F3864"/>
        <rFont val="微軟正黑體"/>
        <family val="0"/>
        <charset val="1"/>
      </rPr>
      <t xml:space="preserve">Price</t>
    </r>
  </si>
  <si>
    <t xml:space="preserve">價的風險來自公告費率調整與自費客層——查證健保費率與市場行情</t>
  </si>
  <si>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</si>
  <si>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用長約鎖定維保費率與人力成本，並注意越南薪資漲幅</t>
  </si>
  <si>
    <r>
      <rPr>
        <b val="true"/>
        <sz val="9.5"/>
        <color rgb="FF1F3864"/>
        <rFont val="Noto Sans CJK SC"/>
        <family val="2"/>
      </rPr>
      <t xml:space="preserve">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</si>
  <si>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t xml:space="preserve">把示意值換成廠商正式報價就能大幅收斂這一項</t>
  </si>
  <si>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</si>
  <si>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t xml:space="preserve">★ 若這一項排在前段，代表結論高度依賴折現率口徑，務必先與投資方談定</t>
  </si>
  <si>
    <r>
      <rPr>
        <b val="true"/>
        <sz val="9.5"/>
        <color rgb="FF1F3864"/>
        <rFont val="Noto Sans CJK SC"/>
        <family val="2"/>
      </rPr>
      <t xml:space="preserve">自費比例 </t>
    </r>
    <r>
      <rPr>
        <b val="true"/>
        <sz val="9.5"/>
        <color rgb="FF1F3864"/>
        <rFont val="微軟正黑體"/>
        <family val="0"/>
        <charset val="1"/>
      </rPr>
      <t xml:space="preserve">Mix</t>
    </r>
  </si>
  <si>
    <t xml:space="preserve">自費占比往往比服務量更能決定獲利</t>
  </si>
  <si>
    <r>
      <rPr>
        <b val="true"/>
        <sz val="12"/>
        <color rgb="FF1F3864"/>
        <rFont val="微軟正黑體"/>
        <family val="0"/>
        <charset val="1"/>
      </rPr>
      <t xml:space="preserve">D. NPV </t>
    </r>
    <r>
      <rPr>
        <b val="true"/>
        <sz val="12"/>
        <color rgb="FF1F3864"/>
        <rFont val="Noto Sans CJK SC"/>
        <family val="2"/>
      </rPr>
      <t xml:space="preserve">矩陣：服務量 </t>
    </r>
    <r>
      <rPr>
        <b val="true"/>
        <sz val="12"/>
        <color rgb="FF1F3864"/>
        <rFont val="微軟正黑體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單價（各 </t>
    </r>
    <r>
      <rPr>
        <b val="true"/>
        <sz val="12"/>
        <color rgb="FF1F3864"/>
        <rFont val="微軟正黑體"/>
        <family val="0"/>
        <charset val="1"/>
      </rPr>
      <t xml:space="preserve">±30%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</si>
  <si>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服務量＼單價</t>
  </si>
  <si>
    <t xml:space="preserve">-30%</t>
  </si>
  <si>
    <t xml:space="preserve">-15%</t>
  </si>
  <si>
    <t xml:space="preserve">+0%</t>
  </si>
  <si>
    <t xml:space="preserve">+15%</t>
  </si>
  <si>
    <t xml:space="preserve">+30%</t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</si>
  <si>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損益兩平 </t>
    </r>
    <r>
      <rPr>
        <b val="true"/>
        <sz val="12"/>
        <color rgb="FF1F3864"/>
        <rFont val="微軟正黑體"/>
        <family val="0"/>
        <charset val="1"/>
      </rPr>
      <t xml:space="preserve">Breakeven</t>
    </r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</si>
  <si>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所需的單價調整幅度</t>
    </r>
  </si>
  <si>
    <t xml:space="preserve">負值代表現在的單價已有這麼多的下跌空間；正值代表單價必須再漲這麼多本案才成立。</t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</si>
  <si>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所需的服務量調整幅度</t>
    </r>
  </si>
  <si>
    <t xml:space="preserve">負值代表量還有這麼多下跌空間；正值代表量必須再增加這麼多。</t>
  </si>
  <si>
    <r>
      <rPr>
        <b val="true"/>
        <sz val="9.5"/>
        <color rgb="FF1F3864"/>
        <rFont val="微軟正黑體"/>
        <family val="0"/>
        <charset val="1"/>
      </rPr>
      <t xml:space="preserve">EBITDA </t>
    </r>
    <r>
      <rPr>
        <b val="true"/>
        <sz val="9.5"/>
        <color rgb="FF1F3864"/>
        <rFont val="Noto Sans CJK SC"/>
        <family val="2"/>
      </rPr>
      <t xml:space="preserve">損益兩平年服務量</t>
    </r>
  </si>
  <si>
    <r>
      <rPr>
        <sz val="8.5"/>
        <color rgb="FF505050"/>
        <rFont val="Noto Sans CJK SC"/>
        <family val="2"/>
      </rPr>
      <t xml:space="preserve">＝固定成本 </t>
    </r>
    <r>
      <rPr>
        <sz val="8.5"/>
        <color rgb="FF505050"/>
        <rFont val="微軟正黑體"/>
        <family val="0"/>
        <charset val="1"/>
      </rPr>
      <t xml:space="preserve">÷</t>
    </r>
    <r>
      <rPr>
        <sz val="8.5"/>
        <color rgb="FF505050"/>
        <rFont val="Noto Sans CJK SC"/>
        <family val="2"/>
      </rPr>
      <t xml:space="preserve">（加權單價 − 單位變動成本）。低於這個量，連折舊前的營運都是虧的。</t>
    </r>
  </si>
  <si>
    <t xml:space="preserve">相對於規劃滿載量的比例</t>
  </si>
  <si>
    <r>
      <rPr>
        <sz val="8.5"/>
        <color rgb="FF505050"/>
        <rFont val="Noto Sans CJK SC"/>
        <family val="2"/>
      </rPr>
      <t xml:space="preserve">★ 這個比例若高於 </t>
    </r>
    <r>
      <rPr>
        <sz val="8.5"/>
        <color rgb="FF505050"/>
        <rFont val="微軟正黑體"/>
        <family val="0"/>
        <charset val="1"/>
      </rPr>
      <t xml:space="preserve">70%</t>
    </r>
    <r>
      <rPr>
        <sz val="8.5"/>
        <color rgb="FF505050"/>
        <rFont val="Noto Sans CJK SC"/>
        <family val="2"/>
      </rPr>
      <t xml:space="preserve">，代表本案幾乎沒有容錯空間，開辦爬坡期會非常辛苦。</t>
    </r>
  </si>
  <si>
    <r>
      <rPr>
        <b val="true"/>
        <sz val="15"/>
        <color rgb="FFFFFFFF"/>
        <rFont val="微軟正黑體"/>
        <family val="0"/>
        <charset val="1"/>
      </rPr>
      <t xml:space="preserve">09 </t>
    </r>
    <r>
      <rPr>
        <b val="true"/>
        <sz val="15"/>
        <color rgb="FFFFFFFF"/>
        <rFont val="Noto Sans CJK SC"/>
        <family val="2"/>
      </rPr>
      <t xml:space="preserve">使能型投資評估｜</t>
    </r>
    <r>
      <rPr>
        <b val="true"/>
        <sz val="15"/>
        <color rgb="FFFFFFFF"/>
        <rFont val="微軟正黑體"/>
        <family val="0"/>
        <charset val="1"/>
      </rPr>
      <t xml:space="preserve">Enabling Investment Case</t>
    </r>
    <r>
      <rPr>
        <b val="true"/>
        <sz val="15"/>
        <color rgb="FFFFFFFF"/>
        <rFont val="Noto Sans CJK SC"/>
        <family val="2"/>
      </rPr>
      <t xml:space="preserve">（自建 </t>
    </r>
    <r>
      <rPr>
        <b val="true"/>
        <sz val="15"/>
        <color rgb="FFFFFFFF"/>
        <rFont val="微軟正黑體"/>
        <family val="0"/>
        <charset val="1"/>
      </rPr>
      <t xml:space="preserve">vs </t>
    </r>
    <r>
      <rPr>
        <b val="true"/>
        <sz val="15"/>
        <color rgb="FFFFFFFF"/>
        <rFont val="Noto Sans CJK SC"/>
        <family val="2"/>
      </rPr>
      <t xml:space="preserve">外租 </t>
    </r>
    <r>
      <rPr>
        <b val="true"/>
        <sz val="15"/>
        <color rgb="FFFFFFFF"/>
        <rFont val="微軟正黑體"/>
        <family val="0"/>
        <charset val="1"/>
      </rPr>
      <t xml:space="preserve">TCO</t>
    </r>
    <r>
      <rPr>
        <b val="true"/>
        <sz val="15"/>
        <color rgb="FFFFFFFF"/>
        <rFont val="Noto Sans CJK SC"/>
        <family val="2"/>
      </rPr>
      <t xml:space="preserve">・成本分攤・選擇權價值）</t>
    </r>
  </si>
  <si>
    <r>
      <rPr>
        <i val="true"/>
        <sz val="9.5"/>
        <color rgb="FF404040"/>
        <rFont val="Noto Sans CJK SC"/>
        <family val="2"/>
      </rPr>
      <t xml:space="preserve">★ 只有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分頁的投資類別選「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使能型投資」時才需要填這一頁。機房、網路、資料平台這類投資本身不對外收費，用單獨 </t>
    </r>
    <r>
      <rPr>
        <i val="true"/>
        <sz val="9.5"/>
        <color rgb="FF404040"/>
        <rFont val="微軟正黑體"/>
        <family val="0"/>
        <charset val="1"/>
      </rPr>
      <t xml:space="preserve">NPV </t>
    </r>
    <r>
      <rPr>
        <i val="true"/>
        <sz val="9.5"/>
        <color rgb="FF404040"/>
        <rFont val="Noto Sans CJK SC"/>
        <family val="2"/>
      </rPr>
      <t xml:space="preserve">評估必然為負——正確的評估方式是三件事：①「不做的話要花多少錢」（自建 </t>
    </r>
    <r>
      <rPr>
        <i val="true"/>
        <sz val="9.5"/>
        <color rgb="FF404040"/>
        <rFont val="微軟正黑體"/>
        <family val="0"/>
        <charset val="1"/>
      </rPr>
      <t xml:space="preserve">vs </t>
    </r>
    <r>
      <rPr>
        <i val="true"/>
        <sz val="9.5"/>
        <color rgb="FF404040"/>
        <rFont val="Noto Sans CJK SC"/>
        <family val="2"/>
      </rPr>
      <t xml:space="preserve">外租的十年 </t>
    </r>
    <r>
      <rPr>
        <i val="true"/>
        <sz val="9.5"/>
        <color rgb="FF404040"/>
        <rFont val="微軟正黑體"/>
        <family val="0"/>
        <charset val="1"/>
      </rPr>
      <t xml:space="preserve">TCO </t>
    </r>
    <r>
      <rPr>
        <i val="true"/>
        <sz val="9.5"/>
        <color rgb="FF404040"/>
        <rFont val="Noto Sans CJK SC"/>
        <family val="2"/>
      </rPr>
      <t xml:space="preserve">差額）；② 單位服務成本是否低於市場外購價；③ 它讓哪些後續專案得以成立（選擇權價值）。依據：</t>
    </r>
    <r>
      <rPr>
        <i val="true"/>
        <sz val="9.5"/>
        <color rgb="FF404040"/>
        <rFont val="微軟正黑體"/>
        <family val="0"/>
        <charset val="1"/>
      </rPr>
      <t xml:space="preserve">Gartner TCO </t>
    </r>
    <r>
      <rPr>
        <i val="true"/>
        <sz val="9.5"/>
        <color rgb="FF404040"/>
        <rFont val="Noto Sans CJK SC"/>
        <family val="2"/>
      </rPr>
      <t xml:space="preserve">差異法、</t>
    </r>
    <r>
      <rPr>
        <i val="true"/>
        <sz val="9.5"/>
        <color rgb="FF404040"/>
        <rFont val="微軟正黑體"/>
        <family val="0"/>
        <charset val="1"/>
      </rPr>
      <t xml:space="preserve">TBM Council </t>
    </r>
    <r>
      <rPr>
        <i val="true"/>
        <sz val="9.5"/>
        <color rgb="FF404040"/>
        <rFont val="Noto Sans CJK SC"/>
        <family val="2"/>
      </rPr>
      <t xml:space="preserve">成本分攤、</t>
    </r>
    <r>
      <rPr>
        <i val="true"/>
        <sz val="9.5"/>
        <color rgb="FF404040"/>
        <rFont val="微軟正黑體"/>
        <family val="0"/>
        <charset val="1"/>
      </rPr>
      <t xml:space="preserve">Amram &amp; Kulatilaka </t>
    </r>
    <r>
      <rPr>
        <i val="true"/>
        <sz val="9.5"/>
        <color rgb="FF404040"/>
        <rFont val="Noto Sans CJK SC"/>
        <family val="2"/>
      </rPr>
      <t xml:space="preserve">實質選擇權。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</si>
  <si>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比較前提（兩個方案必須是同一個服務範圍，否則比較無效）</t>
    </r>
  </si>
  <si>
    <r>
      <rPr>
        <b val="true"/>
        <sz val="10"/>
        <color rgb="FF1F3864"/>
        <rFont val="Noto Sans CJK SC"/>
        <family val="2"/>
      </rPr>
      <t xml:space="preserve">比較範圍 </t>
    </r>
    <r>
      <rPr>
        <b val="true"/>
        <sz val="10"/>
        <color rgb="FF1F3864"/>
        <rFont val="微軟正黑體"/>
        <family val="0"/>
        <charset val="1"/>
      </rPr>
      <t xml:space="preserve">Scope</t>
    </r>
  </si>
  <si>
    <t xml:space="preserve">（請填：兩方案共同涵蓋的服務範圍）</t>
  </si>
  <si>
    <t xml:space="preserve">★ 最容易出錯的一格。兩個方案必須涵蓋完全相同的服務——如果自建方案含了院區網路而外租方案沒有，比較就沒有意義。</t>
  </si>
  <si>
    <r>
      <rPr>
        <b val="true"/>
        <sz val="10"/>
        <color rgb="FF1F3864"/>
        <rFont val="Noto Sans CJK SC"/>
        <family val="2"/>
      </rPr>
      <t xml:space="preserve">服務單位 </t>
    </r>
    <r>
      <rPr>
        <b val="true"/>
        <sz val="10"/>
        <color rgb="FF1F3864"/>
        <rFont val="微軟正黑體"/>
        <family val="0"/>
        <charset val="1"/>
      </rPr>
      <t xml:space="preserve">Service unit</t>
    </r>
  </si>
  <si>
    <t xml:space="preserve">機櫃</t>
  </si>
  <si>
    <r>
      <rPr>
        <sz val="8.5"/>
        <color rgb="FF505050"/>
        <rFont val="Noto Sans CJK SC"/>
        <family val="2"/>
      </rPr>
      <t xml:space="preserve">計價與分攤的單位。資料中心業界已從「空間計價」轉向「功率計價（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）」，若對外議價建議同時列出 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。</t>
    </r>
  </si>
  <si>
    <r>
      <rPr>
        <b val="true"/>
        <sz val="10"/>
        <color rgb="FF1F3864"/>
        <rFont val="Noto Sans CJK SC"/>
        <family val="2"/>
      </rPr>
      <t xml:space="preserve">服務數量 </t>
    </r>
    <r>
      <rPr>
        <b val="true"/>
        <sz val="10"/>
        <color rgb="FF1F3864"/>
        <rFont val="微軟正黑體"/>
        <family val="0"/>
        <charset val="1"/>
      </rPr>
      <t xml:space="preserve">Quantity</t>
    </r>
  </si>
  <si>
    <r>
      <rPr>
        <sz val="8.5"/>
        <color rgb="FF505050"/>
        <rFont val="Noto Sans CJK SC"/>
        <family val="2"/>
      </rPr>
      <t xml:space="preserve">例：</t>
    </r>
    <r>
      <rPr>
        <sz val="8.5"/>
        <color rgb="FF505050"/>
        <rFont val="微軟正黑體"/>
        <family val="0"/>
        <charset val="1"/>
      </rPr>
      <t xml:space="preserve">24 </t>
    </r>
    <r>
      <rPr>
        <sz val="8.5"/>
        <color rgb="FF505050"/>
        <rFont val="Noto Sans CJK SC"/>
        <family val="2"/>
      </rPr>
      <t xml:space="preserve">機櫃、</t>
    </r>
    <r>
      <rPr>
        <sz val="8.5"/>
        <color rgb="FF505050"/>
        <rFont val="微軟正黑體"/>
        <family val="0"/>
        <charset val="1"/>
      </rPr>
      <t xml:space="preserve">120 kW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</si>
  <si>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</t>
    </r>
  </si>
  <si>
    <r>
      <rPr>
        <b val="true"/>
        <sz val="12"/>
        <color rgb="FF2E747A"/>
        <rFont val="微軟正黑體"/>
        <family val="0"/>
        <charset val="1"/>
      </rPr>
      <t xml:space="preserve">B. </t>
    </r>
    <r>
      <rPr>
        <b val="true"/>
        <sz val="12"/>
        <color rgb="FF2E747A"/>
        <rFont val="Noto Sans CJK SC"/>
        <family val="2"/>
      </rPr>
      <t xml:space="preserve">方案一：自建（本案）— 十年總持有成本 </t>
    </r>
    <r>
      <rPr>
        <b val="true"/>
        <sz val="12"/>
        <color rgb="FF2E747A"/>
        <rFont val="微軟正黑體"/>
        <family val="0"/>
        <charset val="1"/>
      </rPr>
      <t xml:space="preserve">TCO</t>
    </r>
  </si>
  <si>
    <r>
      <rPr>
        <b val="true"/>
        <sz val="9.5"/>
        <color rgb="FFFFFFFF"/>
        <rFont val="Noto Sans CJK SC"/>
        <family val="2"/>
      </rPr>
      <t xml:space="preserve">十年現值 </t>
    </r>
    <r>
      <rPr>
        <b val="true"/>
        <sz val="9.5"/>
        <color rgb="FFFFFFFF"/>
        <rFont val="微軟正黑體"/>
        <family val="0"/>
        <charset val="1"/>
      </rPr>
      <t xml:space="preserve">PV</t>
    </r>
  </si>
  <si>
    <r>
      <rPr>
        <b val="true"/>
        <sz val="9.5"/>
        <color rgb="FF1F3864"/>
        <rFont val="Noto Sans CJK SC"/>
        <family val="2"/>
      </rPr>
      <t xml:space="preserve">建置與置換資本支出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</si>
  <si>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b val="true"/>
        <sz val="9.5"/>
        <color rgb="FF1F3864"/>
        <rFont val="Noto Sans CJK SC"/>
        <family val="2"/>
      </rPr>
      <t xml:space="preserve">年度營運成本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</si>
  <si>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r>
      <rPr>
        <b val="true"/>
        <sz val="10.5"/>
        <color rgb="FFFFFFFF"/>
        <rFont val="Noto Sans CJK SC"/>
        <family val="2"/>
      </rPr>
      <t xml:space="preserve">自建十年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（現值）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</si>
  <si>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方案二：外租／委外 — 同範圍的十年總持有成本</t>
    </r>
  </si>
  <si>
    <t xml:space="preserve">外租單價（每單位每月・輸入幣別）</t>
  </si>
  <si>
    <r>
      <rPr>
        <sz val="8.5"/>
        <color rgb="FF505050"/>
        <rFont val="Noto Sans CJK SC"/>
        <family val="2"/>
      </rPr>
      <t xml:space="preserve">市場行情。</t>
    </r>
    <r>
      <rPr>
        <sz val="8.5"/>
        <color rgb="FF505050"/>
        <rFont val="微軟正黑體"/>
        <family val="0"/>
        <charset val="1"/>
      </rPr>
      <t xml:space="preserve">2026 </t>
    </r>
    <r>
      <rPr>
        <sz val="8.5"/>
        <color rgb="FF505050"/>
        <rFont val="Noto Sans CJK SC"/>
        <family val="2"/>
      </rPr>
      <t xml:space="preserve">年標準企業級 </t>
    </r>
    <r>
      <rPr>
        <sz val="8.5"/>
        <color rgb="FF505050"/>
        <rFont val="微軟正黑體"/>
        <family val="0"/>
        <charset val="1"/>
      </rPr>
      <t xml:space="preserve">colocation </t>
    </r>
    <r>
      <rPr>
        <sz val="8.5"/>
        <color rgb="FF505050"/>
        <rFont val="Noto Sans CJK SC"/>
        <family val="2"/>
      </rPr>
      <t xml:space="preserve">整櫃（</t>
    </r>
    <r>
      <rPr>
        <sz val="8.5"/>
        <color rgb="FF505050"/>
        <rFont val="微軟正黑體"/>
        <family val="0"/>
        <charset val="1"/>
      </rPr>
      <t xml:space="preserve">42U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3–5kW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Tier 3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US$900–2,500</t>
    </r>
    <r>
      <rPr>
        <sz val="8.5"/>
        <color rgb="FF505050"/>
        <rFont val="Noto Sans CJK SC"/>
        <family val="2"/>
      </rPr>
      <t xml:space="preserve">／櫃／月；批發型（</t>
    </r>
    <r>
      <rPr>
        <sz val="8.5"/>
        <color rgb="FF505050"/>
        <rFont val="微軟正黑體"/>
        <family val="0"/>
        <charset val="1"/>
      </rPr>
      <t xml:space="preserve">250–500kW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US$196</t>
    </r>
    <r>
      <rPr>
        <sz val="8.5"/>
        <color rgb="FF505050"/>
        <rFont val="Noto Sans CJK SC"/>
        <family val="2"/>
      </rPr>
      <t xml:space="preserve">／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／月。越南在地：</t>
    </r>
    <r>
      <rPr>
        <sz val="8.5"/>
        <color rgb="FF505050"/>
        <rFont val="微軟正黑體"/>
        <family val="0"/>
        <charset val="1"/>
      </rPr>
      <t xml:space="preserve">FPT </t>
    </r>
    <r>
      <rPr>
        <sz val="8.5"/>
        <color rgb="FF505050"/>
        <rFont val="Noto Sans CJK SC"/>
        <family val="2"/>
      </rPr>
      <t xml:space="preserve">胡志明 </t>
    </r>
    <r>
      <rPr>
        <sz val="8.5"/>
        <color rgb="FF505050"/>
        <rFont val="微軟正黑體"/>
        <family val="0"/>
        <charset val="1"/>
      </rPr>
      <t xml:space="preserve">42U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24.5m VND</t>
    </r>
    <r>
      <rPr>
        <sz val="8.5"/>
        <color rgb="FF505050"/>
        <rFont val="Noto Sans CJK SC"/>
        <family val="2"/>
      </rPr>
      <t xml:space="preserve">／月、</t>
    </r>
    <r>
      <rPr>
        <sz val="8.5"/>
        <color rgb="FF505050"/>
        <rFont val="微軟正黑體"/>
        <family val="0"/>
        <charset val="1"/>
      </rPr>
      <t xml:space="preserve">Viettel 21U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16–18m VND</t>
    </r>
    <r>
      <rPr>
        <sz val="8.5"/>
        <color rgb="FF505050"/>
        <rFont val="Noto Sans CJK SC"/>
        <family val="2"/>
      </rPr>
      <t xml:space="preserve">／月。</t>
    </r>
  </si>
  <si>
    <t xml:space="preserve">外租單價年成長率</t>
  </si>
  <si>
    <r>
      <rPr>
        <sz val="8.5"/>
        <color rgb="FF505050"/>
        <rFont val="Noto Sans CJK SC"/>
        <family val="2"/>
      </rPr>
      <t xml:space="preserve">合約通常每 </t>
    </r>
    <r>
      <rPr>
        <sz val="8.5"/>
        <color rgb="FF505050"/>
        <rFont val="微軟正黑體"/>
        <family val="0"/>
        <charset val="1"/>
      </rPr>
      <t xml:space="preserve">2–3 </t>
    </r>
    <r>
      <rPr>
        <sz val="8.5"/>
        <color rgb="FF505050"/>
        <rFont val="Noto Sans CJK SC"/>
        <family val="2"/>
      </rPr>
      <t xml:space="preserve">年檢討一次</t>
    </r>
  </si>
  <si>
    <t xml:space="preserve">一次性遷移／接續成本</t>
  </si>
  <si>
    <t xml:space="preserve">搬遷、專線建置、資料移轉、平行運行期的雙重成本</t>
  </si>
  <si>
    <t xml:space="preserve">外租方案的額外年成本</t>
  </si>
  <si>
    <t xml:space="preserve">★ 常被漏掉：到外租機房的專線與備援線路、跨站延遲造成的效能損失、資料落地與稽核的額外合規成本、以及失去現場處置能力所需的到場服務合約。</t>
  </si>
  <si>
    <t xml:space="preserve">外租租金</t>
  </si>
  <si>
    <t xml:space="preserve">額外年成本（專線、合規、到場服務）</t>
  </si>
  <si>
    <r>
      <rPr>
        <b val="true"/>
        <sz val="10.5"/>
        <color rgb="FFFFFFFF"/>
        <rFont val="Noto Sans CJK SC"/>
        <family val="2"/>
      </rPr>
      <t xml:space="preserve">外租十年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（現值，含一次性遷移成本）</t>
    </r>
  </si>
  <si>
    <r>
      <rPr>
        <b val="true"/>
        <sz val="12"/>
        <color rgb="FF548235"/>
        <rFont val="微軟正黑體"/>
        <family val="0"/>
        <charset val="1"/>
      </rPr>
      <t xml:space="preserve">D. ΔTCO — </t>
    </r>
    <r>
      <rPr>
        <b val="true"/>
        <sz val="12"/>
        <color rgb="FF548235"/>
        <rFont val="Noto Sans CJK SC"/>
        <family val="2"/>
      </rPr>
      <t xml:space="preserve">使能型投資的真正「淨現值」</t>
    </r>
  </si>
  <si>
    <r>
      <rPr>
        <b val="true"/>
        <sz val="12"/>
        <color rgb="FFFFFFFF"/>
        <rFont val="微軟正黑體"/>
        <family val="0"/>
        <charset val="1"/>
      </rPr>
      <t xml:space="preserve">★ ΔTCO </t>
    </r>
    <r>
      <rPr>
        <b val="true"/>
        <sz val="12"/>
        <color rgb="FFFFFFFF"/>
        <rFont val="Noto Sans CJK SC"/>
        <family val="2"/>
      </rPr>
      <t xml:space="preserve">現值 ＝ 外租 − 自建</t>
    </r>
  </si>
  <si>
    <r>
      <rPr>
        <b val="true"/>
        <sz val="9"/>
        <color rgb="FF548235"/>
        <rFont val="Noto Sans CJK SC"/>
        <family val="2"/>
      </rPr>
      <t xml:space="preserve">★ 正值＝自建比外租便宜，這個數字就是本案作為使能型投資的淨現值；負值＝不該自建，應該外租。這才是 </t>
    </r>
    <r>
      <rPr>
        <b val="true"/>
        <sz val="9"/>
        <color rgb="FF548235"/>
        <rFont val="微軟正黑體"/>
        <family val="0"/>
        <charset val="1"/>
      </rPr>
      <t xml:space="preserve">Gartner TCO </t>
    </r>
    <r>
      <rPr>
        <b val="true"/>
        <sz val="9"/>
        <color rgb="FF548235"/>
        <rFont val="Noto Sans CJK SC"/>
        <family val="2"/>
      </rPr>
      <t xml:space="preserve">框架所說的「比較基準情境與替代情境」——重點不在絕對金額，而在兩個方案的差額。</t>
    </r>
  </si>
  <si>
    <r>
      <rPr>
        <b val="true"/>
        <sz val="10"/>
        <color rgb="FF1F3864"/>
        <rFont val="微軟正黑體"/>
        <family val="0"/>
        <charset val="1"/>
      </rPr>
      <t xml:space="preserve">ΔTCO </t>
    </r>
    <r>
      <rPr>
        <b val="true"/>
        <sz val="10"/>
        <color rgb="FF1F3864"/>
        <rFont val="Noto Sans CJK SC"/>
        <family val="2"/>
      </rPr>
      <t xml:space="preserve">簡單回收期（年）</t>
    </r>
  </si>
  <si>
    <r>
      <rPr>
        <sz val="9"/>
        <color rgb="FF505050"/>
        <rFont val="Noto Sans CJK SC"/>
        <family val="2"/>
      </rPr>
      <t xml:space="preserve">＝自建的建置成本 </t>
    </r>
    <r>
      <rPr>
        <sz val="9"/>
        <color rgb="FF505050"/>
        <rFont val="微軟正黑體"/>
        <family val="0"/>
        <charset val="1"/>
      </rPr>
      <t xml:space="preserve">÷ </t>
    </r>
    <r>
      <rPr>
        <sz val="9"/>
        <color rgb="FF505050"/>
        <rFont val="Noto Sans CJK SC"/>
        <family val="2"/>
      </rPr>
      <t xml:space="preserve">每年因自建而省下的現金。這是向業主說明使能型投資最直接的一句話：「這座機房幾年就把自己付掉了」。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</si>
  <si>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單位服務成本（</t>
    </r>
    <r>
      <rPr>
        <b val="true"/>
        <sz val="12"/>
        <color rgb="FF1F3864"/>
        <rFont val="微軟正黑體"/>
        <family val="0"/>
        <charset val="1"/>
      </rPr>
      <t xml:space="preserve">Chargeback rate — </t>
    </r>
    <r>
      <rPr>
        <b val="true"/>
        <sz val="12"/>
        <color rgb="FF1F3864"/>
        <rFont val="Noto Sans CJK SC"/>
        <family val="2"/>
      </rPr>
      <t xml:space="preserve">內部轉撥計價的基礎）</t>
    </r>
  </si>
  <si>
    <t xml:space="preserve">自建：每單位每月成本</t>
  </si>
  <si>
    <t xml:space="preserve">把十年現值攤回每單位每月，這是你對院內或對其他專案「內部轉撥計價」的成本底線</t>
  </si>
  <si>
    <t xml:space="preserve">外租：每單位每月價格</t>
  </si>
  <si>
    <t xml:space="preserve">市場外購價（含額外成本分攤）</t>
  </si>
  <si>
    <t xml:space="preserve">差額（外租 − 自建）</t>
  </si>
  <si>
    <t xml:space="preserve">★ 正值代表自建的單位成本低於市場價——這是使能型投資最有說服力的一句話</t>
  </si>
  <si>
    <t xml:space="preserve">自建成本相對市價</t>
  </si>
  <si>
    <r>
      <rPr>
        <sz val="8.5"/>
        <color rgb="FF505050"/>
        <rFont val="Noto Sans CJK SC"/>
        <family val="2"/>
      </rPr>
      <t xml:space="preserve">低於 </t>
    </r>
    <r>
      <rPr>
        <sz val="8.5"/>
        <color rgb="FF505050"/>
        <rFont val="微軟正黑體"/>
        <family val="0"/>
        <charset val="1"/>
      </rPr>
      <t xml:space="preserve">100% </t>
    </r>
    <r>
      <rPr>
        <sz val="8.5"/>
        <color rgb="FF505050"/>
        <rFont val="Noto Sans CJK SC"/>
        <family val="2"/>
      </rPr>
      <t xml:space="preserve">即代表自建具成本優勢</t>
    </r>
  </si>
  <si>
    <r>
      <rPr>
        <b val="true"/>
        <sz val="12"/>
        <color rgb="FF1F3864"/>
        <rFont val="微軟正黑體"/>
        <family val="0"/>
        <charset val="1"/>
      </rPr>
      <t xml:space="preserve">F. </t>
    </r>
    <r>
      <rPr>
        <b val="true"/>
        <sz val="12"/>
        <color rgb="FF1F3864"/>
        <rFont val="Noto Sans CJK SC"/>
        <family val="2"/>
      </rPr>
      <t xml:space="preserve">承載專案與成本分攤（</t>
    </r>
    <r>
      <rPr>
        <b val="true"/>
        <sz val="12"/>
        <color rgb="FF1F3864"/>
        <rFont val="微軟正黑體"/>
        <family val="0"/>
        <charset val="1"/>
      </rPr>
      <t xml:space="preserve">TBM Council</t>
    </r>
    <r>
      <rPr>
        <b val="true"/>
        <sz val="12"/>
        <color rgb="FF1F3864"/>
        <rFont val="Noto Sans CJK SC"/>
        <family val="2"/>
      </rPr>
      <t xml:space="preserve">：先 </t>
    </r>
    <r>
      <rPr>
        <b val="true"/>
        <sz val="12"/>
        <color rgb="FF1F3864"/>
        <rFont val="微軟正黑體"/>
        <family val="0"/>
        <charset val="1"/>
      </rPr>
      <t xml:space="preserve">Showback </t>
    </r>
    <r>
      <rPr>
        <b val="true"/>
        <sz val="12"/>
        <color rgb="FF1F3864"/>
        <rFont val="Noto Sans CJK SC"/>
        <family val="2"/>
      </rPr>
      <t xml:space="preserve">建立信任，再 </t>
    </r>
    <r>
      <rPr>
        <b val="true"/>
        <sz val="12"/>
        <color rgb="FF1F3864"/>
        <rFont val="微軟正黑體"/>
        <family val="0"/>
        <charset val="1"/>
      </rPr>
      <t xml:space="preserve">Chargeback </t>
    </r>
    <r>
      <rPr>
        <b val="true"/>
        <sz val="12"/>
        <color rgb="FF1F3864"/>
        <rFont val="Noto Sans CJK SC"/>
        <family val="2"/>
      </rPr>
      <t xml:space="preserve">實際入帳）</t>
    </r>
  </si>
  <si>
    <t xml:space="preserve">承載的專案／服務</t>
  </si>
  <si>
    <t xml:space="preserve">佔用容量</t>
  </si>
  <si>
    <t xml:space="preserve">分攤比例</t>
  </si>
  <si>
    <t xml:space="preserve">年分攤金額</t>
  </si>
  <si>
    <t xml:space="preserve">分攤方式</t>
  </si>
  <si>
    <t xml:space="preserve">（請填：本平台承載哪些專案）</t>
  </si>
  <si>
    <r>
      <rPr>
        <sz val="9.5"/>
        <color rgb="FF000000"/>
        <rFont val="Noto Sans CJK SC"/>
        <family val="2"/>
      </rPr>
      <t xml:space="preserve">直接分攤 </t>
    </r>
    <r>
      <rPr>
        <sz val="9.5"/>
        <color rgb="FF000000"/>
        <rFont val="微軟正黑體"/>
        <family val="0"/>
        <charset val="1"/>
      </rPr>
      <t xml:space="preserve">Direct</t>
    </r>
  </si>
  <si>
    <t xml:space="preserve">合計</t>
  </si>
  <si>
    <t xml:space="preserve">★ 承載專案數</t>
  </si>
  <si>
    <r>
      <rPr>
        <sz val="9"/>
        <color rgb="FFC00000"/>
        <rFont val="Noto Sans CJK SC"/>
        <family val="2"/>
      </rPr>
      <t xml:space="preserve">使能型投資的通過條件之一是承載專案數 ≥ </t>
    </r>
    <r>
      <rPr>
        <sz val="9"/>
        <color rgb="FFC00000"/>
        <rFont val="微軟正黑體"/>
        <family val="0"/>
        <charset val="1"/>
      </rPr>
      <t xml:space="preserve">2</t>
    </r>
    <r>
      <rPr>
        <sz val="9"/>
        <color rgb="FFC00000"/>
        <rFont val="Noto Sans CJK SC"/>
        <family val="2"/>
      </rPr>
      <t xml:space="preserve">。只服務一個專案的「平台」，本質上是那個專案的成本，不是平台。</t>
    </r>
  </si>
  <si>
    <r>
      <rPr>
        <b val="true"/>
        <sz val="12"/>
        <color rgb="FF1F3864"/>
        <rFont val="微軟正黑體"/>
        <family val="0"/>
        <charset val="1"/>
      </rPr>
      <t xml:space="preserve">G. </t>
    </r>
    <r>
      <rPr>
        <b val="true"/>
        <sz val="12"/>
        <color rgb="FF1F3864"/>
        <rFont val="Noto Sans CJK SC"/>
        <family val="2"/>
      </rPr>
      <t xml:space="preserve">選擇權價值（</t>
    </r>
    <r>
      <rPr>
        <b val="true"/>
        <sz val="12"/>
        <color rgb="FF1F3864"/>
        <rFont val="微軟正黑體"/>
        <family val="0"/>
        <charset val="1"/>
      </rPr>
      <t xml:space="preserve">Real option — </t>
    </r>
    <r>
      <rPr>
        <b val="true"/>
        <sz val="12"/>
        <color rgb="FF1F3864"/>
        <rFont val="Noto Sans CJK SC"/>
        <family val="2"/>
      </rPr>
      <t xml:space="preserve">這個平台讓哪些未來的事情變得可能）</t>
    </r>
  </si>
  <si>
    <r>
      <rPr>
        <sz val="9"/>
        <color rgb="FF808080"/>
        <rFont val="微軟正黑體"/>
        <family val="0"/>
        <charset val="1"/>
      </rPr>
      <t xml:space="preserve">Amram &amp; Kulatilaka </t>
    </r>
    <r>
      <rPr>
        <sz val="9"/>
        <color rgb="FF808080"/>
        <rFont val="Noto Sans CJK SC"/>
        <family val="2"/>
      </rPr>
      <t xml:space="preserve">指出平台投資內嵌四種選擇權：延後、分階段、放棄、★擴張。下表估算「擴張選擇權」：因為已經有這個平台，未來每一個新專案可以省下多少原本必須自己蓋的建置成本。★ 此欄位不計入 </t>
    </r>
    <r>
      <rPr>
        <sz val="9"/>
        <color rgb="FF808080"/>
        <rFont val="微軟正黑體"/>
        <family val="0"/>
        <charset val="1"/>
      </rPr>
      <t xml:space="preserve">ΔTCO</t>
    </r>
    <r>
      <rPr>
        <sz val="9"/>
        <color rgb="FF808080"/>
        <rFont val="Noto Sans CJK SC"/>
        <family val="2"/>
      </rPr>
      <t xml:space="preserve">，也不應加進 </t>
    </r>
    <r>
      <rPr>
        <sz val="9"/>
        <color rgb="FF808080"/>
        <rFont val="微軟正黑體"/>
        <family val="0"/>
        <charset val="1"/>
      </rPr>
      <t xml:space="preserve">NPV——</t>
    </r>
    <r>
      <rPr>
        <sz val="9"/>
        <color rgb="FF808080"/>
        <rFont val="Noto Sans CJK SC"/>
        <family val="2"/>
      </rPr>
      <t xml:space="preserve">它是決策時的補充證據，不是可入帳的效益。</t>
    </r>
  </si>
  <si>
    <t xml:space="preserve">未來可承載的專案</t>
  </si>
  <si>
    <t xml:space="preserve">若無此平台的
增量建置成本</t>
  </si>
  <si>
    <t xml:space="preserve">實現機率</t>
  </si>
  <si>
    <t xml:space="preserve">期望值</t>
  </si>
  <si>
    <t xml:space="preserve">（請填：因為有這個平台，未來哪些專案可以省下自建成本）</t>
  </si>
  <si>
    <t xml:space="preserve">選擇權價值合計（期望值）</t>
  </si>
  <si>
    <r>
      <rPr>
        <b val="true"/>
        <sz val="12"/>
        <color rgb="FF548235"/>
        <rFont val="微軟正黑體"/>
        <family val="0"/>
        <charset val="1"/>
      </rPr>
      <t xml:space="preserve">H. </t>
    </r>
    <r>
      <rPr>
        <b val="true"/>
        <sz val="12"/>
        <color rgb="FF548235"/>
        <rFont val="Noto Sans CJK SC"/>
        <family val="2"/>
      </rPr>
      <t xml:space="preserve">使能型投資結論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</si>
  <si>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決策摘要｜</t>
    </r>
    <r>
      <rPr>
        <b val="true"/>
        <sz val="15"/>
        <color rgb="FFFFFFFF"/>
        <rFont val="微軟正黑體"/>
        <family val="0"/>
        <charset val="1"/>
      </rPr>
      <t xml:space="preserve">Investment Decision Summary</t>
    </r>
    <r>
      <rPr>
        <b val="true"/>
        <sz val="15"/>
        <color rgb="FFFFFFFF"/>
        <rFont val="Noto Sans CJK SC"/>
        <family val="2"/>
      </rPr>
      <t xml:space="preserve">（可直接貼進投資決策文件）</t>
    </r>
  </si>
  <si>
    <r>
      <rPr>
        <i val="true"/>
        <sz val="9.5"/>
        <color rgb="FF404040"/>
        <rFont val="Noto Sans CJK SC"/>
        <family val="2"/>
      </rPr>
      <t xml:space="preserve">全公式，不需編輯。★ 本頁的判讀規則會依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分頁選定的「投資類別」自動切換——營收型看 </t>
    </r>
    <r>
      <rPr>
        <i val="true"/>
        <sz val="9.5"/>
        <color rgb="FF404040"/>
        <rFont val="微軟正黑體"/>
        <family val="0"/>
        <charset val="1"/>
      </rPr>
      <t xml:space="preserve">NPV</t>
    </r>
    <r>
      <rPr>
        <i val="true"/>
        <sz val="9.5"/>
        <color rgb="FF404040"/>
        <rFont val="Noto Sans CJK SC"/>
        <family val="2"/>
      </rPr>
      <t xml:space="preserve">／</t>
    </r>
    <r>
      <rPr>
        <i val="true"/>
        <sz val="9.5"/>
        <color rgb="FF404040"/>
        <rFont val="微軟正黑體"/>
        <family val="0"/>
        <charset val="1"/>
      </rPr>
      <t xml:space="preserve">MIRR</t>
    </r>
    <r>
      <rPr>
        <i val="true"/>
        <sz val="9.5"/>
        <color rgb="FF404040"/>
        <rFont val="Noto Sans CJK SC"/>
        <family val="2"/>
      </rPr>
      <t xml:space="preserve">，使能型看 </t>
    </r>
    <r>
      <rPr>
        <i val="true"/>
        <sz val="9.5"/>
        <color rgb="FF404040"/>
        <rFont val="微軟正黑體"/>
        <family val="0"/>
        <charset val="1"/>
      </rPr>
      <t xml:space="preserve">ΔTCO</t>
    </r>
    <r>
      <rPr>
        <i val="true"/>
        <sz val="9.5"/>
        <color rgb="FF404040"/>
        <rFont val="Noto Sans CJK SC"/>
        <family val="2"/>
      </rPr>
      <t xml:space="preserve">，法規強制型看最低合規成本，各有各的尺。</t>
    </r>
  </si>
  <si>
    <t xml:space="preserve">專案名稱</t>
  </si>
  <si>
    <t xml:space="preserve">主責夥伴</t>
  </si>
  <si>
    <t xml:space="preserve">★ 投資類別</t>
  </si>
  <si>
    <t xml:space="preserve">下面的判讀規則依這一格自動切換。</t>
  </si>
  <si>
    <r>
      <rPr>
        <b val="true"/>
        <sz val="10"/>
        <color rgb="FF1F3864"/>
        <rFont val="Noto Sans CJK SC"/>
        <family val="2"/>
      </rPr>
      <t xml:space="preserve">幣別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單位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年數</t>
    </r>
  </si>
  <si>
    <r>
      <rPr>
        <b val="true"/>
        <sz val="10"/>
        <color rgb="FF1F3864"/>
        <rFont val="Noto Sans CJK SC"/>
        <family val="2"/>
      </rPr>
      <t xml:space="preserve">折現率 </t>
    </r>
    <r>
      <rPr>
        <b val="true"/>
        <sz val="10"/>
        <color rgb="FF1F3864"/>
        <rFont val="微軟正黑體"/>
        <family val="0"/>
        <charset val="1"/>
      </rPr>
      <t xml:space="preserve">WACC</t>
    </r>
  </si>
  <si>
    <r>
      <rPr>
        <sz val="8.5"/>
        <color rgb="FF505050"/>
        <rFont val="Noto Sans CJK SC"/>
        <family val="2"/>
      </rPr>
      <t xml:space="preserve">見 </t>
    </r>
    <r>
      <rPr>
        <sz val="8.5"/>
        <color rgb="FF505050"/>
        <rFont val="微軟正黑體"/>
        <family val="0"/>
        <charset val="1"/>
      </rPr>
      <t xml:space="preserve">07 </t>
    </r>
    <r>
      <rPr>
        <sz val="8.5"/>
        <color rgb="FF505050"/>
        <rFont val="Noto Sans CJK SC"/>
        <family val="2"/>
      </rPr>
      <t xml:space="preserve">分頁的推算過程。這個數字比任何一筆成本估算都更能左右結論。</t>
    </r>
  </si>
  <si>
    <t xml:space="preserve">一、共通財務結果（所有類別都會算，但不是每一類都以此為準）</t>
  </si>
  <si>
    <r>
      <rPr>
        <b val="true"/>
        <sz val="10"/>
        <color rgb="FF1F3864"/>
        <rFont val="Noto Sans CJK SC"/>
        <family val="2"/>
      </rPr>
      <t xml:space="preserve">投資總額 </t>
    </r>
    <r>
      <rPr>
        <b val="true"/>
        <sz val="10"/>
        <color rgb="FF1F3864"/>
        <rFont val="微軟正黑體"/>
        <family val="0"/>
        <charset val="1"/>
      </rPr>
      <t xml:space="preserve">CAPEX</t>
    </r>
    <r>
      <rPr>
        <b val="true"/>
        <sz val="10"/>
        <color rgb="FF1F3864"/>
        <rFont val="Noto Sans CJK SC"/>
        <family val="2"/>
      </rPr>
      <t xml:space="preserve">（含不可扣抵稅費）</t>
    </r>
  </si>
  <si>
    <r>
      <rPr>
        <sz val="8.5"/>
        <color rgb="FF505050"/>
        <rFont val="Noto Sans CJK SC"/>
        <family val="2"/>
      </rPr>
      <t xml:space="preserve">含關稅與不可扣抵的進項 </t>
    </r>
    <r>
      <rPr>
        <sz val="8.5"/>
        <color rgb="FF505050"/>
        <rFont val="微軟正黑體"/>
        <family val="0"/>
        <charset val="1"/>
      </rPr>
      <t xml:space="preserve">VAT</t>
    </r>
    <r>
      <rPr>
        <sz val="8.5"/>
        <color rgb="FF505050"/>
        <rFont val="Noto Sans CJK SC"/>
        <family val="2"/>
      </rPr>
      <t xml:space="preserve">。越南醫療服務免 </t>
    </r>
    <r>
      <rPr>
        <sz val="8.5"/>
        <color rgb="FF505050"/>
        <rFont val="微軟正黑體"/>
        <family val="0"/>
        <charset val="1"/>
      </rPr>
      <t xml:space="preserve">VAT ⇒ </t>
    </r>
    <r>
      <rPr>
        <sz val="8.5"/>
        <color rgb="FF505050"/>
        <rFont val="Noto Sans CJK SC"/>
        <family val="2"/>
      </rPr>
      <t xml:space="preserve">進項不可扣抵 ⇒ 這是實實在在的成本。</t>
    </r>
  </si>
  <si>
    <r>
      <rPr>
        <b val="true"/>
        <sz val="10"/>
        <color rgb="FF1F3864"/>
        <rFont val="Noto Sans CJK SC"/>
        <family val="2"/>
      </rPr>
      <t xml:space="preserve">首年 </t>
    </r>
    <r>
      <rPr>
        <b val="true"/>
        <sz val="10"/>
        <color rgb="FF1F3864"/>
        <rFont val="微軟正黑體"/>
        <family val="0"/>
        <charset val="1"/>
      </rPr>
      <t xml:space="preserve">OPEX</t>
    </r>
  </si>
  <si>
    <t xml:space="preserve">滿載年營收</t>
  </si>
  <si>
    <r>
      <rPr>
        <sz val="8.5"/>
        <color rgb="FF505050"/>
        <rFont val="Noto Sans CJK SC"/>
        <family val="2"/>
      </rPr>
      <t xml:space="preserve">使能型投資若不對外收費，此欄為 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屬正常，請看第二段的 </t>
    </r>
    <r>
      <rPr>
        <sz val="8.5"/>
        <color rgb="FF505050"/>
        <rFont val="微軟正黑體"/>
        <family val="0"/>
        <charset val="1"/>
      </rPr>
      <t xml:space="preserve">ΔTCO</t>
    </r>
    <r>
      <rPr>
        <sz val="8.5"/>
        <color rgb="FF505050"/>
        <rFont val="Noto Sans CJK SC"/>
        <family val="2"/>
      </rPr>
      <t xml:space="preserve">。</t>
    </r>
  </si>
  <si>
    <r>
      <rPr>
        <sz val="8.5"/>
        <color rgb="FF505050"/>
        <rFont val="Noto Sans CJK SC"/>
        <family val="2"/>
      </rPr>
      <t xml:space="preserve">本檔的主要報酬指標。因為模型含中途置換投資（現金流正負交替），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只有單一解。</t>
    </r>
  </si>
  <si>
    <r>
      <rPr>
        <b val="true"/>
        <sz val="10"/>
        <color rgb="FF1F3864"/>
        <rFont val="Noto Sans CJK SC"/>
        <family val="2"/>
      </rPr>
      <t xml:space="preserve">（參考）</t>
    </r>
    <r>
      <rPr>
        <b val="true"/>
        <sz val="10"/>
        <color rgb="FF1F3864"/>
        <rFont val="微軟正黑體"/>
        <family val="0"/>
        <charset val="1"/>
      </rPr>
      <t xml:space="preserve">IRR</t>
    </r>
  </si>
  <si>
    <r>
      <rPr>
        <sz val="8.5"/>
        <color rgb="FF505050"/>
        <rFont val="Noto Sans CJK SC"/>
        <family val="2"/>
      </rPr>
      <t xml:space="preserve">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即可接受。多案排序、資本受限時用這個。</t>
    </r>
  </si>
  <si>
    <r>
      <rPr>
        <sz val="8.5"/>
        <color rgb="FF505050"/>
        <rFont val="Noto Sans CJK SC"/>
        <family val="2"/>
      </rPr>
      <t xml:space="preserve">與上方的折現率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比較：高於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</si>
  <si>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2"/>
        <color rgb="FF2E747A"/>
        <rFont val="Noto Sans CJK SC"/>
        <family val="2"/>
      </rPr>
      <t xml:space="preserve">二、使能型投資專用指標（投資類別選 </t>
    </r>
    <r>
      <rPr>
        <b val="true"/>
        <sz val="12"/>
        <color rgb="FF2E747A"/>
        <rFont val="微軟正黑體"/>
        <family val="0"/>
        <charset val="1"/>
      </rPr>
      <t xml:space="preserve">B </t>
    </r>
    <r>
      <rPr>
        <b val="true"/>
        <sz val="12"/>
        <color rgb="FF2E747A"/>
        <rFont val="Noto Sans CJK SC"/>
        <family val="2"/>
      </rPr>
      <t xml:space="preserve">時以此為準）</t>
    </r>
  </si>
  <si>
    <r>
      <rPr>
        <b val="true"/>
        <sz val="10"/>
        <color rgb="FF1F3864"/>
        <rFont val="微軟正黑體"/>
        <family val="0"/>
        <charset val="1"/>
      </rPr>
      <t xml:space="preserve">★ ΔTCO </t>
    </r>
    <r>
      <rPr>
        <b val="true"/>
        <sz val="10"/>
        <color rgb="FF1F3864"/>
        <rFont val="Noto Sans CJK SC"/>
        <family val="2"/>
      </rPr>
      <t xml:space="preserve">現值（外租 − 自建）</t>
    </r>
  </si>
  <si>
    <r>
      <rPr>
        <sz val="8.5"/>
        <color rgb="FF505050"/>
        <rFont val="Noto Sans CJK SC"/>
        <family val="2"/>
      </rPr>
      <t xml:space="preserve">正值＝自建比外租便宜，這才是使能型投資的「淨現值」。見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分頁。</t>
    </r>
  </si>
  <si>
    <t xml:space="preserve">承載專案數</t>
  </si>
  <si>
    <r>
      <rPr>
        <sz val="8.5"/>
        <color rgb="FF505050"/>
        <rFont val="Noto Sans CJK SC"/>
        <family val="2"/>
      </rPr>
      <t xml:space="preserve">使能型投資的通過條件之一：≥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。只服務單一專案的平台，本質上是那個專案的成本。</t>
    </r>
  </si>
  <si>
    <t xml:space="preserve">選擇權價值（期望值・參考）</t>
  </si>
  <si>
    <r>
      <rPr>
        <sz val="8.5"/>
        <color rgb="FF505050"/>
        <rFont val="Noto Sans CJK SC"/>
        <family val="2"/>
      </rPr>
      <t xml:space="preserve">★ 不計入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，也不可入帳。是決策時的補充證據。</t>
    </r>
  </si>
  <si>
    <r>
      <rPr>
        <b val="true"/>
        <sz val="12"/>
        <color rgb="FF548235"/>
        <rFont val="Noto Sans CJK SC"/>
        <family val="2"/>
      </rPr>
      <t xml:space="preserve">三、自動判讀 </t>
    </r>
    <r>
      <rPr>
        <b val="true"/>
        <sz val="12"/>
        <color rgb="FF548235"/>
        <rFont val="微軟正黑體"/>
        <family val="0"/>
        <charset val="1"/>
      </rPr>
      <t xml:space="preserve">Verdict</t>
    </r>
    <r>
      <rPr>
        <b val="true"/>
        <sz val="12"/>
        <color rgb="FF548235"/>
        <rFont val="Noto Sans CJK SC"/>
        <family val="2"/>
      </rPr>
      <t xml:space="preserve">（依投資類別切換規則）</t>
    </r>
  </si>
  <si>
    <t xml:space="preserve">四、本案解讀｜這個數字代表什麼、可以動哪些槓桿</t>
  </si>
  <si>
    <r>
      <rPr>
        <sz val="10"/>
        <color rgb="FF1F3864"/>
        <rFont val="Noto Sans CJK SC"/>
        <family val="2"/>
      </rPr>
      <t xml:space="preserve">① 本案的投資類別刻意選「</t>
    </r>
    <r>
      <rPr>
        <sz val="10"/>
        <color rgb="FF1F3864"/>
        <rFont val="微軟正黑體"/>
        <family val="0"/>
        <charset val="1"/>
      </rPr>
      <t xml:space="preserve">F </t>
    </r>
    <r>
      <rPr>
        <sz val="10"/>
        <color rgb="FF1F3864"/>
        <rFont val="Noto Sans CJK SC"/>
        <family val="2"/>
      </rPr>
      <t xml:space="preserve">策略布局型」而不是「</t>
    </r>
    <r>
      <rPr>
        <sz val="10"/>
        <color rgb="FF1F3864"/>
        <rFont val="微軟正黑體"/>
        <family val="0"/>
        <charset val="1"/>
      </rPr>
      <t xml:space="preserve">A </t>
    </r>
    <r>
      <rPr>
        <sz val="10"/>
        <color rgb="FF1F3864"/>
        <rFont val="Noto Sans CJK SC"/>
        <family val="2"/>
      </rPr>
      <t xml:space="preserve">營收型」，這不是為了迴避難看的數字，而是分類本身就該如此：單一家醫院的 </t>
    </r>
    <r>
      <rPr>
        <sz val="10"/>
        <color rgb="FF1F3864"/>
        <rFont val="微軟正黑體"/>
        <family val="0"/>
        <charset val="1"/>
      </rPr>
      <t xml:space="preserve">HIS </t>
    </r>
    <r>
      <rPr>
        <sz val="10"/>
        <color rgb="FF1F3864"/>
        <rFont val="Noto Sans CJK SC"/>
        <family val="2"/>
      </rPr>
      <t xml:space="preserve">合約，收入天花板被越南的付款結構鎖死——★ 越南醫療服務價格至今只含人工與直接成本、未含 </t>
    </r>
    <r>
      <rPr>
        <sz val="10"/>
        <color rgb="FF1F3864"/>
        <rFont val="微軟正黑體"/>
        <family val="0"/>
        <charset val="1"/>
      </rPr>
      <t xml:space="preserve">IT</t>
    </r>
    <r>
      <rPr>
        <sz val="10"/>
        <color rgb="FF1F3864"/>
        <rFont val="Noto Sans CJK SC"/>
        <family val="2"/>
      </rPr>
      <t xml:space="preserve">（</t>
    </r>
    <r>
      <rPr>
        <sz val="10"/>
        <color rgb="FF1F3864"/>
        <rFont val="微軟正黑體"/>
        <family val="0"/>
        <charset val="1"/>
      </rPr>
      <t xml:space="preserve">tuoitre.vn</t>
    </r>
    <r>
      <rPr>
        <sz val="10"/>
        <color rgb="FF1F3864"/>
        <rFont val="Noto Sans CJK SC"/>
        <family val="2"/>
      </rPr>
      <t xml:space="preserve">），而第一個把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納入給付的案例（</t>
    </r>
    <r>
      <rPr>
        <sz val="10"/>
        <color rgb="FF1F3864"/>
        <rFont val="微軟正黑體"/>
        <family val="0"/>
        <charset val="1"/>
      </rPr>
      <t xml:space="preserve">Decision 313/QĐ-BYT </t>
    </r>
    <r>
      <rPr>
        <sz val="10"/>
        <color rgb="FF1F3864"/>
        <rFont val="Noto Sans CJK SC"/>
        <family val="2"/>
      </rPr>
      <t xml:space="preserve">白梅醫院 </t>
    </r>
    <r>
      <rPr>
        <sz val="10"/>
        <color rgb="FF1F3864"/>
        <rFont val="微軟正黑體"/>
        <family val="0"/>
        <charset val="1"/>
      </rPr>
      <t xml:space="preserve">PACS </t>
    </r>
    <r>
      <rPr>
        <sz val="10"/>
        <color rgb="FF1F3864"/>
        <rFont val="Noto Sans CJK SC"/>
        <family val="2"/>
      </rPr>
      <t xml:space="preserve">無片化）公告價反而低 </t>
    </r>
    <r>
      <rPr>
        <sz val="10"/>
        <color rgb="FF1F3864"/>
        <rFont val="微軟正黑體"/>
        <family val="0"/>
        <charset val="1"/>
      </rPr>
      <t xml:space="preserve">5.9%</t>
    </r>
    <r>
      <rPr>
        <sz val="10"/>
        <color rgb="FF1F3864"/>
        <rFont val="Noto Sans CJK SC"/>
        <family val="2"/>
      </rPr>
      <t xml:space="preserve">。需求是被法規逼出來的（衛生部要求 </t>
    </r>
    <r>
      <rPr>
        <sz val="10"/>
        <color rgb="FF1F3864"/>
        <rFont val="微軟正黑體"/>
        <family val="0"/>
        <charset val="1"/>
      </rPr>
      <t xml:space="preserve">2025 </t>
    </r>
    <r>
      <rPr>
        <sz val="10"/>
        <color rgb="FF1F3864"/>
        <rFont val="Noto Sans CJK SC"/>
        <family val="2"/>
      </rPr>
      <t xml:space="preserve">年 </t>
    </r>
    <r>
      <rPr>
        <sz val="10"/>
        <color rgb="FF1F3864"/>
        <rFont val="微軟正黑體"/>
        <family val="0"/>
        <charset val="1"/>
      </rPr>
      <t xml:space="preserve">10 </t>
    </r>
    <r>
      <rPr>
        <sz val="10"/>
        <color rgb="FF1F3864"/>
        <rFont val="Noto Sans CJK SC"/>
        <family val="2"/>
      </rPr>
      <t xml:space="preserve">月前完成電子病歷），付款來源卻還沒建立。</t>
    </r>
  </si>
  <si>
    <r>
      <rPr>
        <sz val="10"/>
        <color rgb="FF1F3864"/>
        <rFont val="Noto Sans CJK SC"/>
        <family val="2"/>
      </rPr>
      <t xml:space="preserve">② 收入端已經頂到天花板，不是還沒努力。基準每床每月 </t>
    </r>
    <r>
      <rPr>
        <sz val="10"/>
        <color rgb="FF1F3864"/>
        <rFont val="微軟正黑體"/>
        <family val="0"/>
        <charset val="1"/>
      </rPr>
      <t xml:space="preserve">1,680 TWD</t>
    </r>
    <r>
      <rPr>
        <sz val="10"/>
        <color rgb="FF1F3864"/>
        <rFont val="Noto Sans CJK SC"/>
        <family val="2"/>
      </rPr>
      <t xml:space="preserve">，</t>
    </r>
    <r>
      <rPr>
        <sz val="10"/>
        <color rgb="FF1F3864"/>
        <rFont val="微軟正黑體"/>
        <family val="0"/>
        <charset val="1"/>
      </rPr>
      <t xml:space="preserve">500 </t>
    </r>
    <r>
      <rPr>
        <sz val="10"/>
        <color rgb="FF1F3864"/>
        <rFont val="Noto Sans CJK SC"/>
        <family val="2"/>
      </rPr>
      <t xml:space="preserve">床五年合約總額約 </t>
    </r>
    <r>
      <rPr>
        <sz val="10"/>
        <color rgb="FF1F3864"/>
        <rFont val="微軟正黑體"/>
        <family val="0"/>
        <charset val="1"/>
      </rPr>
      <t xml:space="preserve">41bn VND——</t>
    </r>
    <r>
      <rPr>
        <sz val="10"/>
        <color rgb="FF1F3864"/>
        <rFont val="Noto Sans CJK SC"/>
        <family val="2"/>
      </rPr>
      <t xml:space="preserve">已落在越南一級醫院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投資區間（</t>
    </r>
    <r>
      <rPr>
        <sz val="10"/>
        <color rgb="FF1F3864"/>
        <rFont val="微軟正黑體"/>
        <family val="0"/>
        <charset val="1"/>
      </rPr>
      <t xml:space="preserve">10.5–40bn VND</t>
    </r>
    <r>
      <rPr>
        <sz val="10"/>
        <color rgb="FF1F3864"/>
        <rFont val="Noto Sans CJK SC"/>
        <family val="2"/>
      </rPr>
      <t xml:space="preserve">）的上緣。換句話說，把價格再往上調並不是可行解，那會直接談不成。</t>
    </r>
  </si>
  <si>
    <r>
      <rPr>
        <sz val="10"/>
        <color rgb="FF1F3864"/>
        <rFont val="Noto Sans CJK SC"/>
        <family val="2"/>
      </rPr>
      <t xml:space="preserve">③ 真正的解在「複製」，而且金額很具體：</t>
    </r>
    <r>
      <rPr>
        <sz val="10"/>
        <color rgb="FF1F3864"/>
        <rFont val="微軟正黑體"/>
        <family val="0"/>
        <charset val="1"/>
      </rPr>
      <t xml:space="preserve">02 </t>
    </r>
    <r>
      <rPr>
        <sz val="10"/>
        <color rgb="FF1F3864"/>
        <rFont val="Noto Sans CJK SC"/>
        <family val="2"/>
      </rPr>
      <t xml:space="preserve">分頁中的在地化（</t>
    </r>
    <r>
      <rPr>
        <sz val="10"/>
        <color rgb="FF1F3864"/>
        <rFont val="微軟正黑體"/>
        <family val="0"/>
        <charset val="1"/>
      </rPr>
      <t xml:space="preserve">371 </t>
    </r>
    <r>
      <rPr>
        <sz val="10"/>
        <color rgb="FF1F3864"/>
        <rFont val="Noto Sans CJK SC"/>
        <family val="2"/>
      </rPr>
      <t xml:space="preserve">萬）、資料移轉（</t>
    </r>
    <r>
      <rPr>
        <sz val="10"/>
        <color rgb="FF1F3864"/>
        <rFont val="微軟正黑體"/>
        <family val="0"/>
        <charset val="1"/>
      </rPr>
      <t xml:space="preserve">220 </t>
    </r>
    <r>
      <rPr>
        <sz val="10"/>
        <color rgb="FF1F3864"/>
        <rFont val="Noto Sans CJK SC"/>
        <family val="2"/>
      </rPr>
      <t xml:space="preserve">萬）、導入服務（</t>
    </r>
    <r>
      <rPr>
        <sz val="10"/>
        <color rgb="FF1F3864"/>
        <rFont val="微軟正黑體"/>
        <family val="0"/>
        <charset val="1"/>
      </rPr>
      <t xml:space="preserve">436 </t>
    </r>
    <r>
      <rPr>
        <sz val="10"/>
        <color rgb="FF1F3864"/>
        <rFont val="Noto Sans CJK SC"/>
        <family val="2"/>
      </rPr>
      <t xml:space="preserve">萬）、教育訓練（</t>
    </r>
    <r>
      <rPr>
        <sz val="10"/>
        <color rgb="FF1F3864"/>
        <rFont val="微軟正黑體"/>
        <family val="0"/>
        <charset val="1"/>
      </rPr>
      <t xml:space="preserve">136 </t>
    </r>
    <r>
      <rPr>
        <sz val="10"/>
        <color rgb="FF1F3864"/>
        <rFont val="Noto Sans CJK SC"/>
        <family val="2"/>
      </rPr>
      <t xml:space="preserve">萬）合計約 </t>
    </r>
    <r>
      <rPr>
        <sz val="10"/>
        <color rgb="FF1F3864"/>
        <rFont val="微軟正黑體"/>
        <family val="0"/>
        <charset val="1"/>
      </rPr>
      <t xml:space="preserve">1,053 </t>
    </r>
    <r>
      <rPr>
        <sz val="10"/>
        <color rgb="FF1F3864"/>
        <rFont val="Noto Sans CJK SC"/>
        <family val="2"/>
      </rPr>
      <t xml:space="preserve">萬 </t>
    </r>
    <r>
      <rPr>
        <sz val="10"/>
        <color rgb="FF1F3864"/>
        <rFont val="微軟正黑體"/>
        <family val="0"/>
        <charset val="1"/>
      </rPr>
      <t xml:space="preserve">TWD </t>
    </r>
    <r>
      <rPr>
        <sz val="10"/>
        <color rgb="FF1F3864"/>
        <rFont val="Noto Sans CJK SC"/>
        <family val="2"/>
      </rPr>
      <t xml:space="preserve">屬一次性投入，複製到第 </t>
    </r>
    <r>
      <rPr>
        <sz val="10"/>
        <color rgb="FF1F3864"/>
        <rFont val="微軟正黑體"/>
        <family val="0"/>
        <charset val="1"/>
      </rPr>
      <t xml:space="preserve">2</t>
    </r>
    <r>
      <rPr>
        <sz val="10"/>
        <color rgb="FF1F3864"/>
        <rFont val="Noto Sans CJK SC"/>
        <family val="2"/>
      </rPr>
      <t xml:space="preserve">、第 </t>
    </r>
    <r>
      <rPr>
        <sz val="10"/>
        <color rgb="FF1F3864"/>
        <rFont val="微軟正黑體"/>
        <family val="0"/>
        <charset val="1"/>
      </rPr>
      <t xml:space="preserve">3 </t>
    </r>
    <r>
      <rPr>
        <sz val="10"/>
        <color rgb="FF1F3864"/>
        <rFont val="Noto Sans CJK SC"/>
        <family val="2"/>
      </rPr>
      <t xml:space="preserve">家醫院時可攤薄六成以上。★ 所以不要用一家醫院的合約去論證這門生意，要用「三年內拿下 </t>
    </r>
    <r>
      <rPr>
        <sz val="10"/>
        <color rgb="FF1F3864"/>
        <rFont val="微軟正黑體"/>
        <family val="0"/>
        <charset val="1"/>
      </rPr>
      <t xml:space="preserve">3–5 </t>
    </r>
    <r>
      <rPr>
        <sz val="10"/>
        <color rgb="FF1F3864"/>
        <rFont val="Noto Sans CJK SC"/>
        <family val="2"/>
      </rPr>
      <t xml:space="preserve">家、共用同一平台」的路線去論證（對應主工具 </t>
    </r>
    <r>
      <rPr>
        <sz val="10"/>
        <color rgb="FF1F3864"/>
        <rFont val="微軟正黑體"/>
        <family val="0"/>
        <charset val="1"/>
      </rPr>
      <t xml:space="preserve">OPP-85 </t>
    </r>
    <r>
      <rPr>
        <sz val="10"/>
        <color rgb="FF1F3864"/>
        <rFont val="Noto Sans CJK SC"/>
        <family val="2"/>
      </rPr>
      <t xml:space="preserve">複製藍圖）。第一家醫院應被視為取得參考案例（</t>
    </r>
    <r>
      <rPr>
        <sz val="10"/>
        <color rgb="FF1F3864"/>
        <rFont val="微軟正黑體"/>
        <family val="0"/>
        <charset val="1"/>
      </rPr>
      <t xml:space="preserve">reference site</t>
    </r>
    <r>
      <rPr>
        <sz val="10"/>
        <color rgb="FF1F3864"/>
        <rFont val="Noto Sans CJK SC"/>
        <family val="2"/>
      </rPr>
      <t xml:space="preserve">）的成本。</t>
    </r>
  </si>
  <si>
    <r>
      <rPr>
        <sz val="10"/>
        <color rgb="FF1F3864"/>
        <rFont val="Noto Sans CJK SC"/>
        <family val="2"/>
      </rPr>
      <t xml:space="preserve">④ 因為是策略布局型，決策方式也要跟著改：★ 不要一次核定全額。建議拆成三期並設定可量測的續投條件——第一期（約 </t>
    </r>
    <r>
      <rPr>
        <sz val="10"/>
        <color rgb="FF1F3864"/>
        <rFont val="微軟正黑體"/>
        <family val="0"/>
        <charset val="1"/>
      </rPr>
      <t xml:space="preserve">30%</t>
    </r>
    <r>
      <rPr>
        <sz val="10"/>
        <color rgb="FF1F3864"/>
        <rFont val="Noto Sans CJK SC"/>
        <family val="2"/>
      </rPr>
      <t xml:space="preserve">）：完成門診上線與院方書面滿意度驗收，且取得可對外引用的案例授權；第二期（約 </t>
    </r>
    <r>
      <rPr>
        <sz val="10"/>
        <color rgb="FF1F3864"/>
        <rFont val="微軟正黑體"/>
        <family val="0"/>
        <charset val="1"/>
      </rPr>
      <t xml:space="preserve">40%</t>
    </r>
    <r>
      <rPr>
        <sz val="10"/>
        <color rgb="FF1F3864"/>
        <rFont val="Noto Sans CJK SC"/>
        <family val="2"/>
      </rPr>
      <t xml:space="preserve">）：完成住院與檢驗上線，且已有第 </t>
    </r>
    <r>
      <rPr>
        <sz val="10"/>
        <color rgb="FF1F3864"/>
        <rFont val="微軟正黑體"/>
        <family val="0"/>
        <charset val="1"/>
      </rPr>
      <t xml:space="preserve">2 </t>
    </r>
    <r>
      <rPr>
        <sz val="10"/>
        <color rgb="FF1F3864"/>
        <rFont val="Noto Sans CJK SC"/>
        <family val="2"/>
      </rPr>
      <t xml:space="preserve">家醫院進入正式議約；第三期（約 </t>
    </r>
    <r>
      <rPr>
        <sz val="10"/>
        <color rgb="FF1F3864"/>
        <rFont val="微軟正黑體"/>
        <family val="0"/>
        <charset val="1"/>
      </rPr>
      <t xml:space="preserve">30%</t>
    </r>
    <r>
      <rPr>
        <sz val="10"/>
        <color rgb="FF1F3864"/>
        <rFont val="Noto Sans CJK SC"/>
        <family val="2"/>
      </rPr>
      <t xml:space="preserve">）：全院無紙化驗收，且第 </t>
    </r>
    <r>
      <rPr>
        <sz val="10"/>
        <color rgb="FF1F3864"/>
        <rFont val="微軟正黑體"/>
        <family val="0"/>
        <charset val="1"/>
      </rPr>
      <t xml:space="preserve">2 </t>
    </r>
    <r>
      <rPr>
        <sz val="10"/>
        <color rgb="FF1F3864"/>
        <rFont val="Noto Sans CJK SC"/>
        <family val="2"/>
      </rPr>
      <t xml:space="preserve">家合約簽訂。任一關卡未達成即停止投入。這正是 </t>
    </r>
    <r>
      <rPr>
        <sz val="10"/>
        <color rgb="FF1F3864"/>
        <rFont val="微軟正黑體"/>
        <family val="0"/>
        <charset val="1"/>
      </rPr>
      <t xml:space="preserve">CFA </t>
    </r>
    <r>
      <rPr>
        <sz val="10"/>
        <color rgb="FF1F3864"/>
        <rFont val="Noto Sans CJK SC"/>
        <family val="2"/>
      </rPr>
      <t xml:space="preserve">資本預算對高不確定性專案建議的 </t>
    </r>
    <r>
      <rPr>
        <sz val="10"/>
        <color rgb="FF1F3864"/>
        <rFont val="微軟正黑體"/>
        <family val="0"/>
        <charset val="1"/>
      </rPr>
      <t xml:space="preserve">stage-gate </t>
    </r>
    <r>
      <rPr>
        <sz val="10"/>
        <color rgb="FF1F3864"/>
        <rFont val="Noto Sans CJK SC"/>
        <family val="2"/>
      </rPr>
      <t xml:space="preserve">作法。</t>
    </r>
  </si>
  <si>
    <r>
      <rPr>
        <sz val="10"/>
        <color rgb="FF1F3864"/>
        <rFont val="Noto Sans CJK SC"/>
        <family val="2"/>
      </rPr>
      <t xml:space="preserve">⑤ 提案論述必須換一個講法。不要說「請為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多付費」，要說「幫你省下這些成本」——白梅醫院無紙化年省約 </t>
    </r>
    <r>
      <rPr>
        <sz val="10"/>
        <color rgb="FF1F3864"/>
        <rFont val="微軟正黑體"/>
        <family val="0"/>
        <charset val="1"/>
      </rPr>
      <t xml:space="preserve">100bn VND</t>
    </r>
    <r>
      <rPr>
        <sz val="10"/>
        <color rgb="FF1F3864"/>
        <rFont val="Noto Sans CJK SC"/>
        <family val="2"/>
      </rPr>
      <t xml:space="preserve">、底片月省約 </t>
    </r>
    <r>
      <rPr>
        <sz val="10"/>
        <color rgb="FF1F3864"/>
        <rFont val="微軟正黑體"/>
        <family val="0"/>
        <charset val="1"/>
      </rPr>
      <t xml:space="preserve">1bn VND</t>
    </r>
    <r>
      <rPr>
        <sz val="10"/>
        <color rgb="FF1F3864"/>
        <rFont val="Noto Sans CJK SC"/>
        <family val="2"/>
      </rPr>
      <t xml:space="preserve">，這是越南衛生部自己認可過的邏輯（</t>
    </r>
    <r>
      <rPr>
        <sz val="10"/>
        <color rgb="FF1F3864"/>
        <rFont val="微軟正黑體"/>
        <family val="0"/>
        <charset val="1"/>
      </rPr>
      <t xml:space="preserve">Decision 313/QĐ-BYT </t>
    </r>
    <r>
      <rPr>
        <sz val="10"/>
        <color rgb="FF1F3864"/>
        <rFont val="Noto Sans CJK SC"/>
        <family val="2"/>
      </rPr>
      <t xml:space="preserve">的定價機制就是回收底片節省）。這是能不能成交的分水嶺。</t>
    </r>
  </si>
  <si>
    <r>
      <rPr>
        <sz val="10"/>
        <color rgb="FF1F3864"/>
        <rFont val="Noto Sans CJK SC"/>
        <family val="2"/>
      </rPr>
      <t xml:space="preserve">⑥ 兩個容易被忽略的現金流壓力：（</t>
    </r>
    <r>
      <rPr>
        <sz val="10"/>
        <color rgb="FF1F3864"/>
        <rFont val="微軟正黑體"/>
        <family val="0"/>
        <charset val="1"/>
      </rPr>
      <t xml:space="preserve">a</t>
    </r>
    <r>
      <rPr>
        <sz val="10"/>
        <color rgb="FF1F3864"/>
        <rFont val="Noto Sans CJK SC"/>
        <family val="2"/>
      </rPr>
      <t xml:space="preserve">）以租代購代表聯盟先墊資本、醫院分 </t>
    </r>
    <r>
      <rPr>
        <sz val="10"/>
        <color rgb="FF1F3864"/>
        <rFont val="微軟正黑體"/>
        <family val="0"/>
        <charset val="1"/>
      </rPr>
      <t xml:space="preserve">36 </t>
    </r>
    <r>
      <rPr>
        <sz val="10"/>
        <color rgb="FF1F3864"/>
        <rFont val="Noto Sans CJK SC"/>
        <family val="2"/>
      </rPr>
      <t xml:space="preserve">個月按季付款（</t>
    </r>
    <r>
      <rPr>
        <sz val="10"/>
        <color rgb="FF1F3864"/>
        <rFont val="微軟正黑體"/>
        <family val="0"/>
        <charset val="1"/>
      </rPr>
      <t xml:space="preserve">bvdkthaibinh.vn</t>
    </r>
    <r>
      <rPr>
        <sz val="10"/>
        <color rgb="FF1F3864"/>
        <rFont val="Noto Sans CJK SC"/>
        <family val="2"/>
      </rPr>
      <t xml:space="preserve">），平均應收約 </t>
    </r>
    <r>
      <rPr>
        <sz val="10"/>
        <color rgb="FF1F3864"/>
        <rFont val="微軟正黑體"/>
        <family val="0"/>
        <charset val="1"/>
      </rPr>
      <t xml:space="preserve">90 </t>
    </r>
    <r>
      <rPr>
        <sz val="10"/>
        <color rgb="FF1F3864"/>
        <rFont val="Noto Sans CJK SC"/>
        <family val="2"/>
      </rPr>
      <t xml:space="preserve">天，是一般軟體業的兩倍——請看 </t>
    </r>
    <r>
      <rPr>
        <sz val="10"/>
        <color rgb="FF1F3864"/>
        <rFont val="微軟正黑體"/>
        <family val="0"/>
        <charset val="1"/>
      </rPr>
      <t xml:space="preserve">06 </t>
    </r>
    <r>
      <rPr>
        <sz val="10"/>
        <color rgb="FF1F3864"/>
        <rFont val="Noto Sans CJK SC"/>
        <family val="2"/>
      </rPr>
      <t xml:space="preserve">分頁的營運資金列；（</t>
    </r>
    <r>
      <rPr>
        <sz val="10"/>
        <color rgb="FF1F3864"/>
        <rFont val="微軟正黑體"/>
        <family val="0"/>
        <charset val="1"/>
      </rPr>
      <t xml:space="preserve">b</t>
    </r>
    <r>
      <rPr>
        <sz val="10"/>
        <color rgb="FF1F3864"/>
        <rFont val="Noto Sans CJK SC"/>
        <family val="2"/>
      </rPr>
      <t xml:space="preserve">）有累積虧損時不得匯出利潤（</t>
    </r>
    <r>
      <rPr>
        <sz val="10"/>
        <color rgb="FF1F3864"/>
        <rFont val="微軟正黑體"/>
        <family val="0"/>
        <charset val="1"/>
      </rPr>
      <t xml:space="preserve">Circular 186/2010</t>
    </r>
    <r>
      <rPr>
        <sz val="10"/>
        <color rgb="FF1F3864"/>
        <rFont val="Noto Sans CJK SC"/>
        <family val="2"/>
      </rPr>
      <t xml:space="preserve">＋</t>
    </r>
    <r>
      <rPr>
        <sz val="10"/>
        <color rgb="FF1F3864"/>
        <rFont val="微軟正黑體"/>
        <family val="0"/>
        <charset val="1"/>
      </rPr>
      <t xml:space="preserve">Decree 252/2026</t>
    </r>
    <r>
      <rPr>
        <sz val="10"/>
        <color rgb="FF1F3864"/>
        <rFont val="Noto Sans CJK SC"/>
        <family val="2"/>
      </rPr>
      <t xml:space="preserve">），本案前幾年帳上虧損會直接卡住資金回台。這兩點請一併納入資金規劃。</t>
    </r>
  </si>
  <si>
    <r>
      <rPr>
        <sz val="10"/>
        <color rgb="FF1F3864"/>
        <rFont val="Noto Sans CJK SC"/>
        <family val="2"/>
      </rPr>
      <t xml:space="preserve">⑦ 最後一個好消息：若取得社會化醫療資格，適用 </t>
    </r>
    <r>
      <rPr>
        <sz val="10"/>
        <color rgb="FF1F3864"/>
        <rFont val="微軟正黑體"/>
        <family val="0"/>
        <charset val="1"/>
      </rPr>
      <t xml:space="preserve">10% </t>
    </r>
    <r>
      <rPr>
        <sz val="10"/>
        <color rgb="FF1F3864"/>
        <rFont val="Noto Sans CJK SC"/>
        <family val="2"/>
      </rPr>
      <t xml:space="preserve">優惠稅率＋免稅 </t>
    </r>
    <r>
      <rPr>
        <sz val="10"/>
        <color rgb="FF1F3864"/>
        <rFont val="微軟正黑體"/>
        <family val="0"/>
        <charset val="1"/>
      </rPr>
      <t xml:space="preserve">4 </t>
    </r>
    <r>
      <rPr>
        <sz val="10"/>
        <color rgb="FF1F3864"/>
        <rFont val="Noto Sans CJK SC"/>
        <family val="2"/>
      </rPr>
      <t xml:space="preserve">年，而免稅期是「自首次獲利年起算」——本案前幾年虧損反而讓免稅期往後遞延到真正賺錢的年份，不會被浪費掉。這一點在 </t>
    </r>
    <r>
      <rPr>
        <sz val="10"/>
        <color rgb="FF1F3864"/>
        <rFont val="微軟正黑體"/>
        <family val="0"/>
        <charset val="1"/>
      </rPr>
      <t xml:space="preserve">06 </t>
    </r>
    <r>
      <rPr>
        <sz val="10"/>
        <color rgb="FF1F3864"/>
        <rFont val="Noto Sans CJK SC"/>
        <family val="2"/>
      </rPr>
      <t xml:space="preserve">分頁的稅務區塊已內建計算。</t>
    </r>
  </si>
  <si>
    <t xml:space="preserve">五、送交投資決策前的必備檢查</t>
  </si>
  <si>
    <t xml:space="preserve">☐</t>
  </si>
  <si>
    <r>
      <rPr>
        <sz val="9.5"/>
        <color rgb="FF000000"/>
        <rFont val="微軟正黑體"/>
        <family val="0"/>
        <charset val="1"/>
      </rPr>
      <t xml:space="preserve">02 </t>
    </r>
    <r>
      <rPr>
        <sz val="9.5"/>
        <color rgb="FF000000"/>
        <rFont val="Noto Sans CJK SC"/>
        <family val="2"/>
      </rPr>
      <t xml:space="preserve">分頁每一筆 </t>
    </r>
    <r>
      <rPr>
        <sz val="9.5"/>
        <color rgb="FF000000"/>
        <rFont val="微軟正黑體"/>
        <family val="0"/>
        <charset val="1"/>
      </rPr>
      <t xml:space="preserve">CAPEX </t>
    </r>
    <r>
      <rPr>
        <sz val="9.5"/>
        <color rgb="FF000000"/>
        <rFont val="Noto Sans CJK SC"/>
        <family val="2"/>
      </rPr>
      <t xml:space="preserve">都已用廠商正式報價或工程估算取代示意值，並在 </t>
    </r>
    <r>
      <rPr>
        <sz val="9.5"/>
        <color rgb="FF000000"/>
        <rFont val="微軟正黑體"/>
        <family val="0"/>
        <charset val="1"/>
      </rPr>
      <t xml:space="preserve">11 </t>
    </r>
    <r>
      <rPr>
        <sz val="9.5"/>
        <color rgb="FF000000"/>
        <rFont val="Noto Sans CJK SC"/>
        <family val="2"/>
      </rPr>
      <t xml:space="preserve">分頁登錄來源與日期</t>
    </r>
  </si>
  <si>
    <r>
      <rPr>
        <sz val="9.5"/>
        <color rgb="FF000000"/>
        <rFont val="Noto Sans CJK SC"/>
        <family val="2"/>
      </rPr>
      <t xml:space="preserve">★ 關稅與進項 </t>
    </r>
    <r>
      <rPr>
        <sz val="9.5"/>
        <color rgb="FF000000"/>
        <rFont val="微軟正黑體"/>
        <family val="0"/>
        <charset val="1"/>
      </rPr>
      <t xml:space="preserve">VAT </t>
    </r>
    <r>
      <rPr>
        <sz val="9.5"/>
        <color rgb="FF000000"/>
        <rFont val="Noto Sans CJK SC"/>
        <family val="2"/>
      </rPr>
      <t xml:space="preserve">已確認：醫材 </t>
    </r>
    <r>
      <rPr>
        <sz val="9.5"/>
        <color rgb="FF000000"/>
        <rFont val="微軟正黑體"/>
        <family val="0"/>
        <charset val="1"/>
      </rPr>
      <t xml:space="preserve">HS 9022 </t>
    </r>
    <r>
      <rPr>
        <sz val="9.5"/>
        <color rgb="FF000000"/>
        <rFont val="Noto Sans CJK SC"/>
        <family val="2"/>
      </rPr>
      <t xml:space="preserve">適用 </t>
    </r>
    <r>
      <rPr>
        <sz val="9.5"/>
        <color rgb="FF000000"/>
        <rFont val="微軟正黑體"/>
        <family val="0"/>
        <charset val="1"/>
      </rPr>
      <t xml:space="preserve">MFN 0%</t>
    </r>
    <r>
      <rPr>
        <sz val="9.5"/>
        <color rgb="FF000000"/>
        <rFont val="Noto Sans CJK SC"/>
        <family val="2"/>
      </rPr>
      <t xml:space="preserve">（須附有效 </t>
    </r>
    <r>
      <rPr>
        <sz val="9.5"/>
        <color rgb="FF000000"/>
        <rFont val="微軟正黑體"/>
        <family val="0"/>
        <charset val="1"/>
      </rPr>
      <t xml:space="preserve">C/O</t>
    </r>
    <r>
      <rPr>
        <sz val="9.5"/>
        <color rgb="FF000000"/>
        <rFont val="Noto Sans CJK SC"/>
        <family val="2"/>
      </rPr>
      <t xml:space="preserve">），但 </t>
    </r>
    <r>
      <rPr>
        <sz val="9.5"/>
        <color rgb="FF000000"/>
        <rFont val="微軟正黑體"/>
        <family val="0"/>
        <charset val="1"/>
      </rPr>
      <t xml:space="preserve">UPS</t>
    </r>
    <r>
      <rPr>
        <sz val="9.5"/>
        <color rgb="FF000000"/>
        <rFont val="Noto Sans CJK SC"/>
        <family val="2"/>
      </rPr>
      <t xml:space="preserve">／發電機／空調類非 </t>
    </r>
    <r>
      <rPr>
        <sz val="9.5"/>
        <color rgb="FF000000"/>
        <rFont val="微軟正黑體"/>
        <family val="0"/>
        <charset val="1"/>
      </rPr>
      <t xml:space="preserve">ITA </t>
    </r>
    <r>
      <rPr>
        <sz val="9.5"/>
        <color rgb="FF000000"/>
        <rFont val="Noto Sans CJK SC"/>
        <family val="2"/>
      </rPr>
      <t xml:space="preserve">涵蓋、稅率較高；且醫療服務免 </t>
    </r>
    <r>
      <rPr>
        <sz val="9.5"/>
        <color rgb="FF000000"/>
        <rFont val="微軟正黑體"/>
        <family val="0"/>
        <charset val="1"/>
      </rPr>
      <t xml:space="preserve">VAT ⇒ </t>
    </r>
    <r>
      <rPr>
        <sz val="9.5"/>
        <color rgb="FF000000"/>
        <rFont val="Noto Sans CJK SC"/>
        <family val="2"/>
      </rPr>
      <t xml:space="preserve">進項不可扣抵、必須資本化</t>
    </r>
  </si>
  <si>
    <r>
      <rPr>
        <sz val="9.5"/>
        <color rgb="FF000000"/>
        <rFont val="Noto Sans CJK SC"/>
        <family val="2"/>
      </rPr>
      <t xml:space="preserve">★ 稅務優惠資格已由越南在地稅務顧問書面確認（社會化醫療 </t>
    </r>
    <r>
      <rPr>
        <sz val="9.5"/>
        <color rgb="FF000000"/>
        <rFont val="微軟正黑體"/>
        <family val="0"/>
        <charset val="1"/>
      </rPr>
      <t xml:space="preserve">10% </t>
    </r>
    <r>
      <rPr>
        <sz val="9.5"/>
        <color rgb="FF000000"/>
        <rFont val="Noto Sans CJK SC"/>
        <family val="2"/>
      </rPr>
      <t xml:space="preserve">稅率、免稅期起算年、虧損扣抵 </t>
    </r>
    <r>
      <rPr>
        <sz val="9.5"/>
        <color rgb="FF000000"/>
        <rFont val="微軟正黑體"/>
        <family val="0"/>
        <charset val="1"/>
      </rPr>
      <t xml:space="preserve">5 </t>
    </r>
    <r>
      <rPr>
        <sz val="9.5"/>
        <color rgb="FF000000"/>
        <rFont val="Noto Sans CJK SC"/>
        <family val="2"/>
      </rPr>
      <t xml:space="preserve">年）</t>
    </r>
  </si>
  <si>
    <r>
      <rPr>
        <sz val="9.5"/>
        <color rgb="FF000000"/>
        <rFont val="Noto Sans CJK SC"/>
        <family val="2"/>
      </rPr>
      <t xml:space="preserve">★ 折現率（</t>
    </r>
    <r>
      <rPr>
        <sz val="9.5"/>
        <color rgb="FF000000"/>
        <rFont val="微軟正黑體"/>
        <family val="0"/>
        <charset val="1"/>
      </rPr>
      <t xml:space="preserve">07 </t>
    </r>
    <r>
      <rPr>
        <sz val="9.5"/>
        <color rgb="FF000000"/>
        <rFont val="Noto Sans CJK SC"/>
        <family val="2"/>
      </rPr>
      <t xml:space="preserve">分頁 </t>
    </r>
    <r>
      <rPr>
        <sz val="9.5"/>
        <color rgb="FF000000"/>
        <rFont val="微軟正黑體"/>
        <family val="0"/>
        <charset val="1"/>
      </rPr>
      <t xml:space="preserve">WACC</t>
    </r>
    <r>
      <rPr>
        <sz val="9.5"/>
        <color rgb="FF000000"/>
        <rFont val="Noto Sans CJK SC"/>
        <family val="2"/>
      </rPr>
      <t xml:space="preserve">）已與投資方書面談定——同一份模型用不同折現率會得到相反的結論</t>
    </r>
  </si>
  <si>
    <r>
      <rPr>
        <sz val="9.5"/>
        <color rgb="FF000000"/>
        <rFont val="Noto Sans CJK SC"/>
        <family val="2"/>
      </rPr>
      <t xml:space="preserve">越南醫材／軟體註冊路徑與時程已由法規顧問確認（對應主工具 </t>
    </r>
    <r>
      <rPr>
        <sz val="9.5"/>
        <color rgb="FF000000"/>
        <rFont val="微軟正黑體"/>
        <family val="0"/>
        <charset val="1"/>
      </rPr>
      <t xml:space="preserve">05 </t>
    </r>
    <r>
      <rPr>
        <sz val="9.5"/>
        <color rgb="FF000000"/>
        <rFont val="Noto Sans CJK SC"/>
        <family val="2"/>
      </rPr>
      <t xml:space="preserve">法規門檻）</t>
    </r>
  </si>
  <si>
    <r>
      <rPr>
        <sz val="9.5"/>
        <color rgb="FF000000"/>
        <rFont val="微軟正黑體"/>
        <family val="0"/>
        <charset val="1"/>
      </rPr>
      <t xml:space="preserve">OPEX </t>
    </r>
    <r>
      <rPr>
        <sz val="9.5"/>
        <color rgb="FF000000"/>
        <rFont val="Noto Sans CJK SC"/>
        <family val="2"/>
      </rPr>
      <t xml:space="preserve">已含在地人力、維保合約、耗材與電力，維保費率以合約報價為準，且薪資年成長率不為 </t>
    </r>
    <r>
      <rPr>
        <sz val="9.5"/>
        <color rgb="FF000000"/>
        <rFont val="微軟正黑體"/>
        <family val="0"/>
        <charset val="1"/>
      </rPr>
      <t xml:space="preserve">0</t>
    </r>
  </si>
  <si>
    <r>
      <rPr>
        <sz val="9.5"/>
        <color rgb="FF000000"/>
        <rFont val="Noto Sans CJK SC"/>
        <family val="2"/>
      </rPr>
      <t xml:space="preserve">收入單價已核對越南健保公告費率與自費市場行情；★ 注意 </t>
    </r>
    <r>
      <rPr>
        <sz val="9.5"/>
        <color rgb="FF000000"/>
        <rFont val="微軟正黑體"/>
        <family val="0"/>
        <charset val="1"/>
      </rPr>
      <t xml:space="preserve">PACS </t>
    </r>
    <r>
      <rPr>
        <sz val="9.5"/>
        <color rgb="FF000000"/>
        <rFont val="Noto Sans CJK SC"/>
        <family val="2"/>
      </rPr>
      <t xml:space="preserve">無片化給付價反而低於有片價</t>
    </r>
  </si>
  <si>
    <r>
      <rPr>
        <sz val="9.5"/>
        <color rgb="FF000000"/>
        <rFont val="Noto Sans CJK SC"/>
        <family val="2"/>
      </rPr>
      <t xml:space="preserve">健保應收天數已依實際結算經驗設定（越南社保按季結算且常有超支懸置），並在 </t>
    </r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下檔情境測試過</t>
    </r>
  </si>
  <si>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分頁龍捲風圖排序第一的變數，已有對應的合約條款或查證計畫</t>
    </r>
  </si>
  <si>
    <r>
      <rPr>
        <sz val="9.5"/>
        <color rgb="FF000000"/>
        <rFont val="Noto Sans CJK SC"/>
        <family val="2"/>
      </rPr>
      <t xml:space="preserve">獨立驗證單位已複核本模型（對應主工具 </t>
    </r>
    <r>
      <rPr>
        <sz val="9.5"/>
        <color rgb="FF000000"/>
        <rFont val="微軟正黑體"/>
        <family val="0"/>
        <charset val="1"/>
      </rPr>
      <t xml:space="preserve">04 </t>
    </r>
    <r>
      <rPr>
        <sz val="9.5"/>
        <color rgb="FF000000"/>
        <rFont val="Noto Sans CJK SC"/>
        <family val="2"/>
      </rPr>
      <t xml:space="preserve">的獨立臨床與成本驗證）</t>
    </r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</si>
  <si>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假設與來源｜</t>
    </r>
    <r>
      <rPr>
        <b val="true"/>
        <sz val="15"/>
        <color rgb="FFFFFFFF"/>
        <rFont val="微軟正黑體"/>
        <family val="0"/>
        <charset val="1"/>
      </rPr>
      <t xml:space="preserve">Assumptions &amp; Sources</t>
    </r>
  </si>
  <si>
    <t xml:space="preserve">每一筆重要金額與比率都要在這裡登錄出處。「狀態」欄是給投資決策看的：★ 只要還有任何一列是「推測」，這份模型就不能直接送投資決策。</t>
  </si>
  <si>
    <t xml:space="preserve">編號</t>
  </si>
  <si>
    <t xml:space="preserve">假設項目</t>
  </si>
  <si>
    <t xml:space="preserve">採用值</t>
  </si>
  <si>
    <t xml:space="preserve">狀態</t>
  </si>
  <si>
    <t xml:space="preserve">來源／依據</t>
  </si>
  <si>
    <t xml:space="preserve">更新日期</t>
  </si>
  <si>
    <t xml:space="preserve">負責人</t>
  </si>
  <si>
    <t xml:space="preserve">X-01</t>
  </si>
  <si>
    <r>
      <rPr>
        <sz val="9"/>
        <color rgb="FF000000"/>
        <rFont val="Noto Sans CJK SC"/>
        <family val="2"/>
      </rPr>
      <t xml:space="preserve">匯率 </t>
    </r>
    <r>
      <rPr>
        <sz val="9"/>
        <color rgb="FF000000"/>
        <rFont val="微軟正黑體"/>
        <family val="0"/>
        <charset val="1"/>
      </rPr>
      <t xml:space="preserve">1 TWD = 810 VND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USD = 26,082 VND</t>
    </r>
  </si>
  <si>
    <t xml:space="preserve">810 / 26,082</t>
  </si>
  <si>
    <t xml:space="preserve">實績資料</t>
  </si>
  <si>
    <r>
      <rPr>
        <sz val="8.5"/>
        <color rgb="FF000000"/>
        <rFont val="微軟正黑體"/>
        <family val="0"/>
        <charset val="1"/>
      </rPr>
      <t xml:space="preserve">xe.com </t>
    </r>
    <r>
      <rPr>
        <sz val="8.5"/>
        <color rgb="FF000000"/>
        <rFont val="Noto Sans CJK SC"/>
        <family val="2"/>
      </rPr>
      <t xml:space="preserve">中間匯率，</t>
    </r>
    <r>
      <rPr>
        <sz val="8.5"/>
        <color rgb="FF000000"/>
        <rFont val="微軟正黑體"/>
        <family val="0"/>
        <charset val="1"/>
      </rPr>
      <t xml:space="preserve">2026-08-13</t>
    </r>
    <r>
      <rPr>
        <sz val="8.5"/>
        <color rgb="FF000000"/>
        <rFont val="Noto Sans CJK SC"/>
        <family val="2"/>
      </rPr>
      <t xml:space="preserve">。★ </t>
    </r>
    <r>
      <rPr>
        <sz val="8.5"/>
        <color rgb="FF000000"/>
        <rFont val="微軟正黑體"/>
        <family val="0"/>
        <charset val="1"/>
      </rPr>
      <t xml:space="preserve">3–10 </t>
    </r>
    <r>
      <rPr>
        <sz val="8.5"/>
        <color rgb="FF000000"/>
        <rFont val="Noto Sans CJK SC"/>
        <family val="2"/>
      </rPr>
      <t xml:space="preserve">年模型不應直接用即期匯率外推（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）；本檔採單一幣別建模、最後換算的穩健作法。</t>
    </r>
  </si>
  <si>
    <t xml:space="preserve">2026-08-13</t>
  </si>
  <si>
    <t xml:space="preserve">Financial Model Lead</t>
  </si>
  <si>
    <t xml:space="preserve">X-02</t>
  </si>
  <si>
    <r>
      <rPr>
        <sz val="9"/>
        <color rgb="FF000000"/>
        <rFont val="Noto Sans CJK SC"/>
        <family val="2"/>
      </rPr>
      <t xml:space="preserve">折現率 </t>
    </r>
    <r>
      <rPr>
        <sz val="9"/>
        <color rgb="FF000000"/>
        <rFont val="微軟正黑體"/>
        <family val="0"/>
        <charset val="1"/>
      </rPr>
      <t xml:space="preserve">WACC</t>
    </r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</si>
  <si>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分頁</t>
    </r>
  </si>
  <si>
    <t xml:space="preserve">規劃假設</t>
  </si>
  <si>
    <r>
      <rPr>
        <sz val="8.5"/>
        <color rgb="FF000000"/>
        <rFont val="微軟正黑體"/>
        <family val="0"/>
        <charset val="1"/>
      </rPr>
      <t xml:space="preserve">CAPM</t>
    </r>
    <r>
      <rPr>
        <sz val="8.5"/>
        <color rgb="FF000000"/>
        <rFont val="Noto Sans CJK SC"/>
        <family val="2"/>
      </rPr>
      <t xml:space="preserve">＋國家風險溢酬。</t>
    </r>
    <r>
      <rPr>
        <sz val="8.5"/>
        <color rgb="FF000000"/>
        <rFont val="微軟正黑體"/>
        <family val="0"/>
        <charset val="1"/>
      </rPr>
      <t xml:space="preserve">Rf</t>
    </r>
    <r>
      <rPr>
        <sz val="8.5"/>
        <color rgb="FF000000"/>
        <rFont val="Noto Sans CJK SC"/>
        <family val="2"/>
      </rPr>
      <t xml:space="preserve">＝越南 </t>
    </r>
    <r>
      <rPr>
        <sz val="8.5"/>
        <color rgb="FF000000"/>
        <rFont val="微軟正黑體"/>
        <family val="0"/>
        <charset val="1"/>
      </rPr>
      <t xml:space="preserve">10Y </t>
    </r>
    <r>
      <rPr>
        <sz val="8.5"/>
        <color rgb="FF000000"/>
        <rFont val="Noto Sans CJK SC"/>
        <family val="2"/>
      </rPr>
      <t xml:space="preserve">公債 </t>
    </r>
    <r>
      <rPr>
        <sz val="8.5"/>
        <color rgb="FF000000"/>
        <rFont val="微軟正黑體"/>
        <family val="0"/>
        <charset val="1"/>
      </rPr>
      <t xml:space="preserve">4.54%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tradingeconomics.com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2026-08-12</t>
    </r>
    <r>
      <rPr>
        <sz val="8.5"/>
        <color rgb="FF000000"/>
        <rFont val="Noto Sans CJK SC"/>
        <family val="2"/>
      </rPr>
      <t xml:space="preserve">）；成熟市場 </t>
    </r>
    <r>
      <rPr>
        <sz val="8.5"/>
        <color rgb="FF000000"/>
        <rFont val="微軟正黑體"/>
        <family val="0"/>
        <charset val="1"/>
      </rPr>
      <t xml:space="preserve">ERP 4.23%</t>
    </r>
    <r>
      <rPr>
        <sz val="8.5"/>
        <color rgb="FF000000"/>
        <rFont val="Noto Sans CJK SC"/>
        <family val="2"/>
      </rPr>
      <t xml:space="preserve">、越南 </t>
    </r>
    <r>
      <rPr>
        <sz val="8.5"/>
        <color rgb="FF000000"/>
        <rFont val="微軟正黑體"/>
        <family val="0"/>
        <charset val="1"/>
      </rPr>
      <t xml:space="preserve">CRP 3.90%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pages.stern.nyu.edu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2026-01</t>
    </r>
    <r>
      <rPr>
        <sz val="8.5"/>
        <color rgb="FF000000"/>
        <rFont val="Noto Sans CJK SC"/>
        <family val="2"/>
      </rPr>
      <t xml:space="preserve">）。</t>
    </r>
  </si>
  <si>
    <t xml:space="preserve">X-03</t>
  </si>
  <si>
    <r>
      <rPr>
        <sz val="9"/>
        <color rgb="FF000000"/>
        <rFont val="Noto Sans CJK SC"/>
        <family val="2"/>
      </rPr>
      <t xml:space="preserve">企業所得稅優惠稅率 </t>
    </r>
    <r>
      <rPr>
        <sz val="9"/>
        <color rgb="FF000000"/>
        <rFont val="微軟正黑體"/>
        <family val="0"/>
        <charset val="1"/>
      </rPr>
      <t xml:space="preserve">10%</t>
    </r>
  </si>
  <si>
    <t xml:space="preserve">10%</t>
  </si>
  <si>
    <t xml:space="preserve">法規公告</t>
  </si>
  <si>
    <r>
      <rPr>
        <sz val="8.5"/>
        <color rgb="FF000000"/>
        <rFont val="微軟正黑體"/>
        <family val="0"/>
        <charset val="1"/>
      </rPr>
      <t xml:space="preserve">PwC </t>
    </r>
    <r>
      <rPr>
        <sz val="8.5"/>
        <color rgb="FF000000"/>
        <rFont val="Noto Sans CJK SC"/>
        <family val="2"/>
      </rPr>
      <t xml:space="preserve">越南 </t>
    </r>
    <r>
      <rPr>
        <sz val="8.5"/>
        <color rgb="FF000000"/>
        <rFont val="微軟正黑體"/>
        <family val="0"/>
        <charset val="1"/>
      </rPr>
      <t xml:space="preserve">Pocket Tax Book</t>
    </r>
    <r>
      <rPr>
        <sz val="8.5"/>
        <color rgb="FF000000"/>
        <rFont val="Noto Sans CJK SC"/>
        <family val="2"/>
      </rPr>
      <t xml:space="preserve">：「</t>
    </r>
    <r>
      <rPr>
        <sz val="8.5"/>
        <color rgb="FF000000"/>
        <rFont val="微軟正黑體"/>
        <family val="0"/>
        <charset val="1"/>
      </rPr>
      <t xml:space="preserve">Certain social sectors (e.g. education, health) enjoy the 10% rate for the entire life of the project.</t>
    </r>
    <r>
      <rPr>
        <sz val="8.5"/>
        <color rgb="FF000000"/>
        <rFont val="Noto Sans CJK SC"/>
        <family val="2"/>
      </rPr>
      <t xml:space="preserve">」★ 惟 </t>
    </r>
    <r>
      <rPr>
        <sz val="8.5"/>
        <color rgb="FF000000"/>
        <rFont val="微軟正黑體"/>
        <family val="0"/>
        <charset val="1"/>
      </rPr>
      <t xml:space="preserve">lntpartners.com </t>
    </r>
    <r>
      <rPr>
        <sz val="8.5"/>
        <color rgb="FF000000"/>
        <rFont val="Noto Sans CJK SC"/>
        <family val="2"/>
      </rPr>
      <t xml:space="preserve">對 </t>
    </r>
    <r>
      <rPr>
        <sz val="8.5"/>
        <color rgb="FF000000"/>
        <rFont val="微軟正黑體"/>
        <family val="0"/>
        <charset val="1"/>
      </rPr>
      <t xml:space="preserve">Law 67/2025 </t>
    </r>
    <r>
      <rPr>
        <sz val="8.5"/>
        <color rgb="FF000000"/>
        <rFont val="Noto Sans CJK SC"/>
        <family val="2"/>
      </rPr>
      <t xml:space="preserve">的解讀較保守，認為須符合第 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條其他資格條件。務必由在地稅務顧問就個案確認；下檔情境應改用 </t>
    </r>
    <r>
      <rPr>
        <sz val="8.5"/>
        <color rgb="FF000000"/>
        <rFont val="微軟正黑體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。</t>
    </r>
  </si>
  <si>
    <t xml:space="preserve">Tax Advisor</t>
  </si>
  <si>
    <t xml:space="preserve">X-04</t>
  </si>
  <si>
    <r>
      <rPr>
        <sz val="9"/>
        <color rgb="FF000000"/>
        <rFont val="Noto Sans CJK SC"/>
        <family val="2"/>
      </rPr>
      <t xml:space="preserve">免稅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年＋減半期</t>
    </r>
  </si>
  <si>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或 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9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</si>
  <si>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社會化專案位於社經困難地區者免稅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年；一般地區免稅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年。免稅期自「首次從受優惠活動獲利」起算，但若產生營收後 </t>
    </r>
    <r>
      <rPr>
        <sz val="8.5"/>
        <color rgb="FF000000"/>
        <rFont val="微軟正黑體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年內未獲利則自營運第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年起強制起算（</t>
    </r>
    <r>
      <rPr>
        <sz val="8.5"/>
        <color rgb="FF000000"/>
        <rFont val="微軟正黑體"/>
        <family val="0"/>
        <charset val="1"/>
      </rPr>
      <t xml:space="preserve">PwC</t>
    </r>
    <r>
      <rPr>
        <sz val="8.5"/>
        <color rgb="FF000000"/>
        <rFont val="Noto Sans CJK SC"/>
        <family val="2"/>
      </rPr>
      <t xml:space="preserve">）。</t>
    </r>
  </si>
  <si>
    <t xml:space="preserve">X-05</t>
  </si>
  <si>
    <r>
      <rPr>
        <sz val="9"/>
        <color rgb="FF000000"/>
        <rFont val="Noto Sans CJK SC"/>
        <family val="2"/>
      </rPr>
      <t xml:space="preserve">★ 醫療服務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免稅 ⇒ 進項不可扣抵</t>
    </r>
  </si>
  <si>
    <r>
      <rPr>
        <sz val="9"/>
        <color rgb="FF000000"/>
        <rFont val="Noto Sans CJK SC"/>
        <family val="2"/>
      </rPr>
      <t xml:space="preserve">進項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全額計入成本</t>
    </r>
  </si>
  <si>
    <r>
      <rPr>
        <sz val="8.5"/>
        <color rgb="FF000000"/>
        <rFont val="微軟正黑體"/>
        <family val="0"/>
        <charset val="1"/>
      </rPr>
      <t xml:space="preserve">VAT Law 48/2024/QH15 </t>
    </r>
    <r>
      <rPr>
        <sz val="8.5"/>
        <color rgb="FF000000"/>
        <rFont val="Noto Sans CJK SC"/>
        <family val="2"/>
      </rPr>
      <t xml:space="preserve">第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條第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款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：人的醫療檢查、治療與疾病預防服務屬「不課徵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對象」。★ 免稅（</t>
    </r>
    <r>
      <rPr>
        <sz val="8.5"/>
        <color rgb="FF000000"/>
        <rFont val="微軟正黑體"/>
        <family val="0"/>
        <charset val="1"/>
      </rPr>
      <t xml:space="preserve">exempt</t>
    </r>
    <r>
      <rPr>
        <sz val="8.5"/>
        <color rgb="FF000000"/>
        <rFont val="Noto Sans CJK SC"/>
        <family val="2"/>
      </rPr>
      <t xml:space="preserve">）≠ 零稅率（</t>
    </r>
    <r>
      <rPr>
        <sz val="8.5"/>
        <color rgb="FF000000"/>
        <rFont val="微軟正黑體"/>
        <family val="0"/>
        <charset val="1"/>
      </rPr>
      <t xml:space="preserve">0%</t>
    </r>
    <r>
      <rPr>
        <sz val="8.5"/>
        <color rgb="FF000000"/>
        <rFont val="Noto Sans CJK SC"/>
        <family val="2"/>
      </rPr>
      <t xml:space="preserve">）——免稅代表進項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不可退還，必須資本化或計入費用。醫材與藥品進項適用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設備 </t>
    </r>
    <r>
      <rPr>
        <sz val="8.5"/>
        <color rgb="FF000000"/>
        <rFont val="微軟正黑體"/>
        <family val="0"/>
        <charset val="1"/>
      </rPr>
      <t xml:space="preserve">10%</t>
    </r>
    <r>
      <rPr>
        <sz val="8.5"/>
        <color rgb="FF000000"/>
        <rFont val="Noto Sans CJK SC"/>
        <family val="2"/>
      </rPr>
      <t xml:space="preserve">。</t>
    </r>
  </si>
  <si>
    <t xml:space="preserve">X-06</t>
  </si>
  <si>
    <t xml:space="preserve">折舊年限</t>
  </si>
  <si>
    <r>
      <rPr>
        <sz val="9"/>
        <color rgb="FF000000"/>
        <rFont val="Noto Sans CJK SC"/>
        <family val="2"/>
      </rPr>
      <t xml:space="preserve">依 </t>
    </r>
    <r>
      <rPr>
        <sz val="9"/>
        <color rgb="FF000000"/>
        <rFont val="微軟正黑體"/>
        <family val="0"/>
        <charset val="1"/>
      </rPr>
      <t xml:space="preserve">Circular 45/2013/TT-BTC</t>
    </r>
  </si>
  <si>
    <r>
      <rPr>
        <sz val="8.5"/>
        <color rgb="FF000000"/>
        <rFont val="Noto Sans CJK SC"/>
        <family val="2"/>
      </rPr>
      <t xml:space="preserve">附錄一法定區間：堅固建物 </t>
    </r>
    <r>
      <rPr>
        <sz val="8.5"/>
        <color rgb="FF000000"/>
        <rFont val="微軟正黑體"/>
        <family val="0"/>
        <charset val="1"/>
      </rPr>
      <t xml:space="preserve">25–50 </t>
    </r>
    <r>
      <rPr>
        <sz val="8.5"/>
        <color rgb="FF000000"/>
        <rFont val="Noto Sans CJK SC"/>
        <family val="2"/>
      </rPr>
      <t xml:space="preserve">年、醫療設備 </t>
    </r>
    <r>
      <rPr>
        <sz val="8.5"/>
        <color rgb="FF000000"/>
        <rFont val="微軟正黑體"/>
        <family val="0"/>
        <charset val="1"/>
      </rPr>
      <t xml:space="preserve">6–15 </t>
    </r>
    <r>
      <rPr>
        <sz val="8.5"/>
        <color rgb="FF000000"/>
        <rFont val="Noto Sans CJK SC"/>
        <family val="2"/>
      </rPr>
      <t xml:space="preserve">年、電腦與電子設備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年、軟體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年、一般機械 </t>
    </r>
    <r>
      <rPr>
        <sz val="8.5"/>
        <color rgb="FF000000"/>
        <rFont val="微軟正黑體"/>
        <family val="0"/>
        <charset val="1"/>
      </rPr>
      <t xml:space="preserve">5–15 </t>
    </r>
    <r>
      <rPr>
        <sz val="8.5"/>
        <color rgb="FF000000"/>
        <rFont val="Noto Sans CJK SC"/>
        <family val="2"/>
      </rPr>
      <t xml:space="preserve">年。★ 本案若適用長期免稅或 </t>
    </r>
    <r>
      <rPr>
        <sz val="8.5"/>
        <color rgb="FF000000"/>
        <rFont val="微軟正黑體"/>
        <family val="0"/>
        <charset val="1"/>
      </rPr>
      <t xml:space="preserve">10% </t>
    </r>
    <r>
      <rPr>
        <sz val="8.5"/>
        <color rgb="FF000000"/>
        <rFont val="Noto Sans CJK SC"/>
        <family val="2"/>
      </rPr>
      <t xml:space="preserve">優惠稅率，宜取區間上限拉長折舊，把稅盾延後到稅率較高的期間。</t>
    </r>
  </si>
  <si>
    <t xml:space="preserve">會計師</t>
  </si>
  <si>
    <t xml:space="preserve">X-07</t>
  </si>
  <si>
    <r>
      <rPr>
        <sz val="9"/>
        <color rgb="FF000000"/>
        <rFont val="Noto Sans CJK SC"/>
        <family val="2"/>
      </rPr>
      <t xml:space="preserve">虧損扣抵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</si>
  <si>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</si>
  <si>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越南：虧損可全額連續向後扣抵最長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年，不得向前扣抵，逾期永久失效。本檔以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年滾動窗口近似 </t>
    </r>
    <r>
      <rPr>
        <sz val="8.5"/>
        <color rgb="FF000000"/>
        <rFont val="微軟正黑體"/>
        <family val="0"/>
        <charset val="1"/>
      </rPr>
      <t xml:space="preserve">FIFO </t>
    </r>
    <r>
      <rPr>
        <sz val="8.5"/>
        <color rgb="FF000000"/>
        <rFont val="Noto Sans CJK SC"/>
        <family val="2"/>
      </rPr>
      <t xml:space="preserve">到期邏輯。</t>
    </r>
  </si>
  <si>
    <t xml:space="preserve">X-08</t>
  </si>
  <si>
    <t xml:space="preserve">健保應收天數</t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</si>
  <si>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01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</si>
  <si>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★ 2025-08 </t>
    </r>
    <r>
      <rPr>
        <sz val="8.5"/>
        <color rgb="FF000000"/>
        <rFont val="Noto Sans CJK SC"/>
        <family val="2"/>
      </rPr>
      <t xml:space="preserve">報導：胡志明市各醫院被健保懸置未結算的費用近 </t>
    </r>
    <r>
      <rPr>
        <sz val="8.5"/>
        <color rgb="FF000000"/>
        <rFont val="微軟正黑體"/>
        <family val="0"/>
        <charset val="1"/>
      </rPr>
      <t xml:space="preserve">2,500 </t>
    </r>
    <r>
      <rPr>
        <sz val="8.5"/>
        <color rgb="FF000000"/>
        <rFont val="Noto Sans CJK SC"/>
        <family val="2"/>
      </rPr>
      <t xml:space="preserve">十億越盾（</t>
    </r>
    <r>
      <rPr>
        <sz val="8.5"/>
        <color rgb="FF000000"/>
        <rFont val="微軟正黑體"/>
        <family val="0"/>
        <charset val="1"/>
      </rPr>
      <t xml:space="preserve">2023 </t>
    </r>
    <r>
      <rPr>
        <sz val="8.5"/>
        <color rgb="FF000000"/>
        <rFont val="Noto Sans CJK SC"/>
        <family val="2"/>
      </rPr>
      <t xml:space="preserve">年超支 </t>
    </r>
    <r>
      <rPr>
        <sz val="8.5"/>
        <color rgb="FF000000"/>
        <rFont val="微軟正黑體"/>
        <family val="0"/>
        <charset val="1"/>
      </rPr>
      <t xml:space="preserve">5,575 </t>
    </r>
    <r>
      <rPr>
        <sz val="8.5"/>
        <color rgb="FF000000"/>
        <rFont val="Noto Sans CJK SC"/>
        <family val="2"/>
      </rPr>
      <t xml:space="preserve">億、</t>
    </r>
    <r>
      <rPr>
        <sz val="8.5"/>
        <color rgb="FF000000"/>
        <rFont val="微軟正黑體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年約 </t>
    </r>
    <r>
      <rPr>
        <sz val="8.5"/>
        <color rgb="FF000000"/>
        <rFont val="微軟正黑體"/>
        <family val="0"/>
        <charset val="1"/>
      </rPr>
      <t xml:space="preserve">1 </t>
    </r>
    <r>
      <rPr>
        <sz val="8.5"/>
        <color rgb="FF000000"/>
        <rFont val="Noto Sans CJK SC"/>
        <family val="2"/>
      </rPr>
      <t xml:space="preserve">兆 </t>
    </r>
    <r>
      <rPr>
        <sz val="8.5"/>
        <color rgb="FF000000"/>
        <rFont val="微軟正黑體"/>
        <family val="0"/>
        <charset val="1"/>
      </rPr>
      <t xml:space="preserve">9,500 </t>
    </r>
    <r>
      <rPr>
        <sz val="8.5"/>
        <color rgb="FF000000"/>
        <rFont val="Noto Sans CJK SC"/>
        <family val="2"/>
      </rPr>
      <t xml:space="preserve">億），醫院須依《健保法》第 </t>
    </r>
    <r>
      <rPr>
        <sz val="8.5"/>
        <color rgb="FF000000"/>
        <rFont val="微軟正黑體"/>
        <family val="0"/>
        <charset val="1"/>
      </rPr>
      <t xml:space="preserve">32 </t>
    </r>
    <r>
      <rPr>
        <sz val="8.5"/>
        <color rgb="FF000000"/>
        <rFont val="Noto Sans CJK SC"/>
        <family val="2"/>
      </rPr>
      <t xml:space="preserve">條請求社保墊付（</t>
    </r>
    <r>
      <rPr>
        <sz val="8.5"/>
        <color rgb="FF000000"/>
        <rFont val="微軟正黑體"/>
        <family val="0"/>
        <charset val="1"/>
      </rPr>
      <t xml:space="preserve">vietnam.vn</t>
    </r>
    <r>
      <rPr>
        <sz val="8.5"/>
        <color rgb="FF000000"/>
        <rFont val="Noto Sans CJK SC"/>
        <family val="2"/>
      </rPr>
      <t xml:space="preserve">）。</t>
    </r>
    <r>
      <rPr>
        <sz val="8.5"/>
        <color rgb="FF000000"/>
        <rFont val="微軟正黑體"/>
        <family val="0"/>
        <charset val="1"/>
      </rPr>
      <t xml:space="preserve">VSS </t>
    </r>
    <r>
      <rPr>
        <sz val="8.5"/>
        <color rgb="FF000000"/>
        <rFont val="Noto Sans CJK SC"/>
        <family val="2"/>
      </rPr>
      <t xml:space="preserve">結算的確切法定天數查無明文，須由在地法律顧問確認。</t>
    </r>
  </si>
  <si>
    <t xml:space="preserve">Revenue Cycle Lead</t>
  </si>
  <si>
    <t xml:space="preserve">X-09</t>
  </si>
  <si>
    <t xml:space="preserve">利潤匯回限制</t>
  </si>
  <si>
    <t xml:space="preserve">有累積虧損不得匯出</t>
  </si>
  <si>
    <r>
      <rPr>
        <sz val="8.5"/>
        <color rgb="FF000000"/>
        <rFont val="微軟正黑體"/>
        <family val="0"/>
        <charset val="1"/>
      </rPr>
      <t xml:space="preserve">Circular 186/2010/TT-BTC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Decree 252/2026/ND-CP</t>
    </r>
    <r>
      <rPr>
        <sz val="8.5"/>
        <color rgb="FF000000"/>
        <rFont val="Noto Sans CJK SC"/>
        <family val="2"/>
      </rPr>
      <t xml:space="preserve">：須完成財務義務、提交查核財報與 </t>
    </r>
    <r>
      <rPr>
        <sz val="8.5"/>
        <color rgb="FF000000"/>
        <rFont val="微軟正黑體"/>
        <family val="0"/>
        <charset val="1"/>
      </rPr>
      <t xml:space="preserve">CIT </t>
    </r>
    <r>
      <rPr>
        <sz val="8.5"/>
        <color rgb="FF000000"/>
        <rFont val="Noto Sans CJK SC"/>
        <family val="2"/>
      </rPr>
      <t xml:space="preserve">決算表，匯出前 </t>
    </r>
    <r>
      <rPr>
        <sz val="8.5"/>
        <color rgb="FF000000"/>
        <rFont val="微軟正黑體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個工作天通知稅務機關。★ 有累積虧損的企業不得匯出利潤，即使當年度獲利。外國法人股東 </t>
    </r>
    <r>
      <rPr>
        <sz val="8.5"/>
        <color rgb="FF000000"/>
        <rFont val="微軟正黑體"/>
        <family val="0"/>
        <charset val="1"/>
      </rPr>
      <t xml:space="preserve">0% </t>
    </r>
    <r>
      <rPr>
        <sz val="8.5"/>
        <color rgb="FF000000"/>
        <rFont val="Noto Sans CJK SC"/>
        <family val="2"/>
      </rPr>
      <t xml:space="preserve">扣繳、個人股東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。</t>
    </r>
  </si>
  <si>
    <t xml:space="preserve">Legal Lead</t>
  </si>
  <si>
    <t xml:space="preserve">X-10</t>
  </si>
  <si>
    <t xml:space="preserve">投資類別分類法</t>
  </si>
  <si>
    <r>
      <rPr>
        <sz val="8.5"/>
        <color rgb="FF000000"/>
        <rFont val="微軟正黑體"/>
        <family val="0"/>
        <charset val="1"/>
      </rPr>
      <t xml:space="preserve">Weill &amp; Aral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Sloan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投資組合四分類：</t>
    </r>
    <r>
      <rPr>
        <sz val="8.5"/>
        <color rgb="FF000000"/>
        <rFont val="微軟正黑體"/>
        <family val="0"/>
        <charset val="1"/>
      </rPr>
      <t xml:space="preserve">Infrastructure 46%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Transactional 26%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Informational 17%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 11%</t>
    </r>
    <r>
      <rPr>
        <sz val="8.5"/>
        <color rgb="FF000000"/>
        <rFont val="Noto Sans CJK SC"/>
        <family val="2"/>
      </rPr>
      <t xml:space="preserve">；★ 績效前段班公司把 </t>
    </r>
    <r>
      <rPr>
        <sz val="8.5"/>
        <color rgb="FF000000"/>
        <rFont val="微軟正黑體"/>
        <family val="0"/>
        <charset val="1"/>
      </rPr>
      <t xml:space="preserve">55% </t>
    </r>
    <r>
      <rPr>
        <sz val="8.5"/>
        <color rgb="FF000000"/>
        <rFont val="Noto Sans CJK SC"/>
        <family val="2"/>
      </rPr>
      <t xml:space="preserve">的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支出放在基礎建設，後段班只有 </t>
    </r>
    <r>
      <rPr>
        <sz val="8.5"/>
        <color rgb="FF000000"/>
        <rFont val="微軟正黑體"/>
        <family val="0"/>
        <charset val="1"/>
      </rPr>
      <t xml:space="preserve">37%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CISR 2016</t>
    </r>
    <r>
      <rPr>
        <sz val="8.5"/>
        <color rgb="FF000000"/>
        <rFont val="Noto Sans CJK SC"/>
        <family val="2"/>
      </rPr>
      <t xml:space="preserve">）。另參考 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資本預算分類、</t>
    </r>
    <r>
      <rPr>
        <sz val="8.5"/>
        <color rgb="FF000000"/>
        <rFont val="微軟正黑體"/>
        <family val="0"/>
        <charset val="1"/>
      </rPr>
      <t xml:space="preserve">Gartner Run/Grow/Transform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TBM Council </t>
    </r>
    <r>
      <rPr>
        <sz val="8.5"/>
        <color rgb="FF000000"/>
        <rFont val="Noto Sans CJK SC"/>
        <family val="2"/>
      </rPr>
      <t xml:space="preserve">成本分攤方法。</t>
    </r>
  </si>
  <si>
    <t xml:space="preserve">PI Office</t>
  </si>
  <si>
    <t xml:space="preserve">C-01</t>
  </si>
  <si>
    <r>
      <rPr>
        <sz val="9"/>
        <color rgb="FF000000"/>
        <rFont val="微軟正黑體"/>
        <family val="0"/>
        <charset val="1"/>
      </rPr>
      <t xml:space="preserve">HIS/EMR </t>
    </r>
    <r>
      <rPr>
        <sz val="9"/>
        <color rgb="FF000000"/>
        <rFont val="Noto Sans CJK SC"/>
        <family val="2"/>
      </rPr>
      <t xml:space="preserve">總建置（含不可扣抵稅費）</t>
    </r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</si>
  <si>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02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</si>
  <si>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tuoitre.vn</t>
    </r>
    <r>
      <rPr>
        <sz val="8.5"/>
        <color rgb="FF000000"/>
        <rFont val="Noto Sans CJK SC"/>
        <family val="2"/>
      </rPr>
      <t xml:space="preserve">：越南一級醫院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 </t>
    </r>
    <r>
      <rPr>
        <sz val="8.5"/>
        <color rgb="FF000000"/>
        <rFont val="微軟正黑體"/>
        <family val="0"/>
        <charset val="1"/>
      </rPr>
      <t xml:space="preserve">10.5–40bn VND</t>
    </r>
    <r>
      <rPr>
        <sz val="8.5"/>
        <color rgb="FF000000"/>
        <rFont val="Noto Sans CJK SC"/>
        <family val="2"/>
      </rPr>
      <t xml:space="preserve">、占營收 </t>
    </r>
    <r>
      <rPr>
        <sz val="8.5"/>
        <color rgb="FF000000"/>
        <rFont val="微軟正黑體"/>
        <family val="0"/>
        <charset val="1"/>
      </rPr>
      <t xml:space="preserve">0.57–2.1%</t>
    </r>
    <r>
      <rPr>
        <sz val="8.5"/>
        <color rgb="FF000000"/>
        <rFont val="Noto Sans CJK SC"/>
        <family val="2"/>
      </rPr>
      <t xml:space="preserve">。越南無公開每床授權價（</t>
    </r>
    <r>
      <rPr>
        <sz val="8.5"/>
        <color rgb="FF000000"/>
        <rFont val="微軟正黑體"/>
        <family val="0"/>
        <charset val="1"/>
      </rPr>
      <t xml:space="preserve">ykhoanet.com</t>
    </r>
    <r>
      <rPr>
        <sz val="8.5"/>
        <color rgb="FF000000"/>
        <rFont val="Noto Sans CJK SC"/>
        <family val="2"/>
      </rPr>
      <t xml:space="preserve">）</t>
    </r>
  </si>
  <si>
    <t xml:space="preserve">Health IT Lead</t>
  </si>
  <si>
    <t xml:space="preserve">C-02</t>
  </si>
  <si>
    <r>
      <rPr>
        <sz val="9"/>
        <color rgb="FF000000"/>
        <rFont val="Noto Sans CJK SC"/>
        <family val="2"/>
      </rPr>
      <t xml:space="preserve">基本服務費 </t>
    </r>
    <r>
      <rPr>
        <sz val="9"/>
        <color rgb="FF000000"/>
        <rFont val="微軟正黑體"/>
        <family val="0"/>
        <charset val="1"/>
      </rPr>
      <t xml:space="preserve">1,680 TWD</t>
    </r>
    <r>
      <rPr>
        <sz val="9"/>
        <color rgb="FF000000"/>
        <rFont val="Noto Sans CJK SC"/>
        <family val="2"/>
      </rPr>
      <t xml:space="preserve">／床／月</t>
    </r>
  </si>
  <si>
    <r>
      <rPr>
        <sz val="9"/>
        <color rgb="FF000000"/>
        <rFont val="Noto Sans CJK SC"/>
        <family val="2"/>
      </rPr>
      <t xml:space="preserve">約 </t>
    </r>
    <r>
      <rPr>
        <sz val="9"/>
        <color rgb="FF000000"/>
        <rFont val="微軟正黑體"/>
        <family val="0"/>
        <charset val="1"/>
      </rPr>
      <t xml:space="preserve">1.36m VND</t>
    </r>
    <r>
      <rPr>
        <sz val="9"/>
        <color rgb="FF000000"/>
        <rFont val="Noto Sans CJK SC"/>
        <family val="2"/>
      </rPr>
      <t xml:space="preserve">／床／月</t>
    </r>
  </si>
  <si>
    <r>
      <rPr>
        <sz val="8.5"/>
        <color rgb="FF000000"/>
        <rFont val="Noto Sans CJK SC"/>
        <family val="2"/>
      </rPr>
      <t xml:space="preserve">五年合約總額約 </t>
    </r>
    <r>
      <rPr>
        <sz val="8.5"/>
        <color rgb="FF000000"/>
        <rFont val="微軟正黑體"/>
        <family val="0"/>
        <charset val="1"/>
      </rPr>
      <t xml:space="preserve">41bn VND</t>
    </r>
    <r>
      <rPr>
        <sz val="8.5"/>
        <color rgb="FF000000"/>
        <rFont val="Noto Sans CJK SC"/>
        <family val="2"/>
      </rPr>
      <t xml:space="preserve">，已落在一級醫院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投資區間上緣。對照下限：河靜省縣級醫院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營運約 </t>
    </r>
    <r>
      <rPr>
        <sz val="8.5"/>
        <color rgb="FF000000"/>
        <rFont val="微軟正黑體"/>
        <family val="0"/>
        <charset val="1"/>
      </rPr>
      <t xml:space="preserve">1.2m VND</t>
    </r>
    <r>
      <rPr>
        <sz val="8.5"/>
        <color rgb="FF000000"/>
        <rFont val="Noto Sans CJK SC"/>
        <family val="2"/>
      </rPr>
      <t xml:space="preserve">／床／年（</t>
    </r>
    <r>
      <rPr>
        <sz val="8.5"/>
        <color rgb="FF000000"/>
        <rFont val="微軟正黑體"/>
        <family val="0"/>
        <charset val="1"/>
      </rPr>
      <t xml:space="preserve">baohatinh.vn</t>
    </r>
    <r>
      <rPr>
        <sz val="8.5"/>
        <color rgb="FF000000"/>
        <rFont val="Noto Sans CJK SC"/>
        <family val="2"/>
      </rPr>
      <t xml:space="preserve">）</t>
    </r>
  </si>
  <si>
    <t xml:space="preserve">Commercial Lead</t>
  </si>
  <si>
    <t xml:space="preserve">C-03</t>
  </si>
  <si>
    <r>
      <rPr>
        <sz val="9"/>
        <color rgb="FF000000"/>
        <rFont val="Noto Sans CJK SC"/>
        <family val="2"/>
      </rPr>
      <t xml:space="preserve">★ 越南醫療服務價格未含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成本</t>
    </r>
  </si>
  <si>
    <t xml:space="preserve">—</t>
  </si>
  <si>
    <r>
      <rPr>
        <sz val="8.5"/>
        <color rgb="FF000000"/>
        <rFont val="微軟正黑體"/>
        <family val="0"/>
        <charset val="1"/>
      </rPr>
      <t xml:space="preserve">tuoitre.vn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baohatinh.vn</t>
    </r>
    <r>
      <rPr>
        <sz val="8.5"/>
        <color rgb="FF000000"/>
        <rFont val="Noto Sans CJK SC"/>
        <family val="2"/>
      </rPr>
      <t xml:space="preserve">：越南醫院服務價格目前只含人工與直接成本，管理費（含 </t>
    </r>
    <r>
      <rPr>
        <sz val="8.5"/>
        <color rgb="FF000000"/>
        <rFont val="微軟正黑體"/>
        <family val="0"/>
        <charset val="1"/>
      </rPr>
      <t xml:space="preserve">IT</t>
    </r>
    <r>
      <rPr>
        <sz val="8.5"/>
        <color rgb="FF000000"/>
        <rFont val="Noto Sans CJK SC"/>
        <family val="2"/>
      </rPr>
      <t xml:space="preserve">）與折舊未納入。衛生部曾以 </t>
    </r>
    <r>
      <rPr>
        <sz val="8.5"/>
        <color rgb="FF000000"/>
        <rFont val="微軟正黑體"/>
        <family val="0"/>
        <charset val="1"/>
      </rPr>
      <t xml:space="preserve">2025/6 </t>
    </r>
    <r>
      <rPr>
        <sz val="8.5"/>
        <color rgb="FF000000"/>
        <rFont val="Noto Sans CJK SC"/>
        <family val="2"/>
      </rPr>
      <t xml:space="preserve">為目標納入，尚未實現。★ 這是本案商業模式的根本限制</t>
    </r>
  </si>
  <si>
    <t xml:space="preserve">C-04</t>
  </si>
  <si>
    <r>
      <rPr>
        <sz val="9"/>
        <color rgb="FF000000"/>
        <rFont val="Noto Sans CJK SC"/>
        <family val="2"/>
      </rPr>
      <t xml:space="preserve">★ 首個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成本給付案例反而降價</t>
    </r>
  </si>
  <si>
    <t xml:space="preserve">−5.9%</t>
  </si>
  <si>
    <r>
      <rPr>
        <sz val="8.5"/>
        <color rgb="FF000000"/>
        <rFont val="微軟正黑體"/>
        <family val="0"/>
        <charset val="1"/>
      </rPr>
      <t xml:space="preserve">Decision 313/QĐ-BYT</t>
    </r>
    <r>
      <rPr>
        <sz val="8.5"/>
        <color rgb="FF000000"/>
        <rFont val="Noto Sans CJK SC"/>
        <family val="2"/>
      </rPr>
      <t xml:space="preserve">：白梅醫院 </t>
    </r>
    <r>
      <rPr>
        <sz val="8.5"/>
        <color rgb="FF000000"/>
        <rFont val="微軟正黑體"/>
        <family val="0"/>
        <charset val="1"/>
      </rPr>
      <t xml:space="preserve">PACS </t>
    </r>
    <r>
      <rPr>
        <sz val="8.5"/>
        <color rgb="FF000000"/>
        <rFont val="Noto Sans CJK SC"/>
        <family val="2"/>
      </rPr>
      <t xml:space="preserve">無片化給付價平均低 </t>
    </r>
    <r>
      <rPr>
        <sz val="8.5"/>
        <color rgb="FF000000"/>
        <rFont val="微軟正黑體"/>
        <family val="0"/>
        <charset val="1"/>
      </rPr>
      <t xml:space="preserve">5.9%——</t>
    </r>
    <r>
      <rPr>
        <sz val="8.5"/>
        <color rgb="FF000000"/>
        <rFont val="Noto Sans CJK SC"/>
        <family val="2"/>
      </rPr>
      <t xml:space="preserve">機制是回收底片節省，不是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加價。★ 付款論述必須從「請多付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費」改成「幫你省下這些成本」（白梅無紙化年省約 </t>
    </r>
    <r>
      <rPr>
        <sz val="8.5"/>
        <color rgb="FF000000"/>
        <rFont val="微軟正黑體"/>
        <family val="0"/>
        <charset val="1"/>
      </rPr>
      <t xml:space="preserve">100bn VND</t>
    </r>
    <r>
      <rPr>
        <sz val="8.5"/>
        <color rgb="FF000000"/>
        <rFont val="Noto Sans CJK SC"/>
        <family val="2"/>
      </rPr>
      <t xml:space="preserve">、底片月省約 </t>
    </r>
    <r>
      <rPr>
        <sz val="8.5"/>
        <color rgb="FF000000"/>
        <rFont val="微軟正黑體"/>
        <family val="0"/>
        <charset val="1"/>
      </rPr>
      <t xml:space="preserve">1bn VND</t>
    </r>
    <r>
      <rPr>
        <sz val="8.5"/>
        <color rgb="FF000000"/>
        <rFont val="Noto Sans CJK SC"/>
        <family val="2"/>
      </rPr>
      <t xml:space="preserve">）</t>
    </r>
  </si>
  <si>
    <t xml:space="preserve">C-05</t>
  </si>
  <si>
    <t xml:space="preserve">法規時程壓力</t>
  </si>
  <si>
    <t xml:space="preserve">2025/9–10</t>
  </si>
  <si>
    <r>
      <rPr>
        <sz val="8.5"/>
        <color rgb="FF000000"/>
        <rFont val="Noto Sans CJK SC"/>
        <family val="2"/>
      </rPr>
      <t xml:space="preserve">衛生部要求醫院 </t>
    </r>
    <r>
      <rPr>
        <sz val="8.5"/>
        <color rgb="FF000000"/>
        <rFont val="微軟正黑體"/>
        <family val="0"/>
        <charset val="1"/>
      </rPr>
      <t xml:space="preserve">2025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月前完成電子病歷（國家級醫院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月前）（</t>
    </r>
    <r>
      <rPr>
        <sz val="8.5"/>
        <color rgb="FF000000"/>
        <rFont val="微軟正黑體"/>
        <family val="0"/>
        <charset val="1"/>
      </rPr>
      <t xml:space="preserve">baochinhphu.vn</t>
    </r>
    <r>
      <rPr>
        <sz val="8.5"/>
        <color rgb="FF000000"/>
        <rFont val="Noto Sans CJK SC"/>
        <family val="2"/>
      </rPr>
      <t xml:space="preserve">）；</t>
    </r>
    <r>
      <rPr>
        <sz val="8.5"/>
        <color rgb="FF000000"/>
        <rFont val="微軟正黑體"/>
        <family val="0"/>
        <charset val="1"/>
      </rPr>
      <t xml:space="preserve">Decision 965/QĐ-BYT </t>
    </r>
    <r>
      <rPr>
        <sz val="8.5"/>
        <color rgb="FF000000"/>
        <rFont val="Noto Sans CJK SC"/>
        <family val="2"/>
      </rPr>
      <t xml:space="preserve">展延至 </t>
    </r>
    <r>
      <rPr>
        <sz val="8.5"/>
        <color rgb="FF000000"/>
        <rFont val="微軟正黑體"/>
        <family val="0"/>
        <charset val="1"/>
      </rPr>
      <t xml:space="preserve">2030 </t>
    </r>
    <r>
      <rPr>
        <sz val="8.5"/>
        <color rgb="FF000000"/>
        <rFont val="Noto Sans CJK SC"/>
        <family val="2"/>
      </rPr>
      <t xml:space="preserve">年 </t>
    </r>
    <r>
      <rPr>
        <sz val="8.5"/>
        <color rgb="FF000000"/>
        <rFont val="微軟正黑體"/>
        <family val="0"/>
        <charset val="1"/>
      </rPr>
      <t xml:space="preserve">100%</t>
    </r>
  </si>
  <si>
    <t xml:space="preserve">Regulatory Lead</t>
  </si>
  <si>
    <t xml:space="preserve">C-06</t>
  </si>
  <si>
    <t xml:space="preserve">以租代購法源</t>
  </si>
  <si>
    <r>
      <rPr>
        <sz val="9"/>
        <color rgb="FF000000"/>
        <rFont val="微軟正黑體"/>
        <family val="0"/>
        <charset val="1"/>
      </rPr>
      <t xml:space="preserve">Decree 73/2019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82/2024</t>
    </r>
  </si>
  <si>
    <r>
      <rPr>
        <sz val="8.5"/>
        <color rgb="FF000000"/>
        <rFont val="Noto Sans CJK SC"/>
        <family val="2"/>
      </rPr>
      <t xml:space="preserve">國家預算採購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服務租賃之法源；</t>
    </r>
    <r>
      <rPr>
        <sz val="8.5"/>
        <color rgb="FF000000"/>
        <rFont val="微軟正黑體"/>
        <family val="0"/>
        <charset val="1"/>
      </rPr>
      <t xml:space="preserve">82/2024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2024/7/10</t>
    </r>
    <r>
      <rPr>
        <sz val="8.5"/>
        <color rgb="FF000000"/>
        <rFont val="Noto Sans CJK SC"/>
        <family val="2"/>
      </rPr>
      <t xml:space="preserve">）鬆綁投資與租賃瓶頸（</t>
    </r>
    <r>
      <rPr>
        <sz val="8.5"/>
        <color rgb="FF000000"/>
        <rFont val="微軟正黑體"/>
        <family val="0"/>
        <charset val="1"/>
      </rPr>
      <t xml:space="preserve">mic.gov.vn</t>
    </r>
    <r>
      <rPr>
        <sz val="8.5"/>
        <color rgb="FF000000"/>
        <rFont val="Noto Sans CJK SC"/>
        <family val="2"/>
      </rPr>
      <t xml:space="preserve">）。★ 這個模式避開醫院無法一次編列資本支出的死結</t>
    </r>
  </si>
  <si>
    <t xml:space="preserve">C-07</t>
  </si>
  <si>
    <r>
      <rPr>
        <sz val="9"/>
        <color rgb="FF000000"/>
        <rFont val="Noto Sans CJK SC"/>
        <family val="2"/>
      </rPr>
      <t xml:space="preserve">合約年限 </t>
    </r>
    <r>
      <rPr>
        <sz val="9"/>
        <color rgb="FF000000"/>
        <rFont val="微軟正黑體"/>
        <family val="0"/>
        <charset val="1"/>
      </rPr>
      <t xml:space="preserve">36 </t>
    </r>
    <r>
      <rPr>
        <sz val="9"/>
        <color rgb="FF000000"/>
        <rFont val="Noto Sans CJK SC"/>
        <family val="2"/>
      </rPr>
      <t xml:space="preserve">個月起</t>
    </r>
  </si>
  <si>
    <r>
      <rPr>
        <sz val="9"/>
        <color rgb="FF000000"/>
        <rFont val="微軟正黑體"/>
        <family val="0"/>
        <charset val="1"/>
      </rPr>
      <t xml:space="preserve">36 </t>
    </r>
    <r>
      <rPr>
        <sz val="9"/>
        <color rgb="FF000000"/>
        <rFont val="Noto Sans CJK SC"/>
        <family val="2"/>
      </rPr>
      <t xml:space="preserve">個月</t>
    </r>
  </si>
  <si>
    <t xml:space="preserve">合約條款</t>
  </si>
  <si>
    <r>
      <rPr>
        <sz val="8.5"/>
        <color rgb="FF000000"/>
        <rFont val="微軟正黑體"/>
        <family val="0"/>
        <charset val="1"/>
      </rPr>
      <t xml:space="preserve">bvdkthaibinh.vn</t>
    </r>
    <r>
      <rPr>
        <sz val="8.5"/>
        <color rgb="FF000000"/>
        <rFont val="Noto Sans CJK SC"/>
        <family val="2"/>
      </rPr>
      <t xml:space="preserve">：越南 </t>
    </r>
    <r>
      <rPr>
        <sz val="8.5"/>
        <color rgb="FF000000"/>
        <rFont val="微軟正黑體"/>
        <family val="0"/>
        <charset val="1"/>
      </rPr>
      <t xml:space="preserve">EMR </t>
    </r>
    <r>
      <rPr>
        <sz val="8.5"/>
        <color rgb="FF000000"/>
        <rFont val="Noto Sans CJK SC"/>
        <family val="2"/>
      </rPr>
      <t xml:space="preserve">租賃 </t>
    </r>
    <r>
      <rPr>
        <sz val="8.5"/>
        <color rgb="FF000000"/>
        <rFont val="微軟正黑體"/>
        <family val="0"/>
        <charset val="1"/>
      </rPr>
      <t xml:space="preserve">RFQ </t>
    </r>
    <r>
      <rPr>
        <sz val="8.5"/>
        <color rgb="FF000000"/>
        <rFont val="Noto Sans CJK SC"/>
        <family val="2"/>
      </rPr>
      <t xml:space="preserve">多為 </t>
    </r>
    <r>
      <rPr>
        <sz val="8.5"/>
        <color rgb="FF000000"/>
        <rFont val="微軟正黑體"/>
        <family val="0"/>
        <charset val="1"/>
      </rPr>
      <t xml:space="preserve">36 </t>
    </r>
    <r>
      <rPr>
        <sz val="8.5"/>
        <color rgb="FF000000"/>
        <rFont val="Noto Sans CJK SC"/>
        <family val="2"/>
      </rPr>
      <t xml:space="preserve">個月、按季付款無預付。★ 代表現金流由聯盟先墊，須確認資金成本</t>
    </r>
  </si>
  <si>
    <t xml:space="preserve">C-08</t>
  </si>
  <si>
    <t xml:space="preserve">★ 一次性導入成本可攤薄</t>
  </si>
  <si>
    <r>
      <rPr>
        <sz val="9"/>
        <color rgb="FF000000"/>
        <rFont val="Noto Sans CJK SC"/>
        <family val="2"/>
      </rPr>
      <t xml:space="preserve">約 </t>
    </r>
    <r>
      <rPr>
        <sz val="9"/>
        <color rgb="FF000000"/>
        <rFont val="微軟正黑體"/>
        <family val="0"/>
        <charset val="1"/>
      </rPr>
      <t xml:space="preserve">1,053 </t>
    </r>
    <r>
      <rPr>
        <sz val="9"/>
        <color rgb="FF000000"/>
        <rFont val="Noto Sans CJK SC"/>
        <family val="2"/>
      </rPr>
      <t xml:space="preserve">萬 </t>
    </r>
    <r>
      <rPr>
        <sz val="9"/>
        <color rgb="FF000000"/>
        <rFont val="微軟正黑體"/>
        <family val="0"/>
        <charset val="1"/>
      </rPr>
      <t xml:space="preserve">TWD</t>
    </r>
  </si>
  <si>
    <r>
      <rPr>
        <sz val="8.5"/>
        <color rgb="FF000000"/>
        <rFont val="Noto Sans CJK SC"/>
        <family val="2"/>
      </rPr>
      <t xml:space="preserve">在地化 </t>
    </r>
    <r>
      <rPr>
        <sz val="8.5"/>
        <color rgb="FF000000"/>
        <rFont val="微軟正黑體"/>
        <family val="0"/>
        <charset val="1"/>
      </rPr>
      <t xml:space="preserve">371 </t>
    </r>
    <r>
      <rPr>
        <sz val="8.5"/>
        <color rgb="FF000000"/>
        <rFont val="Noto Sans CJK SC"/>
        <family val="2"/>
      </rPr>
      <t xml:space="preserve">萬＋資料移轉 </t>
    </r>
    <r>
      <rPr>
        <sz val="8.5"/>
        <color rgb="FF000000"/>
        <rFont val="微軟正黑體"/>
        <family val="0"/>
        <charset val="1"/>
      </rPr>
      <t xml:space="preserve">220 </t>
    </r>
    <r>
      <rPr>
        <sz val="8.5"/>
        <color rgb="FF000000"/>
        <rFont val="Noto Sans CJK SC"/>
        <family val="2"/>
      </rPr>
      <t xml:space="preserve">萬＋導入服務 </t>
    </r>
    <r>
      <rPr>
        <sz val="8.5"/>
        <color rgb="FF000000"/>
        <rFont val="微軟正黑體"/>
        <family val="0"/>
        <charset val="1"/>
      </rPr>
      <t xml:space="preserve">436 </t>
    </r>
    <r>
      <rPr>
        <sz val="8.5"/>
        <color rgb="FF000000"/>
        <rFont val="Noto Sans CJK SC"/>
        <family val="2"/>
      </rPr>
      <t xml:space="preserve">萬＋訓練 </t>
    </r>
    <r>
      <rPr>
        <sz val="8.5"/>
        <color rgb="FF000000"/>
        <rFont val="微軟正黑體"/>
        <family val="0"/>
        <charset val="1"/>
      </rPr>
      <t xml:space="preserve">136 </t>
    </r>
    <r>
      <rPr>
        <sz val="8.5"/>
        <color rgb="FF000000"/>
        <rFont val="Noto Sans CJK SC"/>
        <family val="2"/>
      </rPr>
      <t xml:space="preserve">萬－重複部分。複製到第 </t>
    </r>
    <r>
      <rPr>
        <sz val="8.5"/>
        <color rgb="FF000000"/>
        <rFont val="微軟正黑體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家醫院時可攤薄六成以上。★ 這是本案投資類別選「策略布局型」的核心理由</t>
    </r>
  </si>
  <si>
    <t xml:space="preserve">C-09</t>
  </si>
  <si>
    <t xml:space="preserve">投資類別＝策略布局型</t>
  </si>
  <si>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資本預算分類的「</t>
    </r>
    <r>
      <rPr>
        <sz val="8.5"/>
        <color rgb="FF000000"/>
        <rFont val="微軟正黑體"/>
        <family val="0"/>
        <charset val="1"/>
      </rPr>
      <t xml:space="preserve">Other / </t>
    </r>
    <r>
      <rPr>
        <sz val="8.5"/>
        <color rgb="FF000000"/>
        <rFont val="Noto Sans CJK SC"/>
        <family val="2"/>
      </rPr>
      <t xml:space="preserve">高風險」：現金流高度不確定，需超越傳統資本預算的方法（實質選擇權、階段式關卡）。第一家醫院的價值在於取得參考案例（</t>
    </r>
    <r>
      <rPr>
        <sz val="8.5"/>
        <color rgb="FF000000"/>
        <rFont val="微軟正黑體"/>
        <family val="0"/>
        <charset val="1"/>
      </rPr>
      <t xml:space="preserve">reference site</t>
    </r>
    <r>
      <rPr>
        <sz val="8.5"/>
        <color rgb="FF000000"/>
        <rFont val="Noto Sans CJK SC"/>
        <family val="2"/>
      </rPr>
      <t xml:space="preserve">），不在單案回收</t>
    </r>
  </si>
  <si>
    <t xml:space="preserve">C-10</t>
  </si>
  <si>
    <r>
      <rPr>
        <sz val="9"/>
        <color rgb="FF000000"/>
        <rFont val="Noto Sans CJK SC"/>
        <family val="2"/>
      </rPr>
      <t xml:space="preserve">應收帳款 </t>
    </r>
    <r>
      <rPr>
        <sz val="9"/>
        <color rgb="FF000000"/>
        <rFont val="微軟正黑體"/>
        <family val="0"/>
        <charset val="1"/>
      </rPr>
      <t xml:space="preserve">90 </t>
    </r>
    <r>
      <rPr>
        <sz val="9"/>
        <color rgb="FF000000"/>
        <rFont val="Noto Sans CJK SC"/>
        <family val="2"/>
      </rPr>
      <t xml:space="preserve">天</t>
    </r>
  </si>
  <si>
    <r>
      <rPr>
        <sz val="9"/>
        <color rgb="FF000000"/>
        <rFont val="微軟正黑體"/>
        <family val="0"/>
        <charset val="1"/>
      </rPr>
      <t xml:space="preserve">90 </t>
    </r>
    <r>
      <rPr>
        <sz val="9"/>
        <color rgb="FF000000"/>
        <rFont val="Noto Sans CJK SC"/>
        <family val="2"/>
      </rPr>
      <t xml:space="preserve">天</t>
    </r>
  </si>
  <si>
    <r>
      <rPr>
        <sz val="8.5"/>
        <color rgb="FF000000"/>
        <rFont val="Noto Sans CJK SC"/>
        <family val="2"/>
      </rPr>
      <t xml:space="preserve">按季付款無預付 ⇒ 平均應收約 </t>
    </r>
    <r>
      <rPr>
        <sz val="8.5"/>
        <color rgb="FF000000"/>
        <rFont val="微軟正黑體"/>
        <family val="0"/>
        <charset val="1"/>
      </rPr>
      <t xml:space="preserve">90 </t>
    </r>
    <r>
      <rPr>
        <sz val="8.5"/>
        <color rgb="FF000000"/>
        <rFont val="Noto Sans CJK SC"/>
        <family val="2"/>
      </rPr>
      <t xml:space="preserve">天。★ 這比一般軟體業的 </t>
    </r>
    <r>
      <rPr>
        <sz val="8.5"/>
        <color rgb="FF000000"/>
        <rFont val="微軟正黑體"/>
        <family val="0"/>
        <charset val="1"/>
      </rPr>
      <t xml:space="preserve">30–45 </t>
    </r>
    <r>
      <rPr>
        <sz val="8.5"/>
        <color rgb="FF000000"/>
        <rFont val="Noto Sans CJK SC"/>
        <family val="2"/>
      </rPr>
      <t xml:space="preserve">天長一倍，是本案的營運資金壓力來源</t>
    </r>
  </si>
  <si>
    <t xml:space="preserve">C-11</t>
  </si>
  <si>
    <r>
      <rPr>
        <sz val="9"/>
        <color rgb="FF000000"/>
        <rFont val="微軟正黑體"/>
        <family val="0"/>
        <charset val="1"/>
      </rPr>
      <t xml:space="preserve">FHIR </t>
    </r>
    <r>
      <rPr>
        <sz val="9"/>
        <color rgb="FF000000"/>
        <rFont val="Noto Sans CJK SC"/>
        <family val="2"/>
      </rPr>
      <t xml:space="preserve">本地 </t>
    </r>
    <r>
      <rPr>
        <sz val="9"/>
        <color rgb="FF000000"/>
        <rFont val="微軟正黑體"/>
        <family val="0"/>
        <charset val="1"/>
      </rPr>
      <t xml:space="preserve">IG </t>
    </r>
    <r>
      <rPr>
        <sz val="9"/>
        <color rgb="FF000000"/>
        <rFont val="Noto Sans CJK SC"/>
        <family val="2"/>
      </rPr>
      <t xml:space="preserve">為試用版</t>
    </r>
  </si>
  <si>
    <r>
      <rPr>
        <sz val="8.5"/>
        <color rgb="FF000000"/>
        <rFont val="微軟正黑體"/>
        <family val="0"/>
        <charset val="1"/>
      </rPr>
      <t xml:space="preserve">Decision 2146/QĐ-BYT </t>
    </r>
    <r>
      <rPr>
        <sz val="8.5"/>
        <color rgb="FF000000"/>
        <rFont val="Noto Sans CJK SC"/>
        <family val="2"/>
      </rPr>
      <t xml:space="preserve">指定 </t>
    </r>
    <r>
      <rPr>
        <sz val="8.5"/>
        <color rgb="FF000000"/>
        <rFont val="微軟正黑體"/>
        <family val="0"/>
        <charset val="1"/>
      </rPr>
      <t xml:space="preserve">HL7 FHIR R4</t>
    </r>
    <r>
      <rPr>
        <sz val="8.5"/>
        <color rgb="FF000000"/>
        <rFont val="Noto Sans CJK SC"/>
        <family val="2"/>
      </rPr>
      <t xml:space="preserve">，但越南本地 </t>
    </r>
    <r>
      <rPr>
        <sz val="8.5"/>
        <color rgb="FF000000"/>
        <rFont val="微軟正黑體"/>
        <family val="0"/>
        <charset val="1"/>
      </rPr>
      <t xml:space="preserve">Implementation Guide </t>
    </r>
    <r>
      <rPr>
        <sz val="8.5"/>
        <color rgb="FF000000"/>
        <rFont val="Noto Sans CJK SC"/>
        <family val="2"/>
      </rPr>
      <t xml:space="preserve">仍為試用版，規格變更風險已編列於 </t>
    </r>
    <r>
      <rPr>
        <sz val="8.5"/>
        <color rgb="FF000000"/>
        <rFont val="微軟正黑體"/>
        <family val="0"/>
        <charset val="1"/>
      </rPr>
      <t xml:space="preserve">OPEX</t>
    </r>
  </si>
  <si>
    <t xml:space="preserve">Interoperability Architect</t>
  </si>
  <si>
    <t xml:space="preserve">C-12</t>
  </si>
  <si>
    <r>
      <rPr>
        <sz val="9"/>
        <color rgb="FF000000"/>
        <rFont val="Noto Sans CJK SC"/>
        <family val="2"/>
      </rPr>
      <t xml:space="preserve">爬坡率 </t>
    </r>
    <r>
      <rPr>
        <sz val="9"/>
        <color rgb="FF000000"/>
        <rFont val="微軟正黑體"/>
        <family val="0"/>
        <charset val="1"/>
      </rPr>
      <t xml:space="preserve">40/75/100%</t>
    </r>
  </si>
  <si>
    <t xml:space="preserve">分階段上線：門診 → 住院與檢驗 → 全院無紙化。須與院方變革管理計畫對齊</t>
  </si>
  <si>
    <t xml:space="preserve">Change Lead</t>
  </si>
  <si>
    <t xml:space="preserve">狀態統計</t>
  </si>
  <si>
    <t xml:space="preserve">報價</t>
  </si>
  <si>
    <t xml:space="preserve">推測</t>
  </si>
  <si>
    <r>
      <rPr>
        <b val="true"/>
        <sz val="10"/>
        <color rgb="FFC00000"/>
        <rFont val="Noto Sans CJK SC"/>
        <family val="2"/>
      </rPr>
      <t xml:space="preserve">★ 只要「推測」的數量不是 </t>
    </r>
    <r>
      <rPr>
        <b val="true"/>
        <sz val="10"/>
        <color rgb="FFC00000"/>
        <rFont val="微軟正黑體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，這份模型就不能直接送投資決策。</t>
    </r>
  </si>
  <si>
    <t xml:space="preserve">L_Cur</t>
  </si>
  <si>
    <t xml:space="preserve">L_Unit</t>
  </si>
  <si>
    <t xml:space="preserve">L_DiscSrc</t>
  </si>
  <si>
    <t xml:space="preserve">L_VatC</t>
  </si>
  <si>
    <t xml:space="preserve">L_TV</t>
  </si>
  <si>
    <t xml:space="preserve">L_CapCat</t>
  </si>
  <si>
    <t xml:space="preserve">L_Origin</t>
  </si>
  <si>
    <t xml:space="preserve">L_Dep</t>
  </si>
  <si>
    <t xml:space="preserve">L_OpCat</t>
  </si>
  <si>
    <t xml:space="preserve">L_CostType</t>
  </si>
  <si>
    <t xml:space="preserve">L_Status</t>
  </si>
  <si>
    <t xml:space="preserve">L_Alloc</t>
  </si>
  <si>
    <t xml:space="preserve">L_Industry</t>
  </si>
  <si>
    <t xml:space="preserve">L_W1</t>
  </si>
  <si>
    <t xml:space="preserve">L_W2</t>
  </si>
  <si>
    <t xml:space="preserve">L_W4</t>
  </si>
  <si>
    <t xml:space="preserve">L_Role</t>
  </si>
  <si>
    <r>
      <rPr>
        <sz val="11"/>
        <color theme="1"/>
        <rFont val="Calibri"/>
        <family val="2"/>
        <charset val="1"/>
      </rPr>
      <t xml:space="preserve">TWD </t>
    </r>
    <r>
      <rPr>
        <sz val="11"/>
        <color theme="1"/>
        <rFont val="Noto Sans CJK SC"/>
        <family val="2"/>
      </rPr>
      <t xml:space="preserve">新台幣</t>
    </r>
  </si>
  <si>
    <r>
      <rPr>
        <sz val="11"/>
        <color theme="1"/>
        <rFont val="Noto Sans CJK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Unit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</si>
  <si>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Noto Sans CJK SC"/>
        <family val="2"/>
      </rPr>
      <t xml:space="preserve">分頁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</si>
  <si>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Noto Sans CJK SC"/>
        <family val="2"/>
      </rPr>
      <t xml:space="preserve">否 — 醫療服務免 </t>
    </r>
    <r>
      <rPr>
        <sz val="11"/>
        <color theme="1"/>
        <rFont val="Calibri"/>
        <family val="2"/>
        <charset val="1"/>
      </rPr>
      <t xml:space="preserve">VAT</t>
    </r>
  </si>
  <si>
    <r>
      <rPr>
        <sz val="11"/>
        <color theme="1"/>
        <rFont val="Noto Sans CJK SC"/>
        <family val="2"/>
      </rPr>
      <t xml:space="preserve">殘值法 </t>
    </r>
    <r>
      <rPr>
        <sz val="11"/>
        <color theme="1"/>
        <rFont val="Calibri"/>
        <family val="2"/>
        <charset val="1"/>
      </rPr>
      <t xml:space="preserve">Salvage</t>
    </r>
    <r>
      <rPr>
        <sz val="11"/>
        <color theme="1"/>
        <rFont val="Noto Sans CJK SC"/>
        <family val="2"/>
      </rPr>
      <t xml:space="preserve">（有限年期資產）</t>
    </r>
  </si>
  <si>
    <r>
      <rPr>
        <sz val="11"/>
        <color theme="1"/>
        <rFont val="Noto Sans CJK SC"/>
        <family val="2"/>
      </rPr>
      <t xml:space="preserve">建物與裝修 </t>
    </r>
    <r>
      <rPr>
        <sz val="11"/>
        <color theme="1"/>
        <rFont val="Calibri"/>
        <family val="2"/>
        <charset val="1"/>
      </rPr>
      <t xml:space="preserve">Building</t>
    </r>
  </si>
  <si>
    <r>
      <rPr>
        <sz val="11"/>
        <color theme="1"/>
        <rFont val="Noto Sans CJK SC"/>
        <family val="2"/>
      </rPr>
      <t xml:space="preserve">直接分攤 </t>
    </r>
    <r>
      <rPr>
        <sz val="11"/>
        <color theme="1"/>
        <rFont val="Calibri"/>
        <family val="2"/>
        <charset val="1"/>
      </rPr>
      <t xml:space="preserve">Direct</t>
    </r>
  </si>
  <si>
    <t xml:space="preserve">Hospitals / Healthcare Facilities (βu 0.55)</t>
  </si>
  <si>
    <t xml:space="preserve">有，而且金額算得準（有給付碼、正式報價或可比市場）</t>
  </si>
  <si>
    <t xml:space="preserve">別的專案做不成，或成本會大增</t>
  </si>
  <si>
    <t xml:space="preserve">會停擺——沒得選，一定要做</t>
  </si>
  <si>
    <t xml:space="preserve">專案總監</t>
  </si>
  <si>
    <r>
      <rPr>
        <sz val="11"/>
        <color theme="1"/>
        <rFont val="Calibri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</si>
  <si>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千元 </t>
    </r>
    <r>
      <rPr>
        <sz val="11"/>
        <color theme="1"/>
        <rFont val="Calibri"/>
        <family val="2"/>
        <charset val="1"/>
      </rPr>
      <t xml:space="preserve">Thousand</t>
    </r>
  </si>
  <si>
    <t xml:space="preserve">手動輸入</t>
  </si>
  <si>
    <t xml:space="preserve">是 — 可扣抵</t>
  </si>
  <si>
    <r>
      <rPr>
        <sz val="11"/>
        <color theme="1"/>
        <rFont val="Noto Sans CJK SC"/>
        <family val="2"/>
      </rPr>
      <t xml:space="preserve">永續成長法 </t>
    </r>
    <r>
      <rPr>
        <sz val="11"/>
        <color theme="1"/>
        <rFont val="Calibri"/>
        <family val="2"/>
        <charset val="1"/>
      </rPr>
      <t xml:space="preserve">Gordon growth</t>
    </r>
  </si>
  <si>
    <r>
      <rPr>
        <sz val="11"/>
        <color theme="1"/>
        <rFont val="Noto Sans CJK SC"/>
        <family val="2"/>
      </rPr>
      <t xml:space="preserve">醫療設備 </t>
    </r>
    <r>
      <rPr>
        <sz val="11"/>
        <color theme="1"/>
        <rFont val="Calibri"/>
        <family val="2"/>
        <charset val="1"/>
      </rPr>
      <t xml:space="preserve">Medical equip</t>
    </r>
  </si>
  <si>
    <r>
      <rPr>
        <sz val="11"/>
        <color theme="1"/>
        <rFont val="Noto Sans CJK SC"/>
        <family val="2"/>
      </rPr>
      <t xml:space="preserve">作業基礎 </t>
    </r>
    <r>
      <rPr>
        <sz val="11"/>
        <color theme="1"/>
        <rFont val="Calibri"/>
        <family val="2"/>
        <charset val="1"/>
      </rPr>
      <t xml:space="preserve">ABC</t>
    </r>
  </si>
  <si>
    <t xml:space="preserve">Healthcare Support Services (βu 0.69)</t>
  </si>
  <si>
    <r>
      <rPr>
        <sz val="11"/>
        <color theme="1"/>
        <rFont val="Noto Sans CJK SC"/>
        <family val="2"/>
      </rPr>
      <t xml:space="preserve">有，但金額還算不準（要等市場成熟，或要等第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個客戶）</t>
    </r>
  </si>
  <si>
    <t xml:space="preserve">會被罰、被要求停業，或失去投標資格</t>
  </si>
  <si>
    <t xml:space="preserve">不會，還能撐一段時間——有得選</t>
  </si>
  <si>
    <r>
      <rPr>
        <sz val="11"/>
        <color theme="1"/>
        <rFont val="Calibri"/>
        <family val="2"/>
        <charset val="1"/>
      </rPr>
      <t xml:space="preserve">VND </t>
    </r>
    <r>
      <rPr>
        <sz val="11"/>
        <color theme="1"/>
        <rFont val="Noto Sans CJK SC"/>
        <family val="2"/>
      </rPr>
      <t xml:space="preserve">越南盾</t>
    </r>
  </si>
  <si>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Million</t>
    </r>
  </si>
  <si>
    <r>
      <rPr>
        <sz val="11"/>
        <color theme="1"/>
        <rFont val="Noto Sans CJK SC"/>
        <family val="2"/>
      </rPr>
      <t xml:space="preserve">退出倍數法 </t>
    </r>
    <r>
      <rPr>
        <sz val="11"/>
        <color theme="1"/>
        <rFont val="Calibri"/>
        <family val="2"/>
        <charset val="1"/>
      </rPr>
      <t xml:space="preserve">Exit multiple</t>
    </r>
  </si>
  <si>
    <r>
      <rPr>
        <sz val="11"/>
        <color theme="1"/>
        <rFont val="Noto Sans CJK SC"/>
        <family val="2"/>
      </rPr>
      <t xml:space="preserve">機電設備 </t>
    </r>
    <r>
      <rPr>
        <sz val="11"/>
        <color theme="1"/>
        <rFont val="Calibri"/>
        <family val="2"/>
        <charset val="1"/>
      </rPr>
      <t xml:space="preserve">M&amp;E</t>
    </r>
  </si>
  <si>
    <t xml:space="preserve">耗材</t>
  </si>
  <si>
    <r>
      <rPr>
        <sz val="11"/>
        <color theme="1"/>
        <rFont val="Noto Sans CJK SC"/>
        <family val="2"/>
      </rPr>
      <t xml:space="preserve">固定分攤 </t>
    </r>
    <r>
      <rPr>
        <sz val="11"/>
        <color theme="1"/>
        <rFont val="Calibri"/>
        <family val="2"/>
        <charset val="1"/>
      </rPr>
      <t xml:space="preserve">Fixed</t>
    </r>
  </si>
  <si>
    <t xml:space="preserve">Healthcare Products (βu 0.83)</t>
  </si>
  <si>
    <t xml:space="preserve">沒有（不對外收費，或只有聯盟內部轉付）</t>
  </si>
  <si>
    <t xml:space="preserve">某一筆既有支出會繼續花下去</t>
  </si>
  <si>
    <t xml:space="preserve">不計終值</t>
  </si>
  <si>
    <r>
      <rPr>
        <sz val="11"/>
        <color theme="1"/>
        <rFont val="Noto Sans CJK SC"/>
        <family val="2"/>
      </rPr>
      <t xml:space="preserve">電腦與網通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</si>
  <si>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共用服務 </t>
    </r>
    <r>
      <rPr>
        <sz val="11"/>
        <color theme="1"/>
        <rFont val="Calibri"/>
        <family val="2"/>
        <charset val="1"/>
      </rPr>
      <t xml:space="preserve">Shared</t>
    </r>
  </si>
  <si>
    <t xml:space="preserve">Information Services (βu 0.74)</t>
  </si>
  <si>
    <t xml:space="preserve">現有營運會中斷</t>
  </si>
  <si>
    <r>
      <rPr>
        <sz val="11"/>
        <color theme="1"/>
        <rFont val="Noto Sans CJK SC"/>
        <family val="2"/>
      </rPr>
      <t xml:space="preserve">軟體與無形 </t>
    </r>
    <r>
      <rPr>
        <sz val="11"/>
        <color theme="1"/>
        <rFont val="Calibri"/>
        <family val="2"/>
        <charset val="1"/>
      </rPr>
      <t xml:space="preserve">Software</t>
    </r>
  </si>
  <si>
    <r>
      <rPr>
        <sz val="11"/>
        <color theme="1"/>
        <rFont val="Noto Sans CJK SC"/>
        <family val="2"/>
      </rPr>
      <t xml:space="preserve">加權分攤 </t>
    </r>
    <r>
      <rPr>
        <sz val="11"/>
        <color theme="1"/>
        <rFont val="Calibri"/>
        <family val="2"/>
        <charset val="1"/>
      </rPr>
      <t xml:space="preserve">Weighted</t>
    </r>
  </si>
  <si>
    <t xml:space="preserve">設施維運</t>
  </si>
  <si>
    <r>
      <rPr>
        <sz val="11"/>
        <color theme="1"/>
        <rFont val="Noto Sans CJK SC"/>
        <family val="2"/>
      </rPr>
      <t xml:space="preserve">費用化 </t>
    </r>
    <r>
      <rPr>
        <sz val="11"/>
        <color theme="1"/>
        <rFont val="Calibri"/>
        <family val="2"/>
        <charset val="1"/>
      </rPr>
      <t xml:space="preserve">Expensed</t>
    </r>
  </si>
  <si>
    <t xml:space="preserve">Telecom Equipment (βu 0.86)</t>
  </si>
  <si>
    <t xml:space="preserve">網路</t>
  </si>
  <si>
    <r>
      <rPr>
        <sz val="11"/>
        <color theme="1"/>
        <rFont val="Calibri"/>
        <family val="2"/>
        <charset val="1"/>
      </rPr>
      <t xml:space="preserve">R.E.I.T. — </t>
    </r>
    <r>
      <rPr>
        <sz val="11"/>
        <color theme="1"/>
        <rFont val="Noto Sans CJK SC"/>
        <family val="2"/>
      </rPr>
      <t xml:space="preserve">資料中心參考下界 </t>
    </r>
    <r>
      <rPr>
        <sz val="11"/>
        <color theme="1"/>
        <rFont val="Calibri"/>
        <family val="2"/>
        <charset val="1"/>
      </rPr>
      <t xml:space="preserve">(βu 0.39)</t>
    </r>
  </si>
  <si>
    <t xml:space="preserve">保險</t>
  </si>
  <si>
    <r>
      <rPr>
        <sz val="11"/>
        <color theme="1"/>
        <rFont val="Noto Sans CJK SC"/>
        <family val="2"/>
      </rPr>
      <t xml:space="preserve">自訂 </t>
    </r>
    <r>
      <rPr>
        <sz val="11"/>
        <color theme="1"/>
        <rFont val="Calibri"/>
        <family val="2"/>
        <charset val="1"/>
      </rPr>
      <t xml:space="preserve">Custom</t>
    </r>
  </si>
  <si>
    <t xml:space="preserve">HR</t>
  </si>
  <si>
    <t xml:space="preserve">採購</t>
  </si>
  <si>
    <t xml:space="preserve">放射科</t>
  </si>
  <si>
    <t xml:space="preserve">品保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</si>
</sst>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General"/>
    <numFmt numFmtId="166" formatCode="#,##0.0"/>
    <numFmt numFmtId="167" formatCode="#,##0.000000"/>
    <numFmt numFmtId="168" formatCode="#,##0"/>
    <numFmt numFmtId="169" formatCode="@"/>
    <numFmt numFmtId="170" formatCode="0"/>
    <numFmt numFmtId="171" formatCode="0.0%"/>
    <numFmt numFmtId="172" formatCode="#,##0.##"/>
    <numFmt numFmtId="173" formatCode="#,##0;\(#,##0\);\-"/>
    <numFmt numFmtId="174" formatCode="#,##0;\(#,##0\);;"/>
    <numFmt numFmtId="175" formatCode="0.0000"/>
    <numFmt numFmtId="176" formatCode="0.00"/>
    <numFmt numFmtId="177" formatCode="0.0"/>
    <numFmt numFmtId="178" formatCode="0.00%"/>
    <numFmt numFmtId="179" formatCode="0.000"/>
    <numFmt numFmtId="180" formatCode="\+0%;\-0%;0%"/>
    <numFmt numFmtId="181" formatCode="\+0.0%;\-0.0%;0.0%"/>
    <numFmt numFmtId="182" formatCode="\+0.0%;\-0.0%"/>
  </numFmts>
  <fonts count="1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</font>
    <font>
      <i val="true"/>
      <sz val="9.5"/>
      <color rgb="FF404040"/>
      <name val="微軟正黑體"/>
      <family val="0"/>
      <charset val="1"/>
    </font>
    <font>
      <b val="true"/>
      <sz val="12"/>
      <color rgb="FF1F3864"/>
      <name val="Noto Sans CJK SC"/>
      <family val="2"/>
    </font>
    <font>
      <sz val="10.5"/>
      <color rgb="FF1F3864"/>
      <name val="Noto Sans CJK SC"/>
      <family val="2"/>
    </font>
    <font>
      <sz val="10.5"/>
      <color rgb="FF1F3864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微軟正黑體"/>
      <family val="0"/>
      <charset val="1"/>
    </font>
    <font>
      <b val="true"/>
      <sz val="9.5"/>
      <color rgb="FF1F3864"/>
      <name val="Noto Sans CJK SC"/>
      <family val="2"/>
    </font>
    <font>
      <sz val="9"/>
      <color rgb="FF404050"/>
      <name val="Noto Sans CJK SC"/>
      <family val="2"/>
    </font>
    <font>
      <sz val="9"/>
      <color rgb="FF404050"/>
      <name val="微軟正黑體"/>
      <family val="0"/>
      <charset val="1"/>
    </font>
    <font>
      <b val="true"/>
      <sz val="9.5"/>
      <color rgb="FF2E747A"/>
      <name val="微軟正黑體"/>
      <family val="0"/>
      <charset val="1"/>
    </font>
    <font>
      <b val="true"/>
      <sz val="9.5"/>
      <color rgb="FF2E747A"/>
      <name val="Noto Sans CJK SC"/>
      <family val="2"/>
    </font>
    <font>
      <b val="true"/>
      <sz val="11"/>
      <color rgb="FFBF8F00"/>
      <name val="微軟正黑體"/>
      <family val="0"/>
      <charset val="1"/>
    </font>
    <font>
      <b val="true"/>
      <sz val="9.5"/>
      <color rgb="FFBF8F00"/>
      <name val="Noto Sans CJK SC"/>
      <family val="2"/>
    </font>
    <font>
      <b val="true"/>
      <sz val="10"/>
      <color rgb="FF2E747A"/>
      <name val="Noto Sans CJK SC"/>
      <family val="2"/>
    </font>
    <font>
      <b val="true"/>
      <sz val="10"/>
      <color rgb="FF2E747A"/>
      <name val="微軟正黑體"/>
      <family val="0"/>
      <charset val="1"/>
    </font>
    <font>
      <b val="true"/>
      <sz val="9.5"/>
      <color rgb="FFC00000"/>
      <name val="Noto Sans CJK SC"/>
      <family val="2"/>
    </font>
    <font>
      <b val="true"/>
      <sz val="9.5"/>
      <color rgb="FFC0000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12"/>
      <color rgb="FF1F3864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10.5"/>
      <color rgb="FF000000"/>
      <name val="微軟正黑體"/>
      <family val="0"/>
      <charset val="1"/>
    </font>
    <font>
      <b val="true"/>
      <sz val="10.5"/>
      <color rgb="FF000000"/>
      <name val="Noto Sans CJK SC"/>
      <family val="2"/>
    </font>
    <font>
      <sz val="9"/>
      <color rgb="FF808080"/>
      <name val="微軟正黑體"/>
      <family val="0"/>
      <charset val="1"/>
    </font>
    <font>
      <sz val="9"/>
      <color rgb="FF606060"/>
      <name val="Noto Sans CJK SC"/>
      <family val="2"/>
    </font>
    <font>
      <sz val="9"/>
      <color rgb="FF606060"/>
      <name val="微軟正黑體"/>
      <family val="0"/>
      <charset val="1"/>
    </font>
    <font>
      <sz val="9.5"/>
      <color rgb="FF808080"/>
      <name val="Noto Sans CJK SC"/>
      <family val="2"/>
    </font>
    <font>
      <sz val="9"/>
      <color rgb="FF2F5597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b val="true"/>
      <sz val="9.5"/>
      <color rgb="FFBF8F00"/>
      <name val="微軟正黑體"/>
      <family val="0"/>
      <charset val="1"/>
    </font>
    <font>
      <b val="true"/>
      <sz val="12"/>
      <color rgb="FFBF8F00"/>
      <name val="微軟正黑體"/>
      <family val="0"/>
      <charset val="1"/>
    </font>
    <font>
      <b val="true"/>
      <sz val="12"/>
      <color rgb="FFBF8F00"/>
      <name val="Noto Sans CJK SC"/>
      <family val="2"/>
    </font>
    <font>
      <sz val="8.5"/>
      <color rgb="FFC00000"/>
      <name val="Noto Sans CJK SC"/>
      <family val="2"/>
    </font>
    <font>
      <sz val="8.5"/>
      <color rgb="FFC00000"/>
      <name val="微軟正黑體"/>
      <family val="0"/>
      <charset val="1"/>
    </font>
    <font>
      <b val="true"/>
      <sz val="9.5"/>
      <color rgb="FFFFFFFF"/>
      <name val="微軟正黑體"/>
      <family val="0"/>
      <charset val="1"/>
    </font>
    <font>
      <b val="true"/>
      <sz val="10.5"/>
      <color rgb="FF2F5597"/>
      <name val="微軟正黑體"/>
      <family val="0"/>
      <charset val="1"/>
    </font>
    <font>
      <sz val="9"/>
      <color rgb="FF80808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548235"/>
      <name val="Noto Sans CJK SC"/>
      <family val="2"/>
    </font>
    <font>
      <b val="true"/>
      <sz val="10"/>
      <color rgb="FF548235"/>
      <name val="微軟正黑體"/>
      <family val="0"/>
      <charset val="1"/>
    </font>
    <font>
      <b val="true"/>
      <sz val="10.5"/>
      <color rgb="FFC00000"/>
      <name val="Noto Sans CJK SC"/>
      <family val="2"/>
    </font>
    <font>
      <b val="true"/>
      <sz val="11"/>
      <color rgb="FF1F3864"/>
      <name val="Noto Sans CJK SC"/>
      <family val="2"/>
    </font>
    <font>
      <sz val="8.5"/>
      <color rgb="FF505050"/>
      <name val="Noto Sans CJK SC"/>
      <family val="2"/>
    </font>
    <font>
      <sz val="8.5"/>
      <color rgb="FF50505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2"/>
      <color rgb="FF548235"/>
      <name val="微軟正黑體"/>
      <family val="0"/>
      <charset val="1"/>
    </font>
    <font>
      <b val="true"/>
      <sz val="12"/>
      <color rgb="FF548235"/>
      <name val="Noto Sans CJK SC"/>
      <family val="2"/>
    </font>
    <font>
      <b val="true"/>
      <sz val="10.5"/>
      <color rgb="FF1F3864"/>
      <name val="Noto Sans CJK SC"/>
      <family val="2"/>
    </font>
    <font>
      <b val="true"/>
      <sz val="14"/>
      <color rgb="FF548235"/>
      <name val="微軟正黑體"/>
      <family val="0"/>
      <charset val="1"/>
    </font>
    <font>
      <b val="true"/>
      <sz val="10.5"/>
      <color rgb="FF1F3864"/>
      <name val="微軟正黑體"/>
      <family val="0"/>
      <charset val="1"/>
    </font>
    <font>
      <b val="true"/>
      <sz val="10"/>
      <color rgb="FFBF8F00"/>
      <name val="微軟正黑體"/>
      <family val="0"/>
      <charset val="1"/>
    </font>
    <font>
      <b val="true"/>
      <sz val="12"/>
      <color rgb="FFC00000"/>
      <name val="微軟正黑體"/>
      <family val="0"/>
      <charset val="1"/>
    </font>
    <font>
      <b val="true"/>
      <sz val="12"/>
      <color rgb="FFC00000"/>
      <name val="Noto Sans CJK SC"/>
      <family val="2"/>
    </font>
    <font>
      <b val="true"/>
      <sz val="10"/>
      <color rgb="FFC00000"/>
      <name val="微軟正黑體"/>
      <family val="0"/>
      <charset val="1"/>
    </font>
    <font>
      <sz val="9"/>
      <color rgb="FFC00000"/>
      <name val="Noto Sans CJK SC"/>
      <family val="2"/>
    </font>
    <font>
      <sz val="9"/>
      <color rgb="FFC00000"/>
      <name val="微軟正黑體"/>
      <family val="0"/>
      <charset val="1"/>
    </font>
    <font>
      <sz val="9.5"/>
      <color rgb="FF000000"/>
      <name val="Noto Sans CJK SC"/>
      <family val="2"/>
    </font>
    <font>
      <sz val="9"/>
      <color rgb="FF000000"/>
      <name val="微軟正黑體"/>
      <family val="0"/>
      <charset val="1"/>
    </font>
    <font>
      <sz val="9"/>
      <color rgb="FF000000"/>
      <name val="Noto Sans CJK SC"/>
      <family val="2"/>
    </font>
    <font>
      <sz val="9.5"/>
      <color rgb="FF000000"/>
      <name val="微軟正黑體"/>
      <family val="0"/>
      <charset val="1"/>
    </font>
    <font>
      <sz val="9.5"/>
      <color rgb="FF2F5597"/>
      <name val="微軟正黑體"/>
      <family val="0"/>
      <charset val="1"/>
    </font>
    <font>
      <b val="true"/>
      <sz val="9.5"/>
      <color rgb="FF2F5597"/>
      <name val="微軟正黑體"/>
      <family val="0"/>
      <charset val="1"/>
    </font>
    <font>
      <sz val="8"/>
      <color rgb="FF606060"/>
      <name val="微軟正黑體"/>
      <family val="0"/>
      <charset val="1"/>
    </font>
    <font>
      <sz val="8"/>
      <color rgb="FF60606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軟正黑體"/>
      <family val="0"/>
      <charset val="1"/>
    </font>
    <font>
      <b val="true"/>
      <sz val="9.5"/>
      <color rgb="FF808080"/>
      <name val="Noto Sans CJK SC"/>
      <family val="2"/>
    </font>
    <font>
      <sz val="9.5"/>
      <color rgb="FFC00000"/>
      <name val="Noto Sans CJK SC"/>
      <family val="2"/>
    </font>
    <font>
      <sz val="9.5"/>
      <color rgb="FFC00000"/>
      <name val="微軟正黑體"/>
      <family val="0"/>
      <charset val="1"/>
    </font>
    <font>
      <b val="true"/>
      <sz val="9.5"/>
      <color rgb="FF548235"/>
      <name val="Noto Sans CJK SC"/>
      <family val="2"/>
    </font>
    <font>
      <b val="true"/>
      <sz val="11"/>
      <color rgb="FF548235"/>
      <name val="Noto Sans CJK SC"/>
      <family val="2"/>
    </font>
    <font>
      <b val="true"/>
      <sz val="11"/>
      <color rgb="FF548235"/>
      <name val="微軟正黑體"/>
      <family val="0"/>
      <charset val="1"/>
    </font>
    <font>
      <b val="true"/>
      <sz val="13"/>
      <color rgb="FF548235"/>
      <name val="微軟正黑體"/>
      <family val="0"/>
      <charset val="1"/>
    </font>
    <font>
      <sz val="8.5"/>
      <color rgb="FF808080"/>
      <name val="微軟正黑體"/>
      <family val="0"/>
      <charset val="1"/>
    </font>
    <font>
      <sz val="8.5"/>
      <color rgb="FF2F5597"/>
      <name val="微軟正黑體"/>
      <family val="0"/>
      <charset val="1"/>
    </font>
    <font>
      <b val="true"/>
      <sz val="10"/>
      <color rgb="FFFFFFFF"/>
      <name val="微軟正黑體"/>
      <family val="0"/>
      <charset val="1"/>
    </font>
    <font>
      <b val="true"/>
      <sz val="10"/>
      <color rgb="FF2F5597"/>
      <name val="Noto Sans CJK SC"/>
      <family val="2"/>
    </font>
    <font>
      <b val="true"/>
      <sz val="10"/>
      <color rgb="FF2F5597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FFFFFF"/>
      <name val="微軟正黑體"/>
      <family val="0"/>
      <charset val="1"/>
    </font>
    <font>
      <sz val="9.5"/>
      <color rgb="FF1F3864"/>
      <name val="Noto Sans CJK SC"/>
      <family val="2"/>
    </font>
    <font>
      <sz val="9.5"/>
      <color rgb="FF1F3864"/>
      <name val="微軟正黑體"/>
      <family val="0"/>
      <charset val="1"/>
    </font>
    <font>
      <sz val="9.5"/>
      <color rgb="FF808080"/>
      <name val="微軟正黑體"/>
      <family val="0"/>
      <charset val="1"/>
    </font>
    <font>
      <sz val="8.5"/>
      <color rgb="FF808080"/>
      <name val="Noto Sans CJK SC"/>
      <family val="2"/>
    </font>
    <font>
      <b val="true"/>
      <sz val="9"/>
      <color rgb="FF2F5597"/>
      <name val="微軟正黑體"/>
      <family val="0"/>
      <charset val="1"/>
    </font>
    <font>
      <sz val="9.5"/>
      <color rgb="FFBF8F00"/>
      <name val="微軟正黑體"/>
      <family val="0"/>
      <charset val="1"/>
    </font>
    <font>
      <sz val="9.5"/>
      <color rgb="FF548235"/>
      <name val="微軟正黑體"/>
      <family val="0"/>
      <charset val="1"/>
    </font>
    <font>
      <sz val="9.5"/>
      <color rgb="FF7030A0"/>
      <name val="微軟正黑體"/>
      <family val="0"/>
      <charset val="1"/>
    </font>
    <font>
      <b val="true"/>
      <sz val="10.5"/>
      <color rgb="FF7030A0"/>
      <name val="微軟正黑體"/>
      <family val="0"/>
      <charset val="1"/>
    </font>
    <font>
      <b val="true"/>
      <sz val="9.5"/>
      <color rgb="FF808080"/>
      <name val="微軟正黑體"/>
      <family val="0"/>
      <charset val="1"/>
    </font>
    <font>
      <sz val="10"/>
      <color rgb="FF7030A0"/>
      <name val="微軟正黑體"/>
      <family val="0"/>
      <charset val="1"/>
    </font>
    <font>
      <b val="true"/>
      <sz val="9"/>
      <color rgb="FF548235"/>
      <name val="微軟正黑體"/>
      <family val="0"/>
      <charset val="1"/>
    </font>
    <font>
      <b val="true"/>
      <sz val="9"/>
      <color rgb="FF548235"/>
      <name val="Noto Sans CJK SC"/>
      <family val="2"/>
    </font>
    <font>
      <b val="true"/>
      <sz val="10"/>
      <color rgb="FF7030A0"/>
      <name val="微軟正黑體"/>
      <family val="0"/>
      <charset val="1"/>
    </font>
    <font>
      <b val="true"/>
      <sz val="11"/>
      <color rgb="FF7030A0"/>
      <name val="微軟正黑體"/>
      <family val="0"/>
      <charset val="1"/>
    </font>
    <font>
      <b val="true"/>
      <sz val="9.5"/>
      <color rgb="FF7030A0"/>
      <name val="微軟正黑體"/>
      <family val="0"/>
      <charset val="1"/>
    </font>
    <font>
      <b val="true"/>
      <sz val="10.5"/>
      <color rgb="FF2E747A"/>
      <name val="微軟正黑體"/>
      <family val="0"/>
      <charset val="1"/>
    </font>
    <font>
      <b val="true"/>
      <sz val="12"/>
      <color rgb="FF2E747A"/>
      <name val="微軟正黑體"/>
      <family val="0"/>
      <charset val="1"/>
    </font>
    <font>
      <b val="true"/>
      <sz val="12"/>
      <color rgb="FF2E747A"/>
      <name val="Noto Sans CJK SC"/>
      <family val="2"/>
    </font>
    <font>
      <b val="true"/>
      <sz val="9"/>
      <color rgb="FFFFFFFF"/>
      <name val="微軟正黑體"/>
      <family val="0"/>
      <charset val="1"/>
    </font>
    <font>
      <b val="true"/>
      <sz val="12"/>
      <color rgb="FFFFFFFF"/>
      <name val="微軟正黑體"/>
      <family val="0"/>
      <charset val="1"/>
    </font>
    <font>
      <b val="true"/>
      <sz val="12"/>
      <color rgb="FFFFFFFF"/>
      <name val="Noto Sans CJK SC"/>
      <family val="2"/>
    </font>
    <font>
      <b val="true"/>
      <sz val="16"/>
      <color rgb="FFFFFFFF"/>
      <name val="微軟正黑體"/>
      <family val="0"/>
      <charset val="1"/>
    </font>
    <font>
      <sz val="9"/>
      <color rgb="FF505050"/>
      <name val="Noto Sans CJK SC"/>
      <family val="2"/>
    </font>
    <font>
      <sz val="9"/>
      <color rgb="FF505050"/>
      <name val="微軟正黑體"/>
      <family val="0"/>
      <charset val="1"/>
    </font>
    <font>
      <b val="true"/>
      <sz val="11"/>
      <color rgb="FF2E747A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C00000"/>
      <name val="微軟正黑體"/>
      <family val="0"/>
      <charset val="1"/>
    </font>
    <font>
      <b val="true"/>
      <sz val="10.5"/>
      <color rgb="FFBF8F00"/>
      <name val="微軟正黑體"/>
      <family val="0"/>
      <charset val="1"/>
    </font>
    <font>
      <b val="true"/>
      <sz val="10.5"/>
      <color rgb="FF2E747A"/>
      <name val="Noto Sans CJK SC"/>
      <family val="2"/>
    </font>
    <font>
      <b val="true"/>
      <sz val="15"/>
      <color rgb="FF1F3864"/>
      <name val="微軟正黑體"/>
      <family val="0"/>
      <charset val="1"/>
    </font>
    <font>
      <b val="true"/>
      <sz val="15"/>
      <color rgb="FF548235"/>
      <name val="微軟正黑體"/>
      <family val="0"/>
      <charset val="1"/>
    </font>
    <font>
      <b val="true"/>
      <sz val="10.5"/>
      <color rgb="FF808080"/>
      <name val="微軟正黑體"/>
      <family val="0"/>
      <charset val="1"/>
    </font>
    <font>
      <b val="true"/>
      <sz val="15"/>
      <color rgb="FFBF8F00"/>
      <name val="微軟正黑體"/>
      <family val="0"/>
      <charset val="1"/>
    </font>
    <font>
      <b val="true"/>
      <sz val="15"/>
      <color rgb="FF2E747A"/>
      <name val="微軟正黑體"/>
      <family val="0"/>
      <charset val="1"/>
    </font>
    <font>
      <b val="true"/>
      <sz val="11.5"/>
      <color rgb="FF1F3864"/>
      <name val="微軟正黑體"/>
      <family val="0"/>
      <charset val="1"/>
    </font>
    <font>
      <sz val="10"/>
      <color rgb="FF1F3864"/>
      <name val="Noto Sans CJK SC"/>
      <family val="2"/>
    </font>
    <font>
      <sz val="10"/>
      <color rgb="FF1F3864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b val="true"/>
      <sz val="9"/>
      <color rgb="FF000000"/>
      <name val="微軟正黑體"/>
      <family val="0"/>
      <charset val="1"/>
    </font>
    <font>
      <sz val="11"/>
      <color theme="1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50"/>
      </patternFill>
    </fill>
    <fill>
      <patternFill patternType="solid">
        <fgColor rgb="FFFFF2CC"/>
        <bgColor rgb="FFFFFDF5"/>
      </patternFill>
    </fill>
    <fill>
      <patternFill patternType="solid">
        <fgColor rgb="FFF2F6FB"/>
        <bgColor rgb="FFFFFDF5"/>
      </patternFill>
    </fill>
    <fill>
      <patternFill patternType="solid">
        <fgColor rgb="FFFFFFFF"/>
        <bgColor rgb="FFFFFDF5"/>
      </patternFill>
    </fill>
    <fill>
      <patternFill patternType="solid">
        <fgColor rgb="FFF8CBAD"/>
        <bgColor rgb="FFDCEBD0"/>
      </patternFill>
    </fill>
    <fill>
      <patternFill patternType="solid">
        <fgColor rgb="FFFFFDF5"/>
        <bgColor rgb="FFFFFFFF"/>
      </patternFill>
    </fill>
    <fill>
      <patternFill patternType="solid">
        <fgColor rgb="FFDCEBD0"/>
        <bgColor rgb="FFD6E4F0"/>
      </patternFill>
    </fill>
    <fill>
      <patternFill patternType="solid">
        <fgColor rgb="FFD6E4F0"/>
        <bgColor rgb="FFDCEBD0"/>
      </patternFill>
    </fill>
    <fill>
      <patternFill patternType="solid">
        <fgColor rgb="FF548235"/>
        <bgColor rgb="FF339966"/>
      </patternFill>
    </fill>
    <fill>
      <patternFill patternType="solid">
        <fgColor rgb="FF2E747A"/>
        <bgColor rgb="FF2F5597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404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9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5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1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2"/>
      </font>
      <fill>
        <patternFill>
          <bgColor rgb="FFF8CBAD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  <dxf>
      <font>
        <name val="微軟正黑體"/>
        <charset val="1"/>
        <family val="0"/>
        <b val="1"/>
        <color rgb="FFFFFFFF"/>
        <sz val="16"/>
      </font>
      <fill>
        <patternFill>
          <bgColor rgb="FFC00000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BF8F00"/>
        <sz val="9"/>
      </font>
      <fill>
        <patternFill>
          <bgColor rgb="FFFFF2CC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47A"/>
      <rgbColor rgb="FFBFBFBF"/>
      <rgbColor rgb="FF808080"/>
      <rgbColor rgb="FF9999FF"/>
      <rgbColor rgb="FF7030A0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5"/>
      <rgbColor rgb="FFDCEBD0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06060"/>
      <rgbColor rgb="FF969696"/>
      <rgbColor rgb="FF1F3864"/>
      <rgbColor rgb="FF339966"/>
      <rgbColor rgb="FF003300"/>
      <rgbColor rgb="FF404050"/>
      <rgbColor rgb="FF993300"/>
      <rgbColor rgb="FF505050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26"/>
    <col collapsed="false" customWidth="true" hidden="false" outlineLevel="0" max="9" min="9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3" t="s">
        <v>4</v>
      </c>
    </row>
    <row r="11" customFormat="false" ht="27.75" hidden="false" customHeight="true" outlineLevel="0" collapsed="false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</row>
    <row r="12" customFormat="false" ht="57.75" hidden="false" customHeight="true" outlineLevel="0" collapsed="false">
      <c r="B12" s="6" t="s">
        <v>10</v>
      </c>
      <c r="C12" s="7" t="s">
        <v>11</v>
      </c>
      <c r="D12" s="8" t="s">
        <v>12</v>
      </c>
      <c r="E12" s="9" t="s">
        <v>13</v>
      </c>
      <c r="F12" s="7" t="s">
        <v>14</v>
      </c>
    </row>
    <row r="13" customFormat="false" ht="57.75" hidden="false" customHeight="true" outlineLevel="0" collapsed="false">
      <c r="B13" s="10" t="s">
        <v>15</v>
      </c>
      <c r="C13" s="11" t="s">
        <v>16</v>
      </c>
      <c r="D13" s="12" t="s">
        <v>17</v>
      </c>
      <c r="E13" s="13" t="s">
        <v>18</v>
      </c>
      <c r="F13" s="11" t="s">
        <v>19</v>
      </c>
    </row>
    <row r="14" customFormat="false" ht="57.75" hidden="false" customHeight="true" outlineLevel="0" collapsed="false">
      <c r="B14" s="6" t="s">
        <v>20</v>
      </c>
      <c r="C14" s="7" t="s">
        <v>21</v>
      </c>
      <c r="D14" s="7" t="s">
        <v>22</v>
      </c>
      <c r="E14" s="14" t="s">
        <v>23</v>
      </c>
      <c r="F14" s="7" t="s">
        <v>24</v>
      </c>
    </row>
    <row r="15" customFormat="false" ht="57.75" hidden="false" customHeight="true" outlineLevel="0" collapsed="false">
      <c r="B15" s="15" t="s">
        <v>25</v>
      </c>
      <c r="C15" s="16" t="s">
        <v>26</v>
      </c>
      <c r="D15" s="16" t="s">
        <v>27</v>
      </c>
      <c r="E15" s="17" t="s">
        <v>28</v>
      </c>
      <c r="F15" s="16" t="s">
        <v>29</v>
      </c>
    </row>
    <row r="16" customFormat="false" ht="57.75" hidden="false" customHeight="true" outlineLevel="0" collapsed="false">
      <c r="B16" s="6" t="s">
        <v>30</v>
      </c>
      <c r="C16" s="7" t="s">
        <v>31</v>
      </c>
      <c r="D16" s="7" t="s">
        <v>32</v>
      </c>
      <c r="E16" s="14" t="s">
        <v>33</v>
      </c>
      <c r="F16" s="7" t="s">
        <v>34</v>
      </c>
    </row>
    <row r="17" customFormat="false" ht="57.75" hidden="false" customHeight="true" outlineLevel="0" collapsed="false">
      <c r="B17" s="15" t="s">
        <v>35</v>
      </c>
      <c r="C17" s="16" t="s">
        <v>36</v>
      </c>
      <c r="D17" s="16" t="s">
        <v>37</v>
      </c>
      <c r="E17" s="17" t="s">
        <v>38</v>
      </c>
      <c r="F17" s="16" t="s">
        <v>39</v>
      </c>
    </row>
    <row r="19" customFormat="false" ht="15" hidden="false" customHeight="false" outlineLevel="0" collapsed="false">
      <c r="A19" s="3" t="s">
        <v>40</v>
      </c>
    </row>
    <row r="20" customFormat="false" ht="24" hidden="false" customHeight="true" outlineLevel="0" collapsed="false">
      <c r="B20" s="5" t="s">
        <v>41</v>
      </c>
      <c r="C20" s="5" t="s">
        <v>42</v>
      </c>
      <c r="D20" s="5" t="s">
        <v>43</v>
      </c>
      <c r="E20" s="5" t="s">
        <v>44</v>
      </c>
    </row>
    <row r="21" customFormat="false" ht="31.5" hidden="false" customHeight="true" outlineLevel="0" collapsed="false">
      <c r="B21" s="18" t="s">
        <v>45</v>
      </c>
      <c r="C21" s="19" t="s">
        <v>46</v>
      </c>
      <c r="D21" s="20" t="s">
        <v>47</v>
      </c>
      <c r="E21" s="21" t="s">
        <v>48</v>
      </c>
      <c r="F21" s="21"/>
      <c r="G21" s="21"/>
      <c r="H21" s="21"/>
    </row>
    <row r="22" customFormat="false" ht="31.5" hidden="false" customHeight="true" outlineLevel="0" collapsed="false">
      <c r="B22" s="18" t="s">
        <v>49</v>
      </c>
      <c r="C22" s="19" t="s">
        <v>50</v>
      </c>
      <c r="D22" s="20" t="s">
        <v>47</v>
      </c>
      <c r="E22" s="21" t="s">
        <v>51</v>
      </c>
      <c r="F22" s="21"/>
      <c r="G22" s="21"/>
      <c r="H22" s="21"/>
    </row>
    <row r="23" customFormat="false" ht="31.5" hidden="false" customHeight="true" outlineLevel="0" collapsed="false">
      <c r="B23" s="18" t="s">
        <v>52</v>
      </c>
      <c r="C23" s="19" t="s">
        <v>53</v>
      </c>
      <c r="D23" s="20" t="s">
        <v>47</v>
      </c>
      <c r="E23" s="22" t="s">
        <v>54</v>
      </c>
      <c r="F23" s="22"/>
      <c r="G23" s="22"/>
      <c r="H23" s="22"/>
    </row>
    <row r="24" customFormat="false" ht="31.5" hidden="false" customHeight="true" outlineLevel="0" collapsed="false">
      <c r="B24" s="18" t="s">
        <v>55</v>
      </c>
      <c r="C24" s="19" t="s">
        <v>56</v>
      </c>
      <c r="D24" s="20" t="s">
        <v>47</v>
      </c>
      <c r="E24" s="21" t="s">
        <v>57</v>
      </c>
      <c r="F24" s="21"/>
      <c r="G24" s="21"/>
      <c r="H24" s="21"/>
    </row>
    <row r="25" customFormat="false" ht="31.5" hidden="false" customHeight="true" outlineLevel="0" collapsed="false">
      <c r="B25" s="18" t="s">
        <v>58</v>
      </c>
      <c r="C25" s="19" t="s">
        <v>59</v>
      </c>
      <c r="D25" s="20" t="s">
        <v>47</v>
      </c>
      <c r="E25" s="21" t="s">
        <v>60</v>
      </c>
      <c r="F25" s="21"/>
      <c r="G25" s="21"/>
      <c r="H25" s="21"/>
    </row>
    <row r="26" customFormat="false" ht="31.5" hidden="false" customHeight="true" outlineLevel="0" collapsed="false">
      <c r="B26" s="18" t="s">
        <v>61</v>
      </c>
      <c r="C26" s="19" t="s">
        <v>62</v>
      </c>
      <c r="D26" s="23" t="s">
        <v>63</v>
      </c>
      <c r="E26" s="21" t="s">
        <v>64</v>
      </c>
      <c r="F26" s="21"/>
      <c r="G26" s="21"/>
      <c r="H26" s="21"/>
    </row>
    <row r="27" customFormat="false" ht="31.5" hidden="false" customHeight="true" outlineLevel="0" collapsed="false">
      <c r="B27" s="18" t="s">
        <v>65</v>
      </c>
      <c r="C27" s="19" t="s">
        <v>66</v>
      </c>
      <c r="D27" s="23" t="s">
        <v>63</v>
      </c>
      <c r="E27" s="21" t="s">
        <v>67</v>
      </c>
      <c r="F27" s="21"/>
      <c r="G27" s="21"/>
      <c r="H27" s="21"/>
    </row>
    <row r="28" customFormat="false" ht="31.5" hidden="false" customHeight="true" outlineLevel="0" collapsed="false">
      <c r="B28" s="18" t="s">
        <v>68</v>
      </c>
      <c r="C28" s="19" t="s">
        <v>69</v>
      </c>
      <c r="D28" s="23" t="s">
        <v>70</v>
      </c>
      <c r="E28" s="22" t="s">
        <v>71</v>
      </c>
      <c r="F28" s="22"/>
      <c r="G28" s="22"/>
      <c r="H28" s="22"/>
    </row>
    <row r="29" customFormat="false" ht="31.5" hidden="false" customHeight="true" outlineLevel="0" collapsed="false">
      <c r="B29" s="18" t="s">
        <v>72</v>
      </c>
      <c r="C29" s="19" t="s">
        <v>73</v>
      </c>
      <c r="D29" s="23" t="s">
        <v>63</v>
      </c>
      <c r="E29" s="21" t="s">
        <v>74</v>
      </c>
      <c r="F29" s="21"/>
      <c r="G29" s="21"/>
      <c r="H29" s="21"/>
    </row>
    <row r="30" customFormat="false" ht="31.5" hidden="false" customHeight="true" outlineLevel="0" collapsed="false">
      <c r="B30" s="18" t="s">
        <v>75</v>
      </c>
      <c r="C30" s="19" t="s">
        <v>76</v>
      </c>
      <c r="D30" s="23" t="s">
        <v>70</v>
      </c>
      <c r="E30" s="21" t="s">
        <v>77</v>
      </c>
      <c r="F30" s="21"/>
      <c r="G30" s="21"/>
      <c r="H30" s="21"/>
    </row>
    <row r="31" customFormat="false" ht="31.5" hidden="false" customHeight="true" outlineLevel="0" collapsed="false">
      <c r="B31" s="18" t="s">
        <v>78</v>
      </c>
      <c r="C31" s="19" t="s">
        <v>79</v>
      </c>
      <c r="D31" s="23" t="s">
        <v>63</v>
      </c>
      <c r="E31" s="21" t="s">
        <v>80</v>
      </c>
      <c r="F31" s="21"/>
      <c r="G31" s="21"/>
      <c r="H31" s="21"/>
    </row>
    <row r="32" customFormat="false" ht="31.5" hidden="false" customHeight="true" outlineLevel="0" collapsed="false">
      <c r="B32" s="18" t="s">
        <v>81</v>
      </c>
      <c r="C32" s="19" t="s">
        <v>82</v>
      </c>
      <c r="D32" s="20" t="s">
        <v>47</v>
      </c>
      <c r="E32" s="21" t="s">
        <v>83</v>
      </c>
      <c r="F32" s="21"/>
      <c r="G32" s="21"/>
      <c r="H32" s="21"/>
    </row>
    <row r="34" customFormat="false" ht="15" hidden="false" customHeight="false" outlineLevel="0" collapsed="false">
      <c r="A34" s="3" t="s">
        <v>84</v>
      </c>
    </row>
    <row r="35" customFormat="false" ht="45.75" hidden="false" customHeight="true" outlineLevel="0" collapsed="false">
      <c r="B35" s="24" t="s">
        <v>85</v>
      </c>
      <c r="C35" s="22" t="s">
        <v>86</v>
      </c>
      <c r="D35" s="22"/>
      <c r="E35" s="22"/>
      <c r="F35" s="22"/>
      <c r="G35" s="22"/>
      <c r="H35" s="22"/>
    </row>
    <row r="36" customFormat="false" ht="45.75" hidden="false" customHeight="true" outlineLevel="0" collapsed="false">
      <c r="B36" s="25" t="s">
        <v>87</v>
      </c>
      <c r="C36" s="22" t="s">
        <v>88</v>
      </c>
      <c r="D36" s="22"/>
      <c r="E36" s="22"/>
      <c r="F36" s="22"/>
      <c r="G36" s="22"/>
      <c r="H36" s="22"/>
    </row>
    <row r="37" customFormat="false" ht="45.75" hidden="false" customHeight="true" outlineLevel="0" collapsed="false">
      <c r="B37" s="24" t="s">
        <v>89</v>
      </c>
      <c r="C37" s="21" t="s">
        <v>90</v>
      </c>
      <c r="D37" s="21"/>
      <c r="E37" s="21"/>
      <c r="F37" s="21"/>
      <c r="G37" s="21"/>
      <c r="H37" s="21"/>
    </row>
    <row r="38" customFormat="false" ht="45.75" hidden="false" customHeight="true" outlineLevel="0" collapsed="false">
      <c r="B38" s="24" t="s">
        <v>91</v>
      </c>
      <c r="C38" s="21" t="s">
        <v>92</v>
      </c>
      <c r="D38" s="21"/>
      <c r="E38" s="21"/>
      <c r="F38" s="21"/>
      <c r="G38" s="21"/>
      <c r="H38" s="21"/>
    </row>
    <row r="39" customFormat="false" ht="45.75" hidden="false" customHeight="true" outlineLevel="0" collapsed="false">
      <c r="B39" s="25" t="s">
        <v>93</v>
      </c>
      <c r="C39" s="21" t="s">
        <v>94</v>
      </c>
      <c r="D39" s="21"/>
      <c r="E39" s="21"/>
      <c r="F39" s="21"/>
      <c r="G39" s="21"/>
      <c r="H39" s="21"/>
    </row>
    <row r="40" customFormat="false" ht="45.75" hidden="false" customHeight="true" outlineLevel="0" collapsed="false">
      <c r="B40" s="25" t="s">
        <v>95</v>
      </c>
      <c r="C40" s="22" t="s">
        <v>96</v>
      </c>
      <c r="D40" s="22"/>
      <c r="E40" s="22"/>
      <c r="F40" s="22"/>
      <c r="G40" s="22"/>
      <c r="H40" s="22"/>
    </row>
    <row r="42" customFormat="false" ht="15" hidden="false" customHeight="true" outlineLevel="0" collapsed="false">
      <c r="B42" s="26" t="s">
        <v>97</v>
      </c>
      <c r="C42" s="26"/>
      <c r="D42" s="26"/>
      <c r="E42" s="26"/>
      <c r="F42" s="26"/>
      <c r="G42" s="26"/>
      <c r="H42" s="26"/>
    </row>
    <row r="43" customFormat="false" ht="15" hidden="false" customHeight="false" outlineLevel="0" collapsed="false">
      <c r="B43" s="26"/>
      <c r="C43" s="26"/>
      <c r="D43" s="26"/>
      <c r="E43" s="26"/>
      <c r="F43" s="26"/>
      <c r="G43" s="26"/>
      <c r="H43" s="26"/>
    </row>
  </sheetData>
  <sheetProtection sheet="true" formatCells="false" formatColumns="false" formatRows="false" insertRows="false" deleteRows="false" sort="false" autoFilter="false"/>
  <mergeCells count="22">
    <mergeCell ref="A1:I1"/>
    <mergeCell ref="A2:I2"/>
    <mergeCell ref="B5:H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C35:H35"/>
    <mergeCell ref="C36:H36"/>
    <mergeCell ref="C37:H37"/>
    <mergeCell ref="C38:H38"/>
    <mergeCell ref="C39:H39"/>
    <mergeCell ref="C40:H40"/>
    <mergeCell ref="B42:H4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&amp;L00_使用說明_Howto</oddHead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7" min="5" style="0" width="16"/>
    <col collapsed="false" customWidth="true" hidden="true" outlineLevel="0" max="15" min="10" style="0" width="13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99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J3" s="27" t="s">
        <v>100</v>
      </c>
    </row>
    <row r="4" customFormat="false" ht="19.4" hidden="false" customHeight="false" outlineLevel="0" collapsed="false">
      <c r="A4" s="28" t="s">
        <v>101</v>
      </c>
      <c r="J4" s="29" t="s">
        <v>102</v>
      </c>
      <c r="K4" s="30" t="s">
        <v>103</v>
      </c>
      <c r="L4" s="29" t="s">
        <v>104</v>
      </c>
      <c r="M4" s="29" t="s">
        <v>105</v>
      </c>
      <c r="N4" s="30" t="s">
        <v>106</v>
      </c>
      <c r="O4" s="29" t="s">
        <v>107</v>
      </c>
    </row>
    <row r="5" customFormat="false" ht="21.75" hidden="false" customHeight="true" outlineLevel="0" collapsed="false">
      <c r="A5" s="31" t="s">
        <v>108</v>
      </c>
      <c r="B5" s="32" t="s">
        <v>109</v>
      </c>
      <c r="C5" s="33"/>
      <c r="D5" s="34" t="s">
        <v>110</v>
      </c>
      <c r="J5" s="29" t="s">
        <v>111</v>
      </c>
      <c r="K5" s="30" t="s">
        <v>112</v>
      </c>
      <c r="L5" s="29" t="s">
        <v>113</v>
      </c>
      <c r="M5" s="29" t="s">
        <v>114</v>
      </c>
      <c r="N5" s="30" t="s">
        <v>115</v>
      </c>
      <c r="O5" s="29" t="s">
        <v>116</v>
      </c>
    </row>
    <row r="6" customFormat="false" ht="21.75" hidden="false" customHeight="true" outlineLevel="0" collapsed="false">
      <c r="A6" s="31" t="s">
        <v>117</v>
      </c>
      <c r="B6" s="32" t="s">
        <v>118</v>
      </c>
      <c r="C6" s="33"/>
      <c r="D6" s="34" t="s">
        <v>119</v>
      </c>
      <c r="J6" s="29" t="s">
        <v>120</v>
      </c>
      <c r="K6" s="30" t="s">
        <v>121</v>
      </c>
      <c r="L6" s="30" t="s">
        <v>22</v>
      </c>
      <c r="M6" s="30" t="s">
        <v>23</v>
      </c>
      <c r="N6" s="30" t="s">
        <v>122</v>
      </c>
      <c r="O6" s="29" t="s">
        <v>123</v>
      </c>
    </row>
    <row r="7" customFormat="false" ht="21.75" hidden="false" customHeight="true" outlineLevel="0" collapsed="false">
      <c r="A7" s="31" t="s">
        <v>124</v>
      </c>
      <c r="B7" s="32" t="s">
        <v>125</v>
      </c>
      <c r="C7" s="33"/>
      <c r="D7" s="34" t="s">
        <v>126</v>
      </c>
      <c r="J7" s="29" t="s">
        <v>127</v>
      </c>
      <c r="K7" s="30" t="s">
        <v>26</v>
      </c>
      <c r="L7" s="30" t="s">
        <v>27</v>
      </c>
      <c r="M7" s="30" t="s">
        <v>128</v>
      </c>
      <c r="N7" s="30" t="s">
        <v>29</v>
      </c>
      <c r="O7" s="29" t="s">
        <v>129</v>
      </c>
    </row>
    <row r="8" customFormat="false" ht="21.75" hidden="false" customHeight="true" outlineLevel="0" collapsed="false">
      <c r="A8" s="31" t="s">
        <v>130</v>
      </c>
      <c r="B8" s="35" t="s">
        <v>131</v>
      </c>
      <c r="C8" s="33"/>
      <c r="D8" s="36" t="s">
        <v>132</v>
      </c>
      <c r="J8" s="29" t="s">
        <v>133</v>
      </c>
      <c r="K8" s="30" t="s">
        <v>134</v>
      </c>
      <c r="L8" s="30" t="s">
        <v>32</v>
      </c>
      <c r="M8" s="30" t="s">
        <v>33</v>
      </c>
      <c r="N8" s="30" t="s">
        <v>135</v>
      </c>
      <c r="O8" s="29" t="s">
        <v>136</v>
      </c>
    </row>
    <row r="9" customFormat="false" ht="21.75" hidden="false" customHeight="true" outlineLevel="0" collapsed="false">
      <c r="A9" s="31" t="s">
        <v>137</v>
      </c>
      <c r="B9" s="32" t="s">
        <v>138</v>
      </c>
      <c r="C9" s="33"/>
      <c r="D9" s="34" t="s">
        <v>139</v>
      </c>
      <c r="J9" s="29" t="s">
        <v>140</v>
      </c>
      <c r="K9" s="30" t="s">
        <v>141</v>
      </c>
      <c r="L9" s="30" t="s">
        <v>142</v>
      </c>
      <c r="M9" s="30" t="s">
        <v>38</v>
      </c>
      <c r="N9" s="30" t="s">
        <v>143</v>
      </c>
      <c r="O9" s="29" t="s">
        <v>144</v>
      </c>
    </row>
    <row r="10" customFormat="false" ht="43.5" hidden="false" customHeight="true" outlineLevel="0" collapsed="false">
      <c r="A10" s="37" t="s">
        <v>145</v>
      </c>
      <c r="B10" s="38" t="str">
        <f aca="false">IFERROR(INDEX(_CatDef,MATCH($B$9,_CatName,0)),"")</f>
        <v>為了取得未來機會、參考案例或市場位置。現金流高度不確定，CFA 指出需「超越傳統資本預算」的方法。</v>
      </c>
      <c r="C10" s="38"/>
      <c r="D10" s="38"/>
    </row>
    <row r="11" customFormat="false" ht="30" hidden="false" customHeight="true" outlineLevel="0" collapsed="false">
      <c r="A11" s="37" t="s">
        <v>146</v>
      </c>
      <c r="B11" s="39" t="str">
        <f aca="false">IFERROR(INDEX(_CatCond,MATCH($B$9,_CatName,0)),"")</f>
        <v>分階段關卡（stage-gate）：每階段設可量測的續投條件，而非一次核定全額</v>
      </c>
      <c r="C11" s="39"/>
      <c r="D11" s="39"/>
    </row>
    <row r="12" customFormat="false" ht="15" hidden="false" customHeight="false" outlineLevel="0" collapsed="false">
      <c r="A12" s="37" t="s">
        <v>147</v>
      </c>
      <c r="B12" s="40" t="str">
        <f aca="false">IFERROR(INDEX(_CatMetric,MATCH($B$9,_CatName,0)),"")</f>
        <v>選擇權價值／階段關卡達成率</v>
      </c>
      <c r="C12" s="40"/>
      <c r="D12" s="40"/>
    </row>
    <row r="13" customFormat="false" ht="30" hidden="false" customHeight="true" outlineLevel="0" collapsed="false">
      <c r="A13" s="37" t="s">
        <v>148</v>
      </c>
      <c r="B13" s="41" t="str">
        <f aca="false">IF(LEFT('01B_類別判斷_Wizard'!$C$22,1)="▶","▶ 不確定要選哪一類？請到 01B 判斷精靈分頁回答四題，它會推薦一類並說明理由。",IF('01B_類別判斷_Wizard'!$C$22=$B$9,"✓ 與 01B 判斷精靈的建議一致。","⚠ 與 01B 判斷精靈的建議不一致——精靈建議：「"&amp;'01B_類別判斷_Wizard'!$C$22&amp;"」。若你有充分理由維持目前的選擇，請在 11 假設來源分頁記錄原因。"))</f>
        <v>✓ 與 01B 判斷精靈的建議一致。</v>
      </c>
      <c r="C13" s="41"/>
      <c r="D13" s="41"/>
    </row>
    <row r="15" customFormat="false" ht="19.4" hidden="false" customHeight="false" outlineLevel="0" collapsed="false">
      <c r="A15" s="42" t="s">
        <v>149</v>
      </c>
    </row>
    <row r="16" customFormat="false" ht="21.75" hidden="false" customHeight="true" outlineLevel="0" collapsed="false">
      <c r="A16" s="31" t="s">
        <v>150</v>
      </c>
      <c r="B16" s="35" t="s">
        <v>151</v>
      </c>
      <c r="C16" s="33"/>
      <c r="D16" s="36" t="s">
        <v>152</v>
      </c>
    </row>
    <row r="17" customFormat="false" ht="21.75" hidden="false" customHeight="true" outlineLevel="0" collapsed="false">
      <c r="A17" s="31" t="s">
        <v>153</v>
      </c>
      <c r="B17" s="35" t="s">
        <v>151</v>
      </c>
      <c r="C17" s="33"/>
      <c r="D17" s="34" t="s">
        <v>154</v>
      </c>
    </row>
    <row r="18" customFormat="false" ht="21.75" hidden="false" customHeight="true" outlineLevel="0" collapsed="false">
      <c r="A18" s="31" t="s">
        <v>155</v>
      </c>
      <c r="B18" s="43" t="s">
        <v>156</v>
      </c>
      <c r="C18" s="33"/>
      <c r="D18" s="34" t="s">
        <v>157</v>
      </c>
    </row>
    <row r="20" customFormat="false" ht="15" hidden="false" customHeight="true" outlineLevel="0" collapsed="false">
      <c r="A20" s="44" t="s">
        <v>158</v>
      </c>
      <c r="D20" s="45" t="s">
        <v>159</v>
      </c>
      <c r="E20" s="45"/>
      <c r="F20" s="45"/>
      <c r="G20" s="45"/>
    </row>
    <row r="21" customFormat="false" ht="21.75" hidden="false" customHeight="true" outlineLevel="0" collapsed="false">
      <c r="A21" s="5" t="s">
        <v>160</v>
      </c>
      <c r="B21" s="46" t="s">
        <v>161</v>
      </c>
      <c r="C21" s="5" t="s">
        <v>162</v>
      </c>
      <c r="D21" s="45"/>
      <c r="E21" s="45"/>
      <c r="F21" s="45"/>
      <c r="G21" s="45"/>
    </row>
    <row r="22" customFormat="false" ht="15" hidden="false" customHeight="false" outlineLevel="0" collapsed="false">
      <c r="A22" s="47" t="s">
        <v>163</v>
      </c>
      <c r="B22" s="48" t="n">
        <v>810</v>
      </c>
      <c r="C22" s="33" t="s">
        <v>164</v>
      </c>
      <c r="D22" s="45"/>
      <c r="E22" s="45"/>
      <c r="F22" s="45"/>
      <c r="G22" s="45"/>
    </row>
    <row r="23" customFormat="false" ht="15" hidden="false" customHeight="false" outlineLevel="0" collapsed="false">
      <c r="A23" s="47" t="s">
        <v>165</v>
      </c>
      <c r="B23" s="48" t="n">
        <v>26082</v>
      </c>
      <c r="C23" s="33" t="s">
        <v>166</v>
      </c>
    </row>
    <row r="24" customFormat="false" ht="15" hidden="false" customHeight="false" outlineLevel="0" collapsed="false">
      <c r="A24" s="47" t="s">
        <v>167</v>
      </c>
      <c r="B24" s="48" t="n">
        <v>1</v>
      </c>
      <c r="C24" s="33" t="s">
        <v>168</v>
      </c>
    </row>
    <row r="26" customFormat="false" ht="21.75" hidden="false" customHeight="true" outlineLevel="0" collapsed="false">
      <c r="A26" s="31" t="s">
        <v>169</v>
      </c>
      <c r="B26" s="49" t="n">
        <f aca="false">INDEX($B$22:$B$24,MATCH($B$16,$A$22:$A$24,0))</f>
        <v>810</v>
      </c>
      <c r="C26" s="33"/>
      <c r="D26" s="34" t="s">
        <v>170</v>
      </c>
    </row>
    <row r="27" customFormat="false" ht="21.75" hidden="false" customHeight="true" outlineLevel="0" collapsed="false">
      <c r="A27" s="31" t="s">
        <v>171</v>
      </c>
      <c r="B27" s="49" t="n">
        <f aca="false">INDEX($B$22:$B$24,MATCH($B$17,$A$22:$A$24,0))</f>
        <v>810</v>
      </c>
      <c r="C27" s="33"/>
      <c r="D27" s="34" t="s">
        <v>170</v>
      </c>
    </row>
    <row r="28" customFormat="false" ht="21.75" hidden="false" customHeight="true" outlineLevel="0" collapsed="false">
      <c r="A28" s="31" t="s">
        <v>172</v>
      </c>
      <c r="B28" s="50" t="n">
        <f aca="false">$B$26/$B$27</f>
        <v>1</v>
      </c>
      <c r="C28" s="33"/>
      <c r="D28" s="34" t="s">
        <v>173</v>
      </c>
    </row>
    <row r="29" customFormat="false" ht="21.75" hidden="false" customHeight="true" outlineLevel="0" collapsed="false">
      <c r="A29" s="31" t="s">
        <v>174</v>
      </c>
      <c r="B29" s="51" t="n">
        <f aca="false">IF($B$18="元 Unit",1,IF($B$18="千元 Thousand",1000,1000000))</f>
        <v>1000</v>
      </c>
      <c r="C29" s="33"/>
      <c r="D29" s="34" t="s">
        <v>175</v>
      </c>
    </row>
    <row r="30" customFormat="false" ht="21.75" hidden="false" customHeight="true" outlineLevel="0" collapsed="false">
      <c r="A30" s="31" t="s">
        <v>176</v>
      </c>
      <c r="B30" s="50" t="n">
        <f aca="false">$B$28/$B$29</f>
        <v>0.001</v>
      </c>
      <c r="C30" s="33"/>
      <c r="D30" s="34" t="s">
        <v>177</v>
      </c>
    </row>
    <row r="31" customFormat="false" ht="21.75" hidden="false" customHeight="true" outlineLevel="0" collapsed="false">
      <c r="A31" s="31" t="s">
        <v>178</v>
      </c>
      <c r="B31" s="52" t="str">
        <f aca="false">LEFT($B$17,3)&amp;" "&amp;IF($B$29=1,"元",IF($B$29=1000,"千",""&amp;"百萬"))</f>
        <v>TWD 千</v>
      </c>
      <c r="C31" s="33"/>
      <c r="D31" s="34" t="s">
        <v>179</v>
      </c>
    </row>
    <row r="33" customFormat="false" ht="19.4" hidden="false" customHeight="false" outlineLevel="0" collapsed="false">
      <c r="A33" s="42" t="s">
        <v>180</v>
      </c>
    </row>
    <row r="34" customFormat="false" ht="21.75" hidden="false" customHeight="true" outlineLevel="0" collapsed="false">
      <c r="A34" s="31" t="s">
        <v>181</v>
      </c>
      <c r="B34" s="53" t="n">
        <v>10</v>
      </c>
      <c r="C34" s="54" t="s">
        <v>182</v>
      </c>
      <c r="D34" s="34" t="s">
        <v>183</v>
      </c>
    </row>
    <row r="35" customFormat="false" ht="21.75" hidden="false" customHeight="true" outlineLevel="0" collapsed="false">
      <c r="A35" s="31" t="s">
        <v>184</v>
      </c>
      <c r="B35" s="53" t="n">
        <v>12</v>
      </c>
      <c r="C35" s="54" t="s">
        <v>185</v>
      </c>
      <c r="D35" s="34" t="s">
        <v>186</v>
      </c>
    </row>
    <row r="36" customFormat="false" ht="21.75" hidden="false" customHeight="true" outlineLevel="0" collapsed="false">
      <c r="A36" s="31" t="s">
        <v>187</v>
      </c>
      <c r="B36" s="55" t="n">
        <v>2027</v>
      </c>
      <c r="C36" s="54" t="s">
        <v>182</v>
      </c>
      <c r="D36" s="34" t="s">
        <v>188</v>
      </c>
    </row>
    <row r="37" customFormat="false" ht="21.75" hidden="false" customHeight="true" outlineLevel="0" collapsed="false">
      <c r="A37" s="31" t="s">
        <v>189</v>
      </c>
      <c r="B37" s="56" t="n">
        <v>0.2</v>
      </c>
      <c r="C37" s="33"/>
      <c r="D37" s="34" t="s">
        <v>190</v>
      </c>
    </row>
    <row r="38" customFormat="false" ht="31.5" hidden="false" customHeight="true" outlineLevel="0" collapsed="false">
      <c r="A38" s="31" t="s">
        <v>191</v>
      </c>
      <c r="B38" s="56" t="n">
        <v>0.1</v>
      </c>
      <c r="C38" s="33"/>
      <c r="D38" s="36" t="s">
        <v>192</v>
      </c>
    </row>
    <row r="39" customFormat="false" ht="21.75" hidden="false" customHeight="true" outlineLevel="0" collapsed="false">
      <c r="A39" s="31" t="s">
        <v>193</v>
      </c>
      <c r="B39" s="53" t="n">
        <v>4</v>
      </c>
      <c r="C39" s="54" t="s">
        <v>182</v>
      </c>
      <c r="D39" s="34" t="s">
        <v>194</v>
      </c>
    </row>
    <row r="40" customFormat="false" ht="21.75" hidden="false" customHeight="true" outlineLevel="0" collapsed="false">
      <c r="A40" s="31" t="s">
        <v>195</v>
      </c>
      <c r="B40" s="53" t="n">
        <v>5</v>
      </c>
      <c r="C40" s="54" t="s">
        <v>182</v>
      </c>
      <c r="D40" s="34" t="s">
        <v>196</v>
      </c>
    </row>
    <row r="41" customFormat="false" ht="31.5" hidden="false" customHeight="true" outlineLevel="0" collapsed="false">
      <c r="A41" s="31" t="s">
        <v>197</v>
      </c>
      <c r="B41" s="51" t="n">
        <v>3</v>
      </c>
      <c r="C41" s="54" t="s">
        <v>182</v>
      </c>
      <c r="D41" s="34" t="s">
        <v>198</v>
      </c>
    </row>
    <row r="42" customFormat="false" ht="21.75" hidden="false" customHeight="true" outlineLevel="0" collapsed="false">
      <c r="A42" s="31" t="s">
        <v>199</v>
      </c>
      <c r="B42" s="53" t="n">
        <v>5</v>
      </c>
      <c r="C42" s="54" t="s">
        <v>182</v>
      </c>
      <c r="D42" s="34" t="s">
        <v>200</v>
      </c>
    </row>
    <row r="43" customFormat="false" ht="31.5" hidden="false" customHeight="true" outlineLevel="0" collapsed="false">
      <c r="A43" s="31" t="s">
        <v>201</v>
      </c>
      <c r="B43" s="57" t="s">
        <v>202</v>
      </c>
      <c r="C43" s="33"/>
      <c r="D43" s="34" t="s">
        <v>203</v>
      </c>
    </row>
    <row r="45" customFormat="false" ht="19.4" hidden="false" customHeight="false" outlineLevel="0" collapsed="false">
      <c r="A45" s="42" t="s">
        <v>204</v>
      </c>
    </row>
    <row r="46" customFormat="false" ht="21.75" hidden="false" customHeight="true" outlineLevel="0" collapsed="false">
      <c r="A46" s="31" t="s">
        <v>205</v>
      </c>
      <c r="B46" s="57" t="s">
        <v>206</v>
      </c>
      <c r="C46" s="33"/>
      <c r="D46" s="34" t="s">
        <v>207</v>
      </c>
    </row>
    <row r="47" customFormat="false" ht="21.75" hidden="false" customHeight="true" outlineLevel="0" collapsed="false">
      <c r="A47" s="31" t="s">
        <v>208</v>
      </c>
      <c r="B47" s="56" t="n">
        <v>0.12</v>
      </c>
      <c r="C47" s="33"/>
      <c r="D47" s="34" t="s">
        <v>209</v>
      </c>
    </row>
    <row r="48" customFormat="false" ht="21.75" hidden="false" customHeight="true" outlineLevel="0" collapsed="false">
      <c r="A48" s="31" t="s">
        <v>210</v>
      </c>
      <c r="B48" s="58" t="n">
        <f aca="false">IF($B$46="手動輸入",$B$47,'07_折現率_WACC'!$B$28)</f>
        <v>0.119946971428571</v>
      </c>
      <c r="C48" s="33"/>
      <c r="D48" s="34" t="s">
        <v>211</v>
      </c>
    </row>
    <row r="49" customFormat="false" ht="31.5" hidden="false" customHeight="true" outlineLevel="0" collapsed="false">
      <c r="A49" s="59" t="s">
        <v>212</v>
      </c>
      <c r="B49" s="56" t="n">
        <v>0.08</v>
      </c>
      <c r="C49" s="33"/>
      <c r="D49" s="36" t="s">
        <v>213</v>
      </c>
    </row>
    <row r="51" customFormat="false" ht="19.4" hidden="false" customHeight="false" outlineLevel="0" collapsed="false">
      <c r="A51" s="42" t="s">
        <v>214</v>
      </c>
    </row>
    <row r="52" customFormat="false" ht="15" hidden="false" customHeight="true" outlineLevel="0" collapsed="false">
      <c r="A52" s="60" t="s">
        <v>215</v>
      </c>
      <c r="D52" s="61" t="s">
        <v>216</v>
      </c>
      <c r="E52" s="61"/>
      <c r="F52" s="61"/>
      <c r="G52" s="61"/>
    </row>
    <row r="53" customFormat="false" ht="15" hidden="false" customHeight="false" outlineLevel="0" collapsed="false">
      <c r="D53" s="61"/>
      <c r="E53" s="61"/>
      <c r="F53" s="61"/>
      <c r="G53" s="61"/>
    </row>
    <row r="54" customFormat="false" ht="21.75" hidden="false" customHeight="true" outlineLevel="0" collapsed="false">
      <c r="A54" s="31" t="s">
        <v>217</v>
      </c>
      <c r="B54" s="53" t="n">
        <v>90</v>
      </c>
      <c r="C54" s="54" t="s">
        <v>218</v>
      </c>
      <c r="D54" s="34" t="s">
        <v>219</v>
      </c>
    </row>
    <row r="55" customFormat="false" ht="21.75" hidden="false" customHeight="true" outlineLevel="0" collapsed="false">
      <c r="A55" s="31" t="s">
        <v>220</v>
      </c>
      <c r="B55" s="53" t="n">
        <v>90</v>
      </c>
      <c r="C55" s="54" t="s">
        <v>218</v>
      </c>
      <c r="D55" s="34" t="s">
        <v>221</v>
      </c>
    </row>
    <row r="56" customFormat="false" ht="21.75" hidden="false" customHeight="true" outlineLevel="0" collapsed="false">
      <c r="A56" s="31" t="s">
        <v>222</v>
      </c>
      <c r="B56" s="53" t="n">
        <v>0</v>
      </c>
      <c r="C56" s="54" t="s">
        <v>218</v>
      </c>
      <c r="D56" s="34" t="s">
        <v>223</v>
      </c>
    </row>
    <row r="57" customFormat="false" ht="21.75" hidden="false" customHeight="true" outlineLevel="0" collapsed="false">
      <c r="A57" s="31" t="s">
        <v>224</v>
      </c>
      <c r="B57" s="53" t="n">
        <v>45</v>
      </c>
      <c r="C57" s="54" t="s">
        <v>218</v>
      </c>
      <c r="D57" s="34" t="s">
        <v>225</v>
      </c>
    </row>
    <row r="59" customFormat="false" ht="19.4" hidden="false" customHeight="false" outlineLevel="0" collapsed="false">
      <c r="A59" s="42" t="s">
        <v>226</v>
      </c>
    </row>
    <row r="60" customFormat="false" ht="31.5" hidden="false" customHeight="true" outlineLevel="0" collapsed="false">
      <c r="A60" s="31" t="s">
        <v>227</v>
      </c>
      <c r="B60" s="57" t="s">
        <v>228</v>
      </c>
      <c r="C60" s="33"/>
      <c r="D60" s="34" t="s">
        <v>229</v>
      </c>
    </row>
    <row r="61" customFormat="false" ht="21.75" hidden="false" customHeight="true" outlineLevel="0" collapsed="false">
      <c r="A61" s="31" t="s">
        <v>230</v>
      </c>
      <c r="B61" s="56" t="n">
        <v>0.025</v>
      </c>
      <c r="C61" s="33"/>
      <c r="D61" s="34" t="s">
        <v>231</v>
      </c>
    </row>
    <row r="63" customFormat="false" ht="25.5" hidden="false" customHeight="true" outlineLevel="0" collapsed="false">
      <c r="A63" s="62" t="s">
        <v>232</v>
      </c>
      <c r="B63" s="62"/>
      <c r="C63" s="62"/>
      <c r="D63" s="62"/>
      <c r="E63" s="62"/>
      <c r="F63" s="62"/>
      <c r="G63" s="62"/>
    </row>
  </sheetData>
  <sheetProtection sheet="true" formatCells="false" formatColumns="false" formatRows="false" insertRows="false" deleteRows="false" sort="false" autoFilter="false"/>
  <mergeCells count="9">
    <mergeCell ref="A1:G1"/>
    <mergeCell ref="A2:G2"/>
    <mergeCell ref="B10:D10"/>
    <mergeCell ref="B11:D11"/>
    <mergeCell ref="B12:D12"/>
    <mergeCell ref="B13:D13"/>
    <mergeCell ref="D20:G22"/>
    <mergeCell ref="D52:G53"/>
    <mergeCell ref="A63:G63"/>
  </mergeCells>
  <dataValidations count="7">
    <dataValidation allowBlank="true" error="請由下拉清單選擇。" errorStyle="stop" errorTitle="請由下拉選擇" operator="between" showDropDown="false" showErrorMessage="true" showInputMessage="false" sqref="B9" type="list">
      <formula1>_CatName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6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7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8" type="list">
      <formula1>L_Unit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6" type="list">
      <formula1>L_DiscSrc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3" type="list">
      <formula1>L_VatC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60" type="list">
      <formula1>L_TV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&amp;L01_專案設定_Setup</oddHead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66"/>
  </cols>
  <sheetData>
    <row r="1" customFormat="false" ht="30" hidden="false" customHeight="true" outlineLevel="0" collapsed="false">
      <c r="A1" s="1" t="s">
        <v>233</v>
      </c>
      <c r="B1" s="1"/>
      <c r="C1" s="1"/>
      <c r="D1" s="1"/>
    </row>
    <row r="2" customFormat="false" ht="30" hidden="false" customHeight="true" outlineLevel="0" collapsed="false">
      <c r="A2" s="2" t="s">
        <v>234</v>
      </c>
      <c r="B2" s="2"/>
      <c r="C2" s="2"/>
      <c r="D2" s="2"/>
    </row>
    <row r="4" customFormat="false" ht="25.5" hidden="false" customHeight="true" outlineLevel="0" collapsed="false">
      <c r="A4" s="63" t="s">
        <v>235</v>
      </c>
      <c r="B4" s="63"/>
      <c r="C4" s="63"/>
      <c r="D4" s="63"/>
    </row>
    <row r="5" customFormat="false" ht="25.5" hidden="false" customHeight="true" outlineLevel="0" collapsed="false">
      <c r="A5" s="63"/>
      <c r="B5" s="63"/>
      <c r="C5" s="63"/>
      <c r="D5" s="63"/>
    </row>
    <row r="7" customFormat="false" ht="19.4" hidden="false" customHeight="false" outlineLevel="0" collapsed="false">
      <c r="A7" s="28" t="s">
        <v>236</v>
      </c>
    </row>
    <row r="8" customFormat="false" ht="24" hidden="false" customHeight="true" outlineLevel="0" collapsed="false">
      <c r="A8" s="5" t="s">
        <v>237</v>
      </c>
      <c r="B8" s="5" t="s">
        <v>238</v>
      </c>
      <c r="C8" s="5" t="s">
        <v>239</v>
      </c>
      <c r="D8" s="5" t="s">
        <v>240</v>
      </c>
    </row>
    <row r="9" customFormat="false" ht="51.75" hidden="false" customHeight="true" outlineLevel="0" collapsed="false">
      <c r="A9" s="64" t="s">
        <v>241</v>
      </c>
      <c r="B9" s="65" t="s">
        <v>242</v>
      </c>
      <c r="C9" s="66" t="s">
        <v>243</v>
      </c>
      <c r="D9" s="67" t="s">
        <v>244</v>
      </c>
    </row>
    <row r="12" customFormat="false" ht="51.75" hidden="false" customHeight="true" outlineLevel="0" collapsed="false">
      <c r="A12" s="64" t="s">
        <v>245</v>
      </c>
      <c r="B12" s="65" t="s">
        <v>246</v>
      </c>
      <c r="C12" s="68"/>
      <c r="D12" s="67" t="s">
        <v>247</v>
      </c>
    </row>
    <row r="15" customFormat="false" ht="51.75" hidden="false" customHeight="true" outlineLevel="0" collapsed="false">
      <c r="A15" s="64" t="s">
        <v>248</v>
      </c>
      <c r="B15" s="65" t="s">
        <v>249</v>
      </c>
      <c r="C15" s="69"/>
      <c r="D15" s="67" t="s">
        <v>250</v>
      </c>
    </row>
    <row r="18" customFormat="false" ht="51.75" hidden="false" customHeight="true" outlineLevel="0" collapsed="false">
      <c r="A18" s="64" t="s">
        <v>251</v>
      </c>
      <c r="B18" s="65" t="s">
        <v>252</v>
      </c>
      <c r="C18" s="68"/>
      <c r="D18" s="67" t="s">
        <v>253</v>
      </c>
    </row>
    <row r="21" customFormat="false" ht="19.4" hidden="false" customHeight="false" outlineLevel="0" collapsed="false">
      <c r="A21" s="70" t="s">
        <v>254</v>
      </c>
    </row>
    <row r="22" customFormat="false" ht="33.75" hidden="false" customHeight="true" outlineLevel="0" collapsed="false">
      <c r="A22" s="71" t="s">
        <v>255</v>
      </c>
      <c r="B22" s="71"/>
      <c r="C22" s="72" t="str">
        <f aca="false">IF($C$9="","▶ 請先回答 Q1",IF(ISNUMBER(SEARCH("算得準",$C$9)),"A 營收型投資 Revenue-generating",IF(ISNUMBER(SEARCH("算不準",$C$9)),"F 策略布局型 Strategic / Option",IF($C$12="","▶ 請回答 Q2",IF(ISNUMBER(SEARCH("別的專案",$C$12)),IF($C$15="","▶ 請回答 Q3",IF($C$15&gt;=2,"B 使能型投資 Enabling / Infrastructure","⚠ 不應獨立立案（承載專案數不足 2）")),IF(ISNUMBER(SEARCH("罰",$C$12)),"C 法規強制型 Mandatory / Compliance",IF(ISNUMBER(SEARCH("既有支出",$C$12)),IF($C$18="","▶ 請回答 Q4",IF(ISNUMBER(SEARCH("會停擺",$C$18)),"E 汰換維持型 Replacement / Maintenance","D 降本型投資 Cost-reduction")),IF(ISNUMBER(SEARCH("營運會中斷",$C$12)),"E 汰換維持型 Replacement / Maintenance","▶ 請回答 Q2"))))))))</f>
        <v>F 策略布局型 Strategic / Option</v>
      </c>
      <c r="D22" s="72"/>
    </row>
    <row r="23" customFormat="false" ht="43.5" hidden="false" customHeight="true" outlineLevel="0" collapsed="false">
      <c r="A23" s="73" t="s">
        <v>256</v>
      </c>
      <c r="B23" s="73"/>
      <c r="C23" s="74" t="str">
        <f aca="false">IF(LEFT($C$22,1)="▶","",IF(LEFT($C$22,1)="A","效益是外部客戶付進來的錢，而且金額算得準 ⇒ 用 NPV／MIRR／PI 這把尺，本案適合走標準資本預算流程。",IF(LEFT($C$22,1)="B","它不對外收費，但別的專案要靠它才能做，且承載 "&amp;$C$15&amp;" 個專案（≥2）⇒ 用 ΔTCO 差異法（做 vs 不做），不是絕對 NPV。",IF(LEFT($C$22,1)="C","不做就不能營業，屬強制投資 ⇒ 比的是「合規前提下的最低總成本」與「不做的代價」。NPV 為負屬正常，不構成否決理由。",IF(LEFT($C$22,1)="D","收入不變，但某筆既有支出會消失，而且你還有得選 ⇒ 效益＝被避免掉的成本，要細算。",IF(LEFT($C$22,1)="E","不做就停擺，沒得選 ⇒ 不必用 NPV 論斷，同規格中取最低生命週期成本、並確認停機風險成本即可。",IF(LEFT($C$22,1)="F","錢會進來，但現在算不準（要等市場成熟或第 2、3 個客戶）⇒ 不要一次核定全額，改用分階段關卡。","承載專案數不足 2 ⇒ 這不是平台，是它所服務的那一個專案的成本。建議把本案的建置成本併入該專案一起評估，不要獨立立案。")))))))</f>
        <v>錢會進來，但現在算不準（要等市場成熟或第 2、3 個客戶）⇒ 不要一次核定全額，改用分階段關卡。</v>
      </c>
      <c r="D23" s="74"/>
    </row>
    <row r="24" customFormat="false" ht="43.5" hidden="false" customHeight="true" outlineLevel="0" collapsed="false">
      <c r="A24" s="75" t="s">
        <v>257</v>
      </c>
      <c r="B24" s="75"/>
      <c r="C24" s="76" t="str">
        <f aca="false">IF(LEFT($C$22,1)="▶","",IF(LEFT($C$22,1)="B","▶ 到 09 使能型評估分頁：F 區塊填承載專案清單、C 區塊填外租比較報價，ΔTCO 才算得出來。",IF(LEFT($C$22,1)="F","▶ 把 02 分頁的 CAPEX 拆成 2–3 期，每期在 11 假設來源分頁寫下可量測的續投條件（不要一次核定全額）。",IF(LEFT($C$22,1)="C","▶ 到 11 假設來源分頁登錄：法源、期限、不做的罰則或停業風險，並附至少三家供應商的比價。",IF(LEFT($C$22,1)="E","▶ 到 11 假設來源分頁登錄：現有資產的剩餘壽命、故障率，以及不汰換的停機風險成本。",IF(LEFT($C$22,1)="⚠","▶ 不要獨立立案。把本案成本併入它所服務的那個專案，或先確認第 2 個承載專案再回來。","▶ 把 02 分頁的示意值換成廠商正式報價，並確認 07 分頁的折現率已與投資方書面談定。"))))))</f>
        <v>▶ 把 02 分頁的 CAPEX 拆成 2–3 期，每期在 11 假設來源分頁寫下可量測的續投條件（不要一次核定全額）。</v>
      </c>
      <c r="D24" s="76"/>
    </row>
    <row r="25" customFormat="false" ht="43.5" hidden="false" customHeight="true" outlineLevel="0" collapsed="false">
      <c r="A25" s="77" t="s">
        <v>258</v>
      </c>
      <c r="B25" s="77"/>
      <c r="C25" s="78" t="str">
        <f aca="false">IF(LEFT($C$22,1)="▶","",IF($C$22='01_專案設定_Setup'!$B$9,"✓ 與 01 分頁目前的選擇一致，可以繼續。","⚠ 01 分頁目前選的是「"&amp;'01_專案設定_Setup'!$B$9&amp;"」，與本頁建議不同。若要採用建議，請到 01 分頁 B9 改選；若你有充分理由維持原選擇（例如本案同時具備兩種屬性），請在 11 假設來源分頁記錄理由。"))</f>
        <v>✓ 與 01 分頁目前的選擇一致，可以繼續。</v>
      </c>
      <c r="D25" s="78"/>
    </row>
    <row r="28" customFormat="false" ht="19.4" hidden="false" customHeight="false" outlineLevel="0" collapsed="false">
      <c r="A28" s="79" t="s">
        <v>259</v>
      </c>
    </row>
    <row r="29" customFormat="false" ht="42" hidden="false" customHeight="true" outlineLevel="0" collapsed="false">
      <c r="A29" s="80" t="s">
        <v>260</v>
      </c>
      <c r="B29" s="80"/>
      <c r="C29" s="21" t="s">
        <v>261</v>
      </c>
      <c r="D29" s="21"/>
    </row>
    <row r="30" customFormat="false" ht="42" hidden="false" customHeight="true" outlineLevel="0" collapsed="false">
      <c r="A30" s="80" t="s">
        <v>262</v>
      </c>
      <c r="B30" s="80"/>
      <c r="C30" s="21" t="s">
        <v>263</v>
      </c>
      <c r="D30" s="21"/>
    </row>
    <row r="31" customFormat="false" ht="42" hidden="false" customHeight="true" outlineLevel="0" collapsed="false">
      <c r="A31" s="81" t="s">
        <v>264</v>
      </c>
      <c r="B31" s="81"/>
      <c r="C31" s="21" t="s">
        <v>265</v>
      </c>
      <c r="D31" s="21"/>
    </row>
    <row r="32" customFormat="false" ht="42" hidden="false" customHeight="true" outlineLevel="0" collapsed="false">
      <c r="A32" s="80" t="s">
        <v>266</v>
      </c>
      <c r="B32" s="80"/>
      <c r="C32" s="21" t="s">
        <v>267</v>
      </c>
      <c r="D32" s="21"/>
    </row>
    <row r="34" customFormat="false" ht="24" hidden="false" customHeight="true" outlineLevel="0" collapsed="false">
      <c r="A34" s="82" t="s">
        <v>268</v>
      </c>
      <c r="B34" s="82"/>
      <c r="C34" s="82"/>
      <c r="D34" s="82"/>
    </row>
    <row r="35" customFormat="false" ht="24" hidden="false" customHeight="true" outlineLevel="0" collapsed="false">
      <c r="A35" s="82"/>
      <c r="B35" s="82"/>
      <c r="C35" s="82"/>
      <c r="D35" s="82"/>
    </row>
  </sheetData>
  <sheetProtection sheet="true" formatCells="false" formatColumns="false" formatRows="false" insertRows="false" deleteRows="false" sort="false" autoFilter="false"/>
  <mergeCells count="20">
    <mergeCell ref="A1:D1"/>
    <mergeCell ref="A2:D2"/>
    <mergeCell ref="A4:D5"/>
    <mergeCell ref="A22:B22"/>
    <mergeCell ref="C22:D22"/>
    <mergeCell ref="A23:B23"/>
    <mergeCell ref="C23:D23"/>
    <mergeCell ref="A24:B24"/>
    <mergeCell ref="C24:D24"/>
    <mergeCell ref="A25:B25"/>
    <mergeCell ref="C25:D25"/>
    <mergeCell ref="A29:B29"/>
    <mergeCell ref="C29:D29"/>
    <mergeCell ref="A30:B30"/>
    <mergeCell ref="C30:D30"/>
    <mergeCell ref="A31:B31"/>
    <mergeCell ref="C31:D31"/>
    <mergeCell ref="A32:B32"/>
    <mergeCell ref="C32:D32"/>
    <mergeCell ref="A34:D35"/>
  </mergeCells>
  <dataValidations count="3">
    <dataValidation allowBlank="true" error="請由下拉清單選擇。" errorStyle="stop" errorTitle="請由下拉選擇" operator="between" showDropDown="false" showErrorMessage="false" showInputMessage="false" sqref="C9" type="list">
      <formula1>L_W1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2" type="list">
      <formula1>L_W2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8" type="list">
      <formula1>L_W4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&amp;L01B_類別判斷_Wizard</oddHead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5" min="14" style="0" width="8"/>
    <col collapsed="false" customWidth="true" hidden="false" outlineLevel="0" max="16" min="16" style="0" width="16"/>
    <col collapsed="false" customWidth="true" hidden="false" outlineLevel="0" max="17" min="17" style="0" width="44"/>
  </cols>
  <sheetData>
    <row r="1" customFormat="false" ht="30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.75" hidden="false" customHeight="true" outlineLevel="0" collapsed="false">
      <c r="A4" s="83" t="s">
        <v>271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customFormat="false" ht="43.5" hidden="false" customHeight="true" outlineLevel="0" collapsed="false">
      <c r="A5" s="5" t="s">
        <v>272</v>
      </c>
      <c r="B5" s="5" t="s">
        <v>273</v>
      </c>
      <c r="C5" s="5" t="s">
        <v>274</v>
      </c>
      <c r="D5" s="5" t="s">
        <v>275</v>
      </c>
      <c r="E5" s="5" t="s">
        <v>276</v>
      </c>
      <c r="F5" s="5" t="s">
        <v>277</v>
      </c>
      <c r="G5" s="5" t="s">
        <v>278</v>
      </c>
      <c r="H5" s="5" t="s">
        <v>279</v>
      </c>
      <c r="I5" s="5" t="s">
        <v>280</v>
      </c>
      <c r="J5" s="46" t="s">
        <v>281</v>
      </c>
      <c r="K5" s="5" t="s">
        <v>282</v>
      </c>
      <c r="L5" s="5" t="s">
        <v>283</v>
      </c>
      <c r="M5" s="5" t="s">
        <v>284</v>
      </c>
      <c r="N5" s="5" t="s">
        <v>285</v>
      </c>
      <c r="O5" s="5" t="s">
        <v>286</v>
      </c>
      <c r="P5" s="5" t="s">
        <v>287</v>
      </c>
      <c r="Q5" s="5" t="str">
        <f aca="false">CONCATENATE("含稅總額",CHAR(10),"（",'01_專案設定_Setup'!$B$31,"）")</f>
        <v>含稅總額
（TWD 千）</v>
      </c>
      <c r="R5" s="5" t="s">
        <v>288</v>
      </c>
    </row>
    <row r="6" customFormat="false" ht="19.5" hidden="false" customHeight="true" outlineLevel="0" collapsed="false">
      <c r="A6" s="33" t="n">
        <v>1</v>
      </c>
      <c r="B6" s="84" t="s">
        <v>289</v>
      </c>
      <c r="C6" s="85" t="s">
        <v>290</v>
      </c>
      <c r="D6" s="84" t="s">
        <v>291</v>
      </c>
      <c r="E6" s="86" t="n">
        <v>1</v>
      </c>
      <c r="F6" s="87" t="n">
        <v>9205500</v>
      </c>
      <c r="G6" s="88" t="n">
        <f aca="false">IF($C6="",0,$E6*$F6)</f>
        <v>9205500</v>
      </c>
      <c r="H6" s="84" t="s">
        <v>292</v>
      </c>
      <c r="I6" s="89" t="n">
        <v>0</v>
      </c>
      <c r="J6" s="89" t="n">
        <v>0.1</v>
      </c>
      <c r="K6" s="88" t="n">
        <f aca="false">IF($C6="",0,$G6*$I6+$G6*(1+$I6)*$J6*IF(LEFT('01_專案設定_Setup'!$B$43,1)="否",1,0))</f>
        <v>920550</v>
      </c>
      <c r="L6" s="90" t="n">
        <f aca="false">IF($C6="",0,$G6+$K6)</f>
        <v>10126050</v>
      </c>
      <c r="M6" s="84" t="s">
        <v>293</v>
      </c>
      <c r="N6" s="91" t="n">
        <v>5</v>
      </c>
      <c r="O6" s="91" t="n">
        <v>0</v>
      </c>
      <c r="P6" s="89" t="n">
        <v>0</v>
      </c>
      <c r="Q6" s="92" t="n">
        <f aca="false">IF($C6="",0,$L6*'01_專案設定_Setup'!$B$30)</f>
        <v>10126.05</v>
      </c>
      <c r="R6" s="93" t="s">
        <v>294</v>
      </c>
    </row>
    <row r="7" customFormat="false" ht="19.5" hidden="false" customHeight="true" outlineLevel="0" collapsed="false">
      <c r="A7" s="33" t="n">
        <v>2</v>
      </c>
      <c r="B7" s="84" t="s">
        <v>289</v>
      </c>
      <c r="C7" s="85" t="s">
        <v>295</v>
      </c>
      <c r="D7" s="84" t="s">
        <v>291</v>
      </c>
      <c r="E7" s="86" t="n">
        <v>1</v>
      </c>
      <c r="F7" s="87" t="n">
        <v>1453500</v>
      </c>
      <c r="G7" s="88" t="n">
        <f aca="false">IF($C7="",0,$E7*$F7)</f>
        <v>1453500</v>
      </c>
      <c r="H7" s="84" t="s">
        <v>292</v>
      </c>
      <c r="I7" s="89" t="n">
        <v>0</v>
      </c>
      <c r="J7" s="89" t="n">
        <v>0.1</v>
      </c>
      <c r="K7" s="88" t="n">
        <f aca="false">IF($C7="",0,$G7*$I7+$G7*(1+$I7)*$J7*IF(LEFT('01_專案設定_Setup'!$B$43,1)="否",1,0))</f>
        <v>145350</v>
      </c>
      <c r="L7" s="90" t="n">
        <f aca="false">IF($C7="",0,$G7+$K7)</f>
        <v>1598850</v>
      </c>
      <c r="M7" s="84" t="s">
        <v>293</v>
      </c>
      <c r="N7" s="91" t="n">
        <v>5</v>
      </c>
      <c r="O7" s="91" t="n">
        <v>0</v>
      </c>
      <c r="P7" s="89" t="n">
        <v>0</v>
      </c>
      <c r="Q7" s="92" t="n">
        <f aca="false">IF($C7="",0,$L7*'01_專案設定_Setup'!$B$30)</f>
        <v>1598.85</v>
      </c>
      <c r="R7" s="94" t="s">
        <v>296</v>
      </c>
    </row>
    <row r="8" customFormat="false" ht="19.5" hidden="false" customHeight="true" outlineLevel="0" collapsed="false">
      <c r="A8" s="33" t="n">
        <v>3</v>
      </c>
      <c r="B8" s="84" t="s">
        <v>289</v>
      </c>
      <c r="C8" s="85" t="s">
        <v>297</v>
      </c>
      <c r="D8" s="84" t="s">
        <v>291</v>
      </c>
      <c r="E8" s="86" t="n">
        <v>1</v>
      </c>
      <c r="F8" s="87" t="n">
        <v>1065900</v>
      </c>
      <c r="G8" s="88" t="n">
        <f aca="false">IF($C8="",0,$E8*$F8)</f>
        <v>1065900</v>
      </c>
      <c r="H8" s="84" t="s">
        <v>292</v>
      </c>
      <c r="I8" s="89" t="n">
        <v>0</v>
      </c>
      <c r="J8" s="89" t="n">
        <v>0.1</v>
      </c>
      <c r="K8" s="88" t="n">
        <f aca="false">IF($C8="",0,$G8*$I8+$G8*(1+$I8)*$J8*IF(LEFT('01_專案設定_Setup'!$B$43,1)="否",1,0))</f>
        <v>106590</v>
      </c>
      <c r="L8" s="90" t="n">
        <f aca="false">IF($C8="",0,$G8+$K8)</f>
        <v>1172490</v>
      </c>
      <c r="M8" s="84" t="s">
        <v>293</v>
      </c>
      <c r="N8" s="91" t="n">
        <v>5</v>
      </c>
      <c r="O8" s="91" t="n">
        <v>0</v>
      </c>
      <c r="P8" s="89" t="n">
        <v>0</v>
      </c>
      <c r="Q8" s="92" t="n">
        <f aca="false">IF($C8="",0,$L8*'01_專案設定_Setup'!$B$30)</f>
        <v>1172.49</v>
      </c>
      <c r="R8" s="94" t="s">
        <v>298</v>
      </c>
    </row>
    <row r="9" customFormat="false" ht="19.5" hidden="false" customHeight="true" outlineLevel="0" collapsed="false">
      <c r="A9" s="33" t="n">
        <v>4</v>
      </c>
      <c r="B9" s="84" t="s">
        <v>289</v>
      </c>
      <c r="C9" s="95" t="s">
        <v>299</v>
      </c>
      <c r="D9" s="84" t="s">
        <v>291</v>
      </c>
      <c r="E9" s="86" t="n">
        <v>1</v>
      </c>
      <c r="F9" s="87" t="n">
        <v>1227400</v>
      </c>
      <c r="G9" s="88" t="n">
        <f aca="false">IF($C9="",0,$E9*$F9)</f>
        <v>1227400</v>
      </c>
      <c r="H9" s="84" t="s">
        <v>292</v>
      </c>
      <c r="I9" s="89" t="n">
        <v>0</v>
      </c>
      <c r="J9" s="89" t="n">
        <v>0.1</v>
      </c>
      <c r="K9" s="88" t="n">
        <f aca="false">IF($C9="",0,$G9*$I9+$G9*(1+$I9)*$J9*IF(LEFT('01_專案設定_Setup'!$B$43,1)="否",1,0))</f>
        <v>122740</v>
      </c>
      <c r="L9" s="90" t="n">
        <f aca="false">IF($C9="",0,$G9+$K9)</f>
        <v>1350140</v>
      </c>
      <c r="M9" s="84" t="s">
        <v>293</v>
      </c>
      <c r="N9" s="91" t="n">
        <v>5</v>
      </c>
      <c r="O9" s="91" t="n">
        <v>0</v>
      </c>
      <c r="P9" s="89" t="n">
        <v>0</v>
      </c>
      <c r="Q9" s="92" t="n">
        <f aca="false">IF($C9="",0,$L9*'01_專案設定_Setup'!$B$30)</f>
        <v>1350.14</v>
      </c>
      <c r="R9" s="94" t="s">
        <v>300</v>
      </c>
    </row>
    <row r="10" customFormat="false" ht="19.5" hidden="false" customHeight="true" outlineLevel="0" collapsed="false">
      <c r="A10" s="33" t="n">
        <v>5</v>
      </c>
      <c r="B10" s="84" t="s">
        <v>289</v>
      </c>
      <c r="C10" s="95" t="s">
        <v>301</v>
      </c>
      <c r="D10" s="84" t="s">
        <v>291</v>
      </c>
      <c r="E10" s="86" t="n">
        <v>1</v>
      </c>
      <c r="F10" s="87" t="n">
        <v>839800</v>
      </c>
      <c r="G10" s="88" t="n">
        <f aca="false">IF($C10="",0,$E10*$F10)</f>
        <v>839800</v>
      </c>
      <c r="H10" s="84" t="s">
        <v>292</v>
      </c>
      <c r="I10" s="89" t="n">
        <v>0</v>
      </c>
      <c r="J10" s="89" t="n">
        <v>0.1</v>
      </c>
      <c r="K10" s="88" t="n">
        <f aca="false">IF($C10="",0,$G10*$I10+$G10*(1+$I10)*$J10*IF(LEFT('01_專案設定_Setup'!$B$43,1)="否",1,0))</f>
        <v>83980</v>
      </c>
      <c r="L10" s="90" t="n">
        <f aca="false">IF($C10="",0,$G10+$K10)</f>
        <v>923780</v>
      </c>
      <c r="M10" s="84" t="s">
        <v>293</v>
      </c>
      <c r="N10" s="91" t="n">
        <v>5</v>
      </c>
      <c r="O10" s="91" t="n">
        <v>0</v>
      </c>
      <c r="P10" s="89" t="n">
        <v>0</v>
      </c>
      <c r="Q10" s="92" t="n">
        <f aca="false">IF($C10="",0,$L10*'01_專案設定_Setup'!$B$30)</f>
        <v>923.78</v>
      </c>
      <c r="R10" s="94" t="s">
        <v>302</v>
      </c>
    </row>
    <row r="11" customFormat="false" ht="19.5" hidden="false" customHeight="true" outlineLevel="0" collapsed="false">
      <c r="A11" s="33" t="n">
        <v>6</v>
      </c>
      <c r="B11" s="84" t="s">
        <v>289</v>
      </c>
      <c r="C11" s="85" t="s">
        <v>303</v>
      </c>
      <c r="D11" s="84" t="s">
        <v>291</v>
      </c>
      <c r="E11" s="86" t="n">
        <v>1</v>
      </c>
      <c r="F11" s="87" t="n">
        <v>1550400</v>
      </c>
      <c r="G11" s="88" t="n">
        <f aca="false">IF($C11="",0,$E11*$F11)</f>
        <v>1550400</v>
      </c>
      <c r="H11" s="84" t="s">
        <v>292</v>
      </c>
      <c r="I11" s="89" t="n">
        <v>0</v>
      </c>
      <c r="J11" s="89" t="n">
        <v>0.1</v>
      </c>
      <c r="K11" s="88" t="n">
        <f aca="false">IF($C11="",0,$G11*$I11+$G11*(1+$I11)*$J11*IF(LEFT('01_專案設定_Setup'!$B$43,1)="否",1,0))</f>
        <v>155040</v>
      </c>
      <c r="L11" s="90" t="n">
        <f aca="false">IF($C11="",0,$G11+$K11)</f>
        <v>1705440</v>
      </c>
      <c r="M11" s="84" t="s">
        <v>293</v>
      </c>
      <c r="N11" s="91" t="n">
        <v>5</v>
      </c>
      <c r="O11" s="91" t="n">
        <v>0</v>
      </c>
      <c r="P11" s="89" t="n">
        <v>0</v>
      </c>
      <c r="Q11" s="92" t="n">
        <f aca="false">IF($C11="",0,$L11*'01_專案設定_Setup'!$B$30)</f>
        <v>1705.44</v>
      </c>
      <c r="R11" s="93" t="s">
        <v>304</v>
      </c>
    </row>
    <row r="12" customFormat="false" ht="19.5" hidden="false" customHeight="true" outlineLevel="0" collapsed="false">
      <c r="A12" s="33" t="n">
        <v>7</v>
      </c>
      <c r="B12" s="84" t="s">
        <v>289</v>
      </c>
      <c r="C12" s="85" t="s">
        <v>305</v>
      </c>
      <c r="D12" s="84" t="s">
        <v>291</v>
      </c>
      <c r="E12" s="86" t="n">
        <v>1</v>
      </c>
      <c r="F12" s="87" t="n">
        <v>1421200</v>
      </c>
      <c r="G12" s="88" t="n">
        <f aca="false">IF($C12="",0,$E12*$F12)</f>
        <v>1421200</v>
      </c>
      <c r="H12" s="84" t="s">
        <v>292</v>
      </c>
      <c r="I12" s="89" t="n">
        <v>0</v>
      </c>
      <c r="J12" s="89" t="n">
        <v>0.1</v>
      </c>
      <c r="K12" s="88" t="n">
        <f aca="false">IF($C12="",0,$G12*$I12+$G12*(1+$I12)*$J12*IF(LEFT('01_專案設定_Setup'!$B$43,1)="否",1,0))</f>
        <v>142120</v>
      </c>
      <c r="L12" s="90" t="n">
        <f aca="false">IF($C12="",0,$G12+$K12)</f>
        <v>1563320</v>
      </c>
      <c r="M12" s="84" t="s">
        <v>293</v>
      </c>
      <c r="N12" s="91" t="n">
        <v>5</v>
      </c>
      <c r="O12" s="91" t="n">
        <v>0</v>
      </c>
      <c r="P12" s="89" t="n">
        <v>0</v>
      </c>
      <c r="Q12" s="92" t="n">
        <f aca="false">IF($C12="",0,$L12*'01_專案設定_Setup'!$B$30)</f>
        <v>1563.32</v>
      </c>
      <c r="R12" s="94" t="s">
        <v>306</v>
      </c>
    </row>
    <row r="13" customFormat="false" ht="19.5" hidden="false" customHeight="true" outlineLevel="0" collapsed="false">
      <c r="A13" s="33" t="n">
        <v>8</v>
      </c>
      <c r="B13" s="84" t="s">
        <v>307</v>
      </c>
      <c r="C13" s="95" t="s">
        <v>308</v>
      </c>
      <c r="D13" s="84" t="s">
        <v>309</v>
      </c>
      <c r="E13" s="86" t="n">
        <v>1</v>
      </c>
      <c r="F13" s="87" t="n">
        <v>3714500</v>
      </c>
      <c r="G13" s="88" t="n">
        <f aca="false">IF($C13="",0,$E13*$F13)</f>
        <v>3714500</v>
      </c>
      <c r="H13" s="84" t="s">
        <v>310</v>
      </c>
      <c r="I13" s="89" t="n">
        <v>0</v>
      </c>
      <c r="J13" s="89" t="n">
        <v>0.08</v>
      </c>
      <c r="K13" s="88" t="n">
        <f aca="false">IF($C13="",0,$G13*$I13+$G13*(1+$I13)*$J13*IF(LEFT('01_專案設定_Setup'!$B$43,1)="否",1,0))</f>
        <v>297160</v>
      </c>
      <c r="L13" s="90" t="n">
        <f aca="false">IF($C13="",0,$G13+$K13)</f>
        <v>4011660</v>
      </c>
      <c r="M13" s="84" t="s">
        <v>293</v>
      </c>
      <c r="N13" s="91" t="n">
        <v>5</v>
      </c>
      <c r="O13" s="91" t="n">
        <v>0</v>
      </c>
      <c r="P13" s="89" t="n">
        <v>0</v>
      </c>
      <c r="Q13" s="92" t="n">
        <f aca="false">IF($C13="",0,$L13*'01_專案設定_Setup'!$B$30)</f>
        <v>4011.66</v>
      </c>
      <c r="R13" s="94" t="s">
        <v>311</v>
      </c>
    </row>
    <row r="14" customFormat="false" ht="19.5" hidden="false" customHeight="true" outlineLevel="0" collapsed="false">
      <c r="A14" s="33" t="n">
        <v>9</v>
      </c>
      <c r="B14" s="84" t="s">
        <v>307</v>
      </c>
      <c r="C14" s="95" t="s">
        <v>312</v>
      </c>
      <c r="D14" s="84" t="s">
        <v>309</v>
      </c>
      <c r="E14" s="86" t="n">
        <v>1</v>
      </c>
      <c r="F14" s="87" t="n">
        <v>2196400</v>
      </c>
      <c r="G14" s="88" t="n">
        <f aca="false">IF($C14="",0,$E14*$F14)</f>
        <v>2196400</v>
      </c>
      <c r="H14" s="84" t="s">
        <v>310</v>
      </c>
      <c r="I14" s="89" t="n">
        <v>0</v>
      </c>
      <c r="J14" s="89" t="n">
        <v>0.08</v>
      </c>
      <c r="K14" s="88" t="n">
        <f aca="false">IF($C14="",0,$G14*$I14+$G14*(1+$I14)*$J14*IF(LEFT('01_專案設定_Setup'!$B$43,1)="否",1,0))</f>
        <v>175712</v>
      </c>
      <c r="L14" s="90" t="n">
        <f aca="false">IF($C14="",0,$G14+$K14)</f>
        <v>2372112</v>
      </c>
      <c r="M14" s="84" t="s">
        <v>313</v>
      </c>
      <c r="N14" s="91" t="n">
        <v>0</v>
      </c>
      <c r="O14" s="91" t="n">
        <v>0</v>
      </c>
      <c r="P14" s="89" t="n">
        <v>0</v>
      </c>
      <c r="Q14" s="92" t="n">
        <f aca="false">IF($C14="",0,$L14*'01_專案設定_Setup'!$B$30)</f>
        <v>2372.112</v>
      </c>
      <c r="R14" s="93" t="s">
        <v>314</v>
      </c>
    </row>
    <row r="15" customFormat="false" ht="19.5" hidden="false" customHeight="true" outlineLevel="0" collapsed="false">
      <c r="A15" s="33" t="n">
        <v>10</v>
      </c>
      <c r="B15" s="84" t="s">
        <v>307</v>
      </c>
      <c r="C15" s="95" t="s">
        <v>315</v>
      </c>
      <c r="D15" s="84" t="s">
        <v>309</v>
      </c>
      <c r="E15" s="86" t="n">
        <v>1</v>
      </c>
      <c r="F15" s="87" t="n">
        <v>4360500</v>
      </c>
      <c r="G15" s="88" t="n">
        <f aca="false">IF($C15="",0,$E15*$F15)</f>
        <v>4360500</v>
      </c>
      <c r="H15" s="84" t="s">
        <v>310</v>
      </c>
      <c r="I15" s="89" t="n">
        <v>0</v>
      </c>
      <c r="J15" s="89" t="n">
        <v>0.08</v>
      </c>
      <c r="K15" s="88" t="n">
        <f aca="false">IF($C15="",0,$G15*$I15+$G15*(1+$I15)*$J15*IF(LEFT('01_專案設定_Setup'!$B$43,1)="否",1,0))</f>
        <v>348840</v>
      </c>
      <c r="L15" s="90" t="n">
        <f aca="false">IF($C15="",0,$G15+$K15)</f>
        <v>4709340</v>
      </c>
      <c r="M15" s="84" t="s">
        <v>313</v>
      </c>
      <c r="N15" s="91" t="n">
        <v>0</v>
      </c>
      <c r="O15" s="91" t="n">
        <v>0</v>
      </c>
      <c r="P15" s="89" t="n">
        <v>0</v>
      </c>
      <c r="Q15" s="92" t="n">
        <f aca="false">IF($C15="",0,$L15*'01_專案設定_Setup'!$B$30)</f>
        <v>4709.34</v>
      </c>
      <c r="R15" s="93" t="s">
        <v>316</v>
      </c>
    </row>
    <row r="16" customFormat="false" ht="19.5" hidden="false" customHeight="true" outlineLevel="0" collapsed="false">
      <c r="A16" s="33" t="n">
        <v>11</v>
      </c>
      <c r="B16" s="84" t="s">
        <v>307</v>
      </c>
      <c r="C16" s="95" t="s">
        <v>317</v>
      </c>
      <c r="D16" s="84" t="s">
        <v>318</v>
      </c>
      <c r="E16" s="86" t="n">
        <v>600</v>
      </c>
      <c r="F16" s="87" t="n">
        <v>2261</v>
      </c>
      <c r="G16" s="88" t="n">
        <f aca="false">IF($C16="",0,$E16*$F16)</f>
        <v>1356600</v>
      </c>
      <c r="H16" s="84" t="s">
        <v>310</v>
      </c>
      <c r="I16" s="89" t="n">
        <v>0</v>
      </c>
      <c r="J16" s="89" t="n">
        <v>0.08</v>
      </c>
      <c r="K16" s="88" t="n">
        <f aca="false">IF($C16="",0,$G16*$I16+$G16*(1+$I16)*$J16*IF(LEFT('01_專案設定_Setup'!$B$43,1)="否",1,0))</f>
        <v>108528</v>
      </c>
      <c r="L16" s="90" t="n">
        <f aca="false">IF($C16="",0,$G16+$K16)</f>
        <v>1465128</v>
      </c>
      <c r="M16" s="84" t="s">
        <v>313</v>
      </c>
      <c r="N16" s="91" t="n">
        <v>0</v>
      </c>
      <c r="O16" s="91" t="n">
        <v>0</v>
      </c>
      <c r="P16" s="89" t="n">
        <v>0</v>
      </c>
      <c r="Q16" s="92" t="n">
        <f aca="false">IF($C16="",0,$L16*'01_專案設定_Setup'!$B$30)</f>
        <v>1465.128</v>
      </c>
      <c r="R16" s="93" t="s">
        <v>319</v>
      </c>
    </row>
    <row r="17" customFormat="false" ht="19.5" hidden="false" customHeight="true" outlineLevel="0" collapsed="false">
      <c r="A17" s="33" t="n">
        <v>12</v>
      </c>
      <c r="B17" s="84" t="s">
        <v>320</v>
      </c>
      <c r="C17" s="95" t="s">
        <v>321</v>
      </c>
      <c r="D17" s="84" t="s">
        <v>309</v>
      </c>
      <c r="E17" s="86" t="n">
        <v>1</v>
      </c>
      <c r="F17" s="87" t="n">
        <v>2842400</v>
      </c>
      <c r="G17" s="88" t="n">
        <f aca="false">IF($C17="",0,$E17*$F17)</f>
        <v>2842400</v>
      </c>
      <c r="H17" s="84" t="s">
        <v>292</v>
      </c>
      <c r="I17" s="89" t="n">
        <v>0</v>
      </c>
      <c r="J17" s="89" t="n">
        <v>0.1</v>
      </c>
      <c r="K17" s="88" t="n">
        <f aca="false">IF($C17="",0,$G17*$I17+$G17*(1+$I17)*$J17*IF(LEFT('01_專案設定_Setup'!$B$43,1)="否",1,0))</f>
        <v>284240</v>
      </c>
      <c r="L17" s="90" t="n">
        <f aca="false">IF($C17="",0,$G17+$K17)</f>
        <v>3126640</v>
      </c>
      <c r="M17" s="84" t="s">
        <v>322</v>
      </c>
      <c r="N17" s="91" t="n">
        <v>5</v>
      </c>
      <c r="O17" s="91" t="n">
        <v>6</v>
      </c>
      <c r="P17" s="89" t="n">
        <v>0.05</v>
      </c>
      <c r="Q17" s="92" t="n">
        <f aca="false">IF($C17="",0,$L17*'01_專案設定_Setup'!$B$30)</f>
        <v>3126.64</v>
      </c>
      <c r="R17" s="94" t="s">
        <v>323</v>
      </c>
    </row>
    <row r="18" customFormat="false" ht="19.5" hidden="false" customHeight="true" outlineLevel="0" collapsed="false">
      <c r="A18" s="33" t="n">
        <v>13</v>
      </c>
      <c r="B18" s="84" t="s">
        <v>289</v>
      </c>
      <c r="C18" s="95" t="s">
        <v>324</v>
      </c>
      <c r="D18" s="84" t="s">
        <v>291</v>
      </c>
      <c r="E18" s="86" t="n">
        <v>1</v>
      </c>
      <c r="F18" s="87" t="n">
        <v>1098200</v>
      </c>
      <c r="G18" s="88" t="n">
        <f aca="false">IF($C18="",0,$E18*$F18)</f>
        <v>1098200</v>
      </c>
      <c r="H18" s="84" t="s">
        <v>292</v>
      </c>
      <c r="I18" s="89" t="n">
        <v>0</v>
      </c>
      <c r="J18" s="89" t="n">
        <v>0.1</v>
      </c>
      <c r="K18" s="88" t="n">
        <f aca="false">IF($C18="",0,$G18*$I18+$G18*(1+$I18)*$J18*IF(LEFT('01_專案設定_Setup'!$B$43,1)="否",1,0))</f>
        <v>109820</v>
      </c>
      <c r="L18" s="90" t="n">
        <f aca="false">IF($C18="",0,$G18+$K18)</f>
        <v>1208020</v>
      </c>
      <c r="M18" s="84" t="s">
        <v>293</v>
      </c>
      <c r="N18" s="91" t="n">
        <v>5</v>
      </c>
      <c r="O18" s="91" t="n">
        <v>5</v>
      </c>
      <c r="P18" s="89" t="n">
        <v>0</v>
      </c>
      <c r="Q18" s="92" t="n">
        <f aca="false">IF($C18="",0,$L18*'01_專案設定_Setup'!$B$30)</f>
        <v>1208.02</v>
      </c>
      <c r="R18" s="93" t="s">
        <v>325</v>
      </c>
    </row>
    <row r="19" customFormat="false" ht="19.5" hidden="false" customHeight="true" outlineLevel="0" collapsed="false">
      <c r="A19" s="33" t="n">
        <v>14</v>
      </c>
      <c r="B19" s="84" t="s">
        <v>307</v>
      </c>
      <c r="C19" s="95" t="s">
        <v>326</v>
      </c>
      <c r="D19" s="84" t="s">
        <v>309</v>
      </c>
      <c r="E19" s="86" t="n">
        <v>1</v>
      </c>
      <c r="F19" s="87" t="n">
        <v>1485800</v>
      </c>
      <c r="G19" s="88" t="n">
        <f aca="false">IF($C19="",0,$E19*$F19)</f>
        <v>1485800</v>
      </c>
      <c r="H19" s="84" t="s">
        <v>310</v>
      </c>
      <c r="I19" s="89" t="n">
        <v>0</v>
      </c>
      <c r="J19" s="89" t="n">
        <v>0.08</v>
      </c>
      <c r="K19" s="88" t="n">
        <f aca="false">IF($C19="",0,$G19*$I19+$G19*(1+$I19)*$J19*IF(LEFT('01_專案設定_Setup'!$B$43,1)="否",1,0))</f>
        <v>118864</v>
      </c>
      <c r="L19" s="90" t="n">
        <f aca="false">IF($C19="",0,$G19+$K19)</f>
        <v>1604664</v>
      </c>
      <c r="M19" s="84" t="s">
        <v>313</v>
      </c>
      <c r="N19" s="91" t="n">
        <v>0</v>
      </c>
      <c r="O19" s="91" t="n">
        <v>0</v>
      </c>
      <c r="P19" s="89" t="n">
        <v>0</v>
      </c>
      <c r="Q19" s="92" t="n">
        <f aca="false">IF($C19="",0,$L19*'01_專案設定_Setup'!$B$30)</f>
        <v>1604.664</v>
      </c>
      <c r="R19" s="93" t="s">
        <v>327</v>
      </c>
    </row>
    <row r="20" customFormat="false" ht="19.5" hidden="false" customHeight="true" outlineLevel="0" collapsed="false">
      <c r="A20" s="33" t="n">
        <v>15</v>
      </c>
      <c r="B20" s="84" t="s">
        <v>307</v>
      </c>
      <c r="C20" s="95" t="s">
        <v>328</v>
      </c>
      <c r="D20" s="84" t="s">
        <v>309</v>
      </c>
      <c r="E20" s="86" t="n">
        <v>1</v>
      </c>
      <c r="F20" s="87" t="n">
        <v>1679600</v>
      </c>
      <c r="G20" s="88" t="n">
        <f aca="false">IF($C20="",0,$E20*$F20)</f>
        <v>1679600</v>
      </c>
      <c r="H20" s="84" t="s">
        <v>310</v>
      </c>
      <c r="I20" s="89" t="n">
        <v>0</v>
      </c>
      <c r="J20" s="89" t="n">
        <v>0.08</v>
      </c>
      <c r="K20" s="88" t="n">
        <f aca="false">IF($C20="",0,$G20*$I20+$G20*(1+$I20)*$J20*IF(LEFT('01_專案設定_Setup'!$B$43,1)="否",1,0))</f>
        <v>134368</v>
      </c>
      <c r="L20" s="90" t="n">
        <f aca="false">IF($C20="",0,$G20+$K20)</f>
        <v>1813968</v>
      </c>
      <c r="M20" s="84" t="s">
        <v>313</v>
      </c>
      <c r="N20" s="91" t="n">
        <v>0</v>
      </c>
      <c r="O20" s="91" t="n">
        <v>0</v>
      </c>
      <c r="P20" s="89" t="n">
        <v>0</v>
      </c>
      <c r="Q20" s="92" t="n">
        <f aca="false">IF($C20="",0,$L20*'01_專案設定_Setup'!$B$30)</f>
        <v>1813.968</v>
      </c>
      <c r="R20" s="94" t="s">
        <v>329</v>
      </c>
    </row>
    <row r="21" customFormat="false" ht="19.5" hidden="false" customHeight="true" outlineLevel="0" collapsed="false">
      <c r="A21" s="33" t="n">
        <v>16</v>
      </c>
      <c r="B21" s="84" t="s">
        <v>330</v>
      </c>
      <c r="C21" s="95" t="s">
        <v>331</v>
      </c>
      <c r="D21" s="84" t="s">
        <v>309</v>
      </c>
      <c r="E21" s="86" t="n">
        <v>1</v>
      </c>
      <c r="F21" s="87" t="n">
        <v>2100000</v>
      </c>
      <c r="G21" s="88" t="n">
        <f aca="false">IF($C21="",0,$E21*$F21)</f>
        <v>2100000</v>
      </c>
      <c r="H21" s="84" t="s">
        <v>310</v>
      </c>
      <c r="I21" s="89" t="n">
        <v>0</v>
      </c>
      <c r="J21" s="89" t="n">
        <v>0.08</v>
      </c>
      <c r="K21" s="88" t="n">
        <f aca="false">IF($C21="",0,$G21*$I21+$G21*(1+$I21)*$J21*IF(LEFT('01_專案設定_Setup'!$B$43,1)="否",1,0))</f>
        <v>168000</v>
      </c>
      <c r="L21" s="90" t="n">
        <f aca="false">IF($C21="",0,$G21+$K21)</f>
        <v>2268000</v>
      </c>
      <c r="M21" s="84" t="s">
        <v>313</v>
      </c>
      <c r="N21" s="91" t="n">
        <v>0</v>
      </c>
      <c r="O21" s="91" t="n">
        <v>0</v>
      </c>
      <c r="P21" s="89" t="n">
        <v>0</v>
      </c>
      <c r="Q21" s="92" t="n">
        <f aca="false">IF($C21="",0,$L21*'01_專案設定_Setup'!$B$30)</f>
        <v>2268</v>
      </c>
      <c r="R21" s="94" t="s">
        <v>332</v>
      </c>
    </row>
    <row r="22" customFormat="false" ht="19.5" hidden="false" customHeight="true" outlineLevel="0" collapsed="false">
      <c r="A22" s="33" t="n">
        <v>17</v>
      </c>
      <c r="B22" s="84"/>
      <c r="C22" s="85"/>
      <c r="D22" s="84"/>
      <c r="E22" s="86"/>
      <c r="F22" s="87"/>
      <c r="G22" s="88" t="n">
        <f aca="false">IF($C22="",0,$E22*$F22)</f>
        <v>0</v>
      </c>
      <c r="H22" s="84"/>
      <c r="I22" s="89"/>
      <c r="J22" s="89"/>
      <c r="K22" s="88" t="n">
        <f aca="false">IF($C22="",0,$G22*$I22+$G22*(1+$I22)*$J22*IF(LEFT('01_專案設定_Setup'!$B$43,1)="否",1,0))</f>
        <v>0</v>
      </c>
      <c r="L22" s="90" t="n">
        <f aca="false">IF($C22="",0,$G22+$K22)</f>
        <v>0</v>
      </c>
      <c r="M22" s="84"/>
      <c r="N22" s="91"/>
      <c r="O22" s="91"/>
      <c r="P22" s="89"/>
      <c r="Q22" s="92" t="n">
        <f aca="false">IF($C22="",0,$L22*'01_專案設定_Setup'!$B$30)</f>
        <v>0</v>
      </c>
      <c r="R22" s="93"/>
    </row>
    <row r="23" customFormat="false" ht="19.5" hidden="false" customHeight="true" outlineLevel="0" collapsed="false">
      <c r="A23" s="33" t="n">
        <v>18</v>
      </c>
      <c r="B23" s="84"/>
      <c r="C23" s="85"/>
      <c r="D23" s="84"/>
      <c r="E23" s="86"/>
      <c r="F23" s="87"/>
      <c r="G23" s="88" t="n">
        <f aca="false">IF($C23="",0,$E23*$F23)</f>
        <v>0</v>
      </c>
      <c r="H23" s="84"/>
      <c r="I23" s="89"/>
      <c r="J23" s="89"/>
      <c r="K23" s="88" t="n">
        <f aca="false">IF($C23="",0,$G23*$I23+$G23*(1+$I23)*$J23*IF(LEFT('01_專案設定_Setup'!$B$43,1)="否",1,0))</f>
        <v>0</v>
      </c>
      <c r="L23" s="90" t="n">
        <f aca="false">IF($C23="",0,$G23+$K23)</f>
        <v>0</v>
      </c>
      <c r="M23" s="84"/>
      <c r="N23" s="91"/>
      <c r="O23" s="91"/>
      <c r="P23" s="89"/>
      <c r="Q23" s="92" t="n">
        <f aca="false">IF($C23="",0,$L23*'01_專案設定_Setup'!$B$30)</f>
        <v>0</v>
      </c>
      <c r="R23" s="93"/>
    </row>
    <row r="24" customFormat="false" ht="19.5" hidden="false" customHeight="true" outlineLevel="0" collapsed="false">
      <c r="A24" s="33" t="n">
        <v>19</v>
      </c>
      <c r="B24" s="84"/>
      <c r="C24" s="85"/>
      <c r="D24" s="84"/>
      <c r="E24" s="86"/>
      <c r="F24" s="87"/>
      <c r="G24" s="88" t="n">
        <f aca="false">IF($C24="",0,$E24*$F24)</f>
        <v>0</v>
      </c>
      <c r="H24" s="84"/>
      <c r="I24" s="89"/>
      <c r="J24" s="89"/>
      <c r="K24" s="88" t="n">
        <f aca="false">IF($C24="",0,$G24*$I24+$G24*(1+$I24)*$J24*IF(LEFT('01_專案設定_Setup'!$B$43,1)="否",1,0))</f>
        <v>0</v>
      </c>
      <c r="L24" s="90" t="n">
        <f aca="false">IF($C24="",0,$G24+$K24)</f>
        <v>0</v>
      </c>
      <c r="M24" s="84"/>
      <c r="N24" s="91"/>
      <c r="O24" s="91"/>
      <c r="P24" s="89"/>
      <c r="Q24" s="92" t="n">
        <f aca="false">IF($C24="",0,$L24*'01_專案設定_Setup'!$B$30)</f>
        <v>0</v>
      </c>
      <c r="R24" s="93"/>
    </row>
    <row r="25" customFormat="false" ht="19.5" hidden="false" customHeight="true" outlineLevel="0" collapsed="false">
      <c r="A25" s="33" t="n">
        <v>20</v>
      </c>
      <c r="B25" s="84"/>
      <c r="C25" s="85"/>
      <c r="D25" s="84"/>
      <c r="E25" s="86"/>
      <c r="F25" s="87"/>
      <c r="G25" s="88" t="n">
        <f aca="false">IF($C25="",0,$E25*$F25)</f>
        <v>0</v>
      </c>
      <c r="H25" s="84"/>
      <c r="I25" s="89"/>
      <c r="J25" s="89"/>
      <c r="K25" s="88" t="n">
        <f aca="false">IF($C25="",0,$G25*$I25+$G25*(1+$I25)*$J25*IF(LEFT('01_專案設定_Setup'!$B$43,1)="否",1,0))</f>
        <v>0</v>
      </c>
      <c r="L25" s="90" t="n">
        <f aca="false">IF($C25="",0,$G25+$K25)</f>
        <v>0</v>
      </c>
      <c r="M25" s="84"/>
      <c r="N25" s="91"/>
      <c r="O25" s="91"/>
      <c r="P25" s="89"/>
      <c r="Q25" s="92" t="n">
        <f aca="false">IF($C25="",0,$L25*'01_專案設定_Setup'!$B$30)</f>
        <v>0</v>
      </c>
      <c r="R25" s="93"/>
    </row>
    <row r="26" customFormat="false" ht="19.5" hidden="false" customHeight="true" outlineLevel="0" collapsed="false">
      <c r="A26" s="33" t="n">
        <v>21</v>
      </c>
      <c r="B26" s="84"/>
      <c r="C26" s="85"/>
      <c r="D26" s="84"/>
      <c r="E26" s="86"/>
      <c r="F26" s="87"/>
      <c r="G26" s="88" t="n">
        <f aca="false">IF($C26="",0,$E26*$F26)</f>
        <v>0</v>
      </c>
      <c r="H26" s="84"/>
      <c r="I26" s="89"/>
      <c r="J26" s="89"/>
      <c r="K26" s="88" t="n">
        <f aca="false">IF($C26="",0,$G26*$I26+$G26*(1+$I26)*$J26*IF(LEFT('01_專案設定_Setup'!$B$43,1)="否",1,0))</f>
        <v>0</v>
      </c>
      <c r="L26" s="90" t="n">
        <f aca="false">IF($C26="",0,$G26+$K26)</f>
        <v>0</v>
      </c>
      <c r="M26" s="84"/>
      <c r="N26" s="91"/>
      <c r="O26" s="91"/>
      <c r="P26" s="89"/>
      <c r="Q26" s="92" t="n">
        <f aca="false">IF($C26="",0,$L26*'01_專案設定_Setup'!$B$30)</f>
        <v>0</v>
      </c>
      <c r="R26" s="93"/>
    </row>
    <row r="27" customFormat="false" ht="19.5" hidden="false" customHeight="true" outlineLevel="0" collapsed="false">
      <c r="A27" s="33" t="n">
        <v>22</v>
      </c>
      <c r="B27" s="84"/>
      <c r="C27" s="85"/>
      <c r="D27" s="84"/>
      <c r="E27" s="86"/>
      <c r="F27" s="87"/>
      <c r="G27" s="88" t="n">
        <f aca="false">IF($C27="",0,$E27*$F27)</f>
        <v>0</v>
      </c>
      <c r="H27" s="84"/>
      <c r="I27" s="89"/>
      <c r="J27" s="89"/>
      <c r="K27" s="88" t="n">
        <f aca="false">IF($C27="",0,$G27*$I27+$G27*(1+$I27)*$J27*IF(LEFT('01_專案設定_Setup'!$B$43,1)="否",1,0))</f>
        <v>0</v>
      </c>
      <c r="L27" s="90" t="n">
        <f aca="false">IF($C27="",0,$G27+$K27)</f>
        <v>0</v>
      </c>
      <c r="M27" s="84"/>
      <c r="N27" s="91"/>
      <c r="O27" s="91"/>
      <c r="P27" s="89"/>
      <c r="Q27" s="92" t="n">
        <f aca="false">IF($C27="",0,$L27*'01_專案設定_Setup'!$B$30)</f>
        <v>0</v>
      </c>
      <c r="R27" s="93"/>
    </row>
    <row r="28" customFormat="false" ht="19.5" hidden="false" customHeight="true" outlineLevel="0" collapsed="false">
      <c r="A28" s="33" t="n">
        <v>23</v>
      </c>
      <c r="B28" s="84"/>
      <c r="C28" s="85"/>
      <c r="D28" s="84"/>
      <c r="E28" s="86"/>
      <c r="F28" s="87"/>
      <c r="G28" s="88" t="n">
        <f aca="false">IF($C28="",0,$E28*$F28)</f>
        <v>0</v>
      </c>
      <c r="H28" s="84"/>
      <c r="I28" s="89"/>
      <c r="J28" s="89"/>
      <c r="K28" s="88" t="n">
        <f aca="false">IF($C28="",0,$G28*$I28+$G28*(1+$I28)*$J28*IF(LEFT('01_專案設定_Setup'!$B$43,1)="否",1,0))</f>
        <v>0</v>
      </c>
      <c r="L28" s="90" t="n">
        <f aca="false">IF($C28="",0,$G28+$K28)</f>
        <v>0</v>
      </c>
      <c r="M28" s="84"/>
      <c r="N28" s="91"/>
      <c r="O28" s="91"/>
      <c r="P28" s="89"/>
      <c r="Q28" s="92" t="n">
        <f aca="false">IF($C28="",0,$L28*'01_專案設定_Setup'!$B$30)</f>
        <v>0</v>
      </c>
      <c r="R28" s="93"/>
    </row>
    <row r="29" customFormat="false" ht="19.5" hidden="false" customHeight="true" outlineLevel="0" collapsed="false">
      <c r="A29" s="33" t="n">
        <v>24</v>
      </c>
      <c r="B29" s="84"/>
      <c r="C29" s="85"/>
      <c r="D29" s="84"/>
      <c r="E29" s="86"/>
      <c r="F29" s="87"/>
      <c r="G29" s="88" t="n">
        <f aca="false">IF($C29="",0,$E29*$F29)</f>
        <v>0</v>
      </c>
      <c r="H29" s="84"/>
      <c r="I29" s="89"/>
      <c r="J29" s="89"/>
      <c r="K29" s="88" t="n">
        <f aca="false">IF($C29="",0,$G29*$I29+$G29*(1+$I29)*$J29*IF(LEFT('01_專案設定_Setup'!$B$43,1)="否",1,0))</f>
        <v>0</v>
      </c>
      <c r="L29" s="90" t="n">
        <f aca="false">IF($C29="",0,$G29+$K29)</f>
        <v>0</v>
      </c>
      <c r="M29" s="84"/>
      <c r="N29" s="91"/>
      <c r="O29" s="91"/>
      <c r="P29" s="89"/>
      <c r="Q29" s="92" t="n">
        <f aca="false">IF($C29="",0,$L29*'01_專案設定_Setup'!$B$30)</f>
        <v>0</v>
      </c>
      <c r="R29" s="93"/>
    </row>
    <row r="30" customFormat="false" ht="19.5" hidden="false" customHeight="true" outlineLevel="0" collapsed="false">
      <c r="A30" s="33" t="n">
        <v>25</v>
      </c>
      <c r="B30" s="84"/>
      <c r="C30" s="85"/>
      <c r="D30" s="84"/>
      <c r="E30" s="86"/>
      <c r="F30" s="87"/>
      <c r="G30" s="88" t="n">
        <f aca="false">IF($C30="",0,$E30*$F30)</f>
        <v>0</v>
      </c>
      <c r="H30" s="84"/>
      <c r="I30" s="89"/>
      <c r="J30" s="89"/>
      <c r="K30" s="88" t="n">
        <f aca="false">IF($C30="",0,$G30*$I30+$G30*(1+$I30)*$J30*IF(LEFT('01_專案設定_Setup'!$B$43,1)="否",1,0))</f>
        <v>0</v>
      </c>
      <c r="L30" s="90" t="n">
        <f aca="false">IF($C30="",0,$G30+$K30)</f>
        <v>0</v>
      </c>
      <c r="M30" s="84"/>
      <c r="N30" s="91"/>
      <c r="O30" s="91"/>
      <c r="P30" s="89"/>
      <c r="Q30" s="92" t="n">
        <f aca="false">IF($C30="",0,$L30*'01_專案設定_Setup'!$B$30)</f>
        <v>0</v>
      </c>
      <c r="R30" s="93"/>
    </row>
    <row r="31" customFormat="false" ht="19.5" hidden="false" customHeight="true" outlineLevel="0" collapsed="false">
      <c r="A31" s="33" t="n">
        <v>26</v>
      </c>
      <c r="B31" s="84"/>
      <c r="C31" s="85"/>
      <c r="D31" s="84"/>
      <c r="E31" s="86"/>
      <c r="F31" s="87"/>
      <c r="G31" s="88" t="n">
        <f aca="false">IF($C31="",0,$E31*$F31)</f>
        <v>0</v>
      </c>
      <c r="H31" s="84"/>
      <c r="I31" s="89"/>
      <c r="J31" s="89"/>
      <c r="K31" s="88" t="n">
        <f aca="false">IF($C31="",0,$G31*$I31+$G31*(1+$I31)*$J31*IF(LEFT('01_專案設定_Setup'!$B$43,1)="否",1,0))</f>
        <v>0</v>
      </c>
      <c r="L31" s="90" t="n">
        <f aca="false">IF($C31="",0,$G31+$K31)</f>
        <v>0</v>
      </c>
      <c r="M31" s="84"/>
      <c r="N31" s="91"/>
      <c r="O31" s="91"/>
      <c r="P31" s="89"/>
      <c r="Q31" s="92" t="n">
        <f aca="false">IF($C31="",0,$L31*'01_專案設定_Setup'!$B$30)</f>
        <v>0</v>
      </c>
      <c r="R31" s="93"/>
    </row>
    <row r="32" customFormat="false" ht="19.5" hidden="false" customHeight="true" outlineLevel="0" collapsed="false">
      <c r="A32" s="33" t="n">
        <v>27</v>
      </c>
      <c r="B32" s="84"/>
      <c r="C32" s="85"/>
      <c r="D32" s="84"/>
      <c r="E32" s="86"/>
      <c r="F32" s="87"/>
      <c r="G32" s="88" t="n">
        <f aca="false">IF($C32="",0,$E32*$F32)</f>
        <v>0</v>
      </c>
      <c r="H32" s="84"/>
      <c r="I32" s="89"/>
      <c r="J32" s="89"/>
      <c r="K32" s="88" t="n">
        <f aca="false">IF($C32="",0,$G32*$I32+$G32*(1+$I32)*$J32*IF(LEFT('01_專案設定_Setup'!$B$43,1)="否",1,0))</f>
        <v>0</v>
      </c>
      <c r="L32" s="90" t="n">
        <f aca="false">IF($C32="",0,$G32+$K32)</f>
        <v>0</v>
      </c>
      <c r="M32" s="84"/>
      <c r="N32" s="91"/>
      <c r="O32" s="91"/>
      <c r="P32" s="89"/>
      <c r="Q32" s="92" t="n">
        <f aca="false">IF($C32="",0,$L32*'01_專案設定_Setup'!$B$30)</f>
        <v>0</v>
      </c>
      <c r="R32" s="93"/>
    </row>
    <row r="33" customFormat="false" ht="19.5" hidden="false" customHeight="true" outlineLevel="0" collapsed="false">
      <c r="A33" s="33" t="n">
        <v>28</v>
      </c>
      <c r="B33" s="84"/>
      <c r="C33" s="85"/>
      <c r="D33" s="84"/>
      <c r="E33" s="86"/>
      <c r="F33" s="87"/>
      <c r="G33" s="88" t="n">
        <f aca="false">IF($C33="",0,$E33*$F33)</f>
        <v>0</v>
      </c>
      <c r="H33" s="84"/>
      <c r="I33" s="89"/>
      <c r="J33" s="89"/>
      <c r="K33" s="88" t="n">
        <f aca="false">IF($C33="",0,$G33*$I33+$G33*(1+$I33)*$J33*IF(LEFT('01_專案設定_Setup'!$B$43,1)="否",1,0))</f>
        <v>0</v>
      </c>
      <c r="L33" s="90" t="n">
        <f aca="false">IF($C33="",0,$G33+$K33)</f>
        <v>0</v>
      </c>
      <c r="M33" s="84"/>
      <c r="N33" s="91"/>
      <c r="O33" s="91"/>
      <c r="P33" s="89"/>
      <c r="Q33" s="92" t="n">
        <f aca="false">IF($C33="",0,$L33*'01_專案設定_Setup'!$B$30)</f>
        <v>0</v>
      </c>
      <c r="R33" s="93"/>
    </row>
    <row r="34" customFormat="false" ht="19.5" hidden="false" customHeight="true" outlineLevel="0" collapsed="false">
      <c r="A34" s="33" t="n">
        <v>29</v>
      </c>
      <c r="B34" s="84"/>
      <c r="C34" s="85"/>
      <c r="D34" s="84"/>
      <c r="E34" s="86"/>
      <c r="F34" s="87"/>
      <c r="G34" s="88" t="n">
        <f aca="false">IF($C34="",0,$E34*$F34)</f>
        <v>0</v>
      </c>
      <c r="H34" s="84"/>
      <c r="I34" s="89"/>
      <c r="J34" s="89"/>
      <c r="K34" s="88" t="n">
        <f aca="false">IF($C34="",0,$G34*$I34+$G34*(1+$I34)*$J34*IF(LEFT('01_專案設定_Setup'!$B$43,1)="否",1,0))</f>
        <v>0</v>
      </c>
      <c r="L34" s="90" t="n">
        <f aca="false">IF($C34="",0,$G34+$K34)</f>
        <v>0</v>
      </c>
      <c r="M34" s="84"/>
      <c r="N34" s="91"/>
      <c r="O34" s="91"/>
      <c r="P34" s="89"/>
      <c r="Q34" s="92" t="n">
        <f aca="false">IF($C34="",0,$L34*'01_專案設定_Setup'!$B$30)</f>
        <v>0</v>
      </c>
      <c r="R34" s="93"/>
    </row>
    <row r="35" customFormat="false" ht="19.5" hidden="false" customHeight="true" outlineLevel="0" collapsed="false">
      <c r="A35" s="33" t="n">
        <v>30</v>
      </c>
      <c r="B35" s="84"/>
      <c r="C35" s="85"/>
      <c r="D35" s="84"/>
      <c r="E35" s="86"/>
      <c r="F35" s="87"/>
      <c r="G35" s="88" t="n">
        <f aca="false">IF($C35="",0,$E35*$F35)</f>
        <v>0</v>
      </c>
      <c r="H35" s="84"/>
      <c r="I35" s="89"/>
      <c r="J35" s="89"/>
      <c r="K35" s="88" t="n">
        <f aca="false">IF($C35="",0,$G35*$I35+$G35*(1+$I35)*$J35*IF(LEFT('01_專案設定_Setup'!$B$43,1)="否",1,0))</f>
        <v>0</v>
      </c>
      <c r="L35" s="90" t="n">
        <f aca="false">IF($C35="",0,$G35+$K35)</f>
        <v>0</v>
      </c>
      <c r="M35" s="84"/>
      <c r="N35" s="91"/>
      <c r="O35" s="91"/>
      <c r="P35" s="89"/>
      <c r="Q35" s="92" t="n">
        <f aca="false">IF($C35="",0,$L35*'01_專案設定_Setup'!$B$30)</f>
        <v>0</v>
      </c>
      <c r="R35" s="93"/>
    </row>
    <row r="36" customFormat="false" ht="19.5" hidden="false" customHeight="true" outlineLevel="0" collapsed="false">
      <c r="A36" s="33" t="n">
        <v>31</v>
      </c>
      <c r="B36" s="84"/>
      <c r="C36" s="85"/>
      <c r="D36" s="84"/>
      <c r="E36" s="86"/>
      <c r="F36" s="87"/>
      <c r="G36" s="88" t="n">
        <f aca="false">IF($C36="",0,$E36*$F36)</f>
        <v>0</v>
      </c>
      <c r="H36" s="84"/>
      <c r="I36" s="89"/>
      <c r="J36" s="89"/>
      <c r="K36" s="88" t="n">
        <f aca="false">IF($C36="",0,$G36*$I36+$G36*(1+$I36)*$J36*IF(LEFT('01_專案設定_Setup'!$B$43,1)="否",1,0))</f>
        <v>0</v>
      </c>
      <c r="L36" s="90" t="n">
        <f aca="false">IF($C36="",0,$G36+$K36)</f>
        <v>0</v>
      </c>
      <c r="M36" s="84"/>
      <c r="N36" s="91"/>
      <c r="O36" s="91"/>
      <c r="P36" s="89"/>
      <c r="Q36" s="92" t="n">
        <f aca="false">IF($C36="",0,$L36*'01_專案設定_Setup'!$B$30)</f>
        <v>0</v>
      </c>
      <c r="R36" s="93"/>
    </row>
    <row r="37" customFormat="false" ht="19.5" hidden="false" customHeight="true" outlineLevel="0" collapsed="false">
      <c r="A37" s="33" t="n">
        <v>32</v>
      </c>
      <c r="B37" s="84"/>
      <c r="C37" s="85"/>
      <c r="D37" s="84"/>
      <c r="E37" s="86"/>
      <c r="F37" s="87"/>
      <c r="G37" s="88" t="n">
        <f aca="false">IF($C37="",0,$E37*$F37)</f>
        <v>0</v>
      </c>
      <c r="H37" s="84"/>
      <c r="I37" s="89"/>
      <c r="J37" s="89"/>
      <c r="K37" s="88" t="n">
        <f aca="false">IF($C37="",0,$G37*$I37+$G37*(1+$I37)*$J37*IF(LEFT('01_專案設定_Setup'!$B$43,1)="否",1,0))</f>
        <v>0</v>
      </c>
      <c r="L37" s="90" t="n">
        <f aca="false">IF($C37="",0,$G37+$K37)</f>
        <v>0</v>
      </c>
      <c r="M37" s="84"/>
      <c r="N37" s="91"/>
      <c r="O37" s="91"/>
      <c r="P37" s="89"/>
      <c r="Q37" s="92" t="n">
        <f aca="false">IF($C37="",0,$L37*'01_專案設定_Setup'!$B$30)</f>
        <v>0</v>
      </c>
      <c r="R37" s="93"/>
    </row>
    <row r="38" customFormat="false" ht="19.5" hidden="false" customHeight="true" outlineLevel="0" collapsed="false">
      <c r="A38" s="33" t="n">
        <v>33</v>
      </c>
      <c r="B38" s="84"/>
      <c r="C38" s="85"/>
      <c r="D38" s="84"/>
      <c r="E38" s="86"/>
      <c r="F38" s="87"/>
      <c r="G38" s="88" t="n">
        <f aca="false">IF($C38="",0,$E38*$F38)</f>
        <v>0</v>
      </c>
      <c r="H38" s="84"/>
      <c r="I38" s="89"/>
      <c r="J38" s="89"/>
      <c r="K38" s="88" t="n">
        <f aca="false">IF($C38="",0,$G38*$I38+$G38*(1+$I38)*$J38*IF(LEFT('01_專案設定_Setup'!$B$43,1)="否",1,0))</f>
        <v>0</v>
      </c>
      <c r="L38" s="90" t="n">
        <f aca="false">IF($C38="",0,$G38+$K38)</f>
        <v>0</v>
      </c>
      <c r="M38" s="84"/>
      <c r="N38" s="91"/>
      <c r="O38" s="91"/>
      <c r="P38" s="89"/>
      <c r="Q38" s="92" t="n">
        <f aca="false">IF($C38="",0,$L38*'01_專案設定_Setup'!$B$30)</f>
        <v>0</v>
      </c>
      <c r="R38" s="93"/>
    </row>
    <row r="39" customFormat="false" ht="19.5" hidden="false" customHeight="true" outlineLevel="0" collapsed="false">
      <c r="A39" s="33" t="n">
        <v>34</v>
      </c>
      <c r="B39" s="84"/>
      <c r="C39" s="85"/>
      <c r="D39" s="84"/>
      <c r="E39" s="86"/>
      <c r="F39" s="87"/>
      <c r="G39" s="88" t="n">
        <f aca="false">IF($C39="",0,$E39*$F39)</f>
        <v>0</v>
      </c>
      <c r="H39" s="84"/>
      <c r="I39" s="89"/>
      <c r="J39" s="89"/>
      <c r="K39" s="88" t="n">
        <f aca="false">IF($C39="",0,$G39*$I39+$G39*(1+$I39)*$J39*IF(LEFT('01_專案設定_Setup'!$B$43,1)="否",1,0))</f>
        <v>0</v>
      </c>
      <c r="L39" s="90" t="n">
        <f aca="false">IF($C39="",0,$G39+$K39)</f>
        <v>0</v>
      </c>
      <c r="M39" s="84"/>
      <c r="N39" s="91"/>
      <c r="O39" s="91"/>
      <c r="P39" s="89"/>
      <c r="Q39" s="92" t="n">
        <f aca="false">IF($C39="",0,$L39*'01_專案設定_Setup'!$B$30)</f>
        <v>0</v>
      </c>
      <c r="R39" s="93"/>
    </row>
    <row r="40" customFormat="false" ht="19.5" hidden="false" customHeight="true" outlineLevel="0" collapsed="false">
      <c r="A40" s="33" t="n">
        <v>35</v>
      </c>
      <c r="B40" s="84"/>
      <c r="C40" s="85"/>
      <c r="D40" s="84"/>
      <c r="E40" s="86"/>
      <c r="F40" s="87"/>
      <c r="G40" s="88" t="n">
        <f aca="false">IF($C40="",0,$E40*$F40)</f>
        <v>0</v>
      </c>
      <c r="H40" s="84"/>
      <c r="I40" s="89"/>
      <c r="J40" s="89"/>
      <c r="K40" s="88" t="n">
        <f aca="false">IF($C40="",0,$G40*$I40+$G40*(1+$I40)*$J40*IF(LEFT('01_專案設定_Setup'!$B$43,1)="否",1,0))</f>
        <v>0</v>
      </c>
      <c r="L40" s="90" t="n">
        <f aca="false">IF($C40="",0,$G40+$K40)</f>
        <v>0</v>
      </c>
      <c r="M40" s="84"/>
      <c r="N40" s="91"/>
      <c r="O40" s="91"/>
      <c r="P40" s="89"/>
      <c r="Q40" s="92" t="n">
        <f aca="false">IF($C40="",0,$L40*'01_專案設定_Setup'!$B$30)</f>
        <v>0</v>
      </c>
      <c r="R40" s="93"/>
    </row>
    <row r="41" customFormat="false" ht="19.5" hidden="false" customHeight="true" outlineLevel="0" collapsed="false">
      <c r="A41" s="33" t="n">
        <v>36</v>
      </c>
      <c r="B41" s="84"/>
      <c r="C41" s="85"/>
      <c r="D41" s="84"/>
      <c r="E41" s="86"/>
      <c r="F41" s="87"/>
      <c r="G41" s="88" t="n">
        <f aca="false">IF($C41="",0,$E41*$F41)</f>
        <v>0</v>
      </c>
      <c r="H41" s="84"/>
      <c r="I41" s="89"/>
      <c r="J41" s="89"/>
      <c r="K41" s="88" t="n">
        <f aca="false">IF($C41="",0,$G41*$I41+$G41*(1+$I41)*$J41*IF(LEFT('01_專案設定_Setup'!$B$43,1)="否",1,0))</f>
        <v>0</v>
      </c>
      <c r="L41" s="90" t="n">
        <f aca="false">IF($C41="",0,$G41+$K41)</f>
        <v>0</v>
      </c>
      <c r="M41" s="84"/>
      <c r="N41" s="91"/>
      <c r="O41" s="91"/>
      <c r="P41" s="89"/>
      <c r="Q41" s="92" t="n">
        <f aca="false">IF($C41="",0,$L41*'01_專案設定_Setup'!$B$30)</f>
        <v>0</v>
      </c>
      <c r="R41" s="93"/>
    </row>
    <row r="42" customFormat="false" ht="19.5" hidden="false" customHeight="true" outlineLevel="0" collapsed="false">
      <c r="A42" s="33" t="n">
        <v>37</v>
      </c>
      <c r="B42" s="84"/>
      <c r="C42" s="85"/>
      <c r="D42" s="84"/>
      <c r="E42" s="86"/>
      <c r="F42" s="87"/>
      <c r="G42" s="88" t="n">
        <f aca="false">IF($C42="",0,$E42*$F42)</f>
        <v>0</v>
      </c>
      <c r="H42" s="84"/>
      <c r="I42" s="89"/>
      <c r="J42" s="89"/>
      <c r="K42" s="88" t="n">
        <f aca="false">IF($C42="",0,$G42*$I42+$G42*(1+$I42)*$J42*IF(LEFT('01_專案設定_Setup'!$B$43,1)="否",1,0))</f>
        <v>0</v>
      </c>
      <c r="L42" s="90" t="n">
        <f aca="false">IF($C42="",0,$G42+$K42)</f>
        <v>0</v>
      </c>
      <c r="M42" s="84"/>
      <c r="N42" s="91"/>
      <c r="O42" s="91"/>
      <c r="P42" s="89"/>
      <c r="Q42" s="92" t="n">
        <f aca="false">IF($C42="",0,$L42*'01_專案設定_Setup'!$B$30)</f>
        <v>0</v>
      </c>
      <c r="R42" s="93"/>
    </row>
    <row r="43" customFormat="false" ht="19.5" hidden="false" customHeight="true" outlineLevel="0" collapsed="false">
      <c r="A43" s="33" t="n">
        <v>38</v>
      </c>
      <c r="B43" s="84"/>
      <c r="C43" s="85"/>
      <c r="D43" s="84"/>
      <c r="E43" s="86"/>
      <c r="F43" s="87"/>
      <c r="G43" s="88" t="n">
        <f aca="false">IF($C43="",0,$E43*$F43)</f>
        <v>0</v>
      </c>
      <c r="H43" s="84"/>
      <c r="I43" s="89"/>
      <c r="J43" s="89"/>
      <c r="K43" s="88" t="n">
        <f aca="false">IF($C43="",0,$G43*$I43+$G43*(1+$I43)*$J43*IF(LEFT('01_專案設定_Setup'!$B$43,1)="否",1,0))</f>
        <v>0</v>
      </c>
      <c r="L43" s="90" t="n">
        <f aca="false">IF($C43="",0,$G43+$K43)</f>
        <v>0</v>
      </c>
      <c r="M43" s="84"/>
      <c r="N43" s="91"/>
      <c r="O43" s="91"/>
      <c r="P43" s="89"/>
      <c r="Q43" s="92" t="n">
        <f aca="false">IF($C43="",0,$L43*'01_專案設定_Setup'!$B$30)</f>
        <v>0</v>
      </c>
      <c r="R43" s="93"/>
    </row>
    <row r="44" customFormat="false" ht="19.5" hidden="false" customHeight="true" outlineLevel="0" collapsed="false">
      <c r="A44" s="33" t="n">
        <v>39</v>
      </c>
      <c r="B44" s="84"/>
      <c r="C44" s="85"/>
      <c r="D44" s="84"/>
      <c r="E44" s="86"/>
      <c r="F44" s="87"/>
      <c r="G44" s="88" t="n">
        <f aca="false">IF($C44="",0,$E44*$F44)</f>
        <v>0</v>
      </c>
      <c r="H44" s="84"/>
      <c r="I44" s="89"/>
      <c r="J44" s="89"/>
      <c r="K44" s="88" t="n">
        <f aca="false">IF($C44="",0,$G44*$I44+$G44*(1+$I44)*$J44*IF(LEFT('01_專案設定_Setup'!$B$43,1)="否",1,0))</f>
        <v>0</v>
      </c>
      <c r="L44" s="90" t="n">
        <f aca="false">IF($C44="",0,$G44+$K44)</f>
        <v>0</v>
      </c>
      <c r="M44" s="84"/>
      <c r="N44" s="91"/>
      <c r="O44" s="91"/>
      <c r="P44" s="89"/>
      <c r="Q44" s="92" t="n">
        <f aca="false">IF($C44="",0,$L44*'01_專案設定_Setup'!$B$30)</f>
        <v>0</v>
      </c>
      <c r="R44" s="93"/>
    </row>
    <row r="45" customFormat="false" ht="19.5" hidden="false" customHeight="true" outlineLevel="0" collapsed="false">
      <c r="A45" s="33" t="n">
        <v>40</v>
      </c>
      <c r="B45" s="84"/>
      <c r="C45" s="85"/>
      <c r="D45" s="84"/>
      <c r="E45" s="86"/>
      <c r="F45" s="87"/>
      <c r="G45" s="88" t="n">
        <f aca="false">IF($C45="",0,$E45*$F45)</f>
        <v>0</v>
      </c>
      <c r="H45" s="84"/>
      <c r="I45" s="89"/>
      <c r="J45" s="89"/>
      <c r="K45" s="88" t="n">
        <f aca="false">IF($C45="",0,$G45*$I45+$G45*(1+$I45)*$J45*IF(LEFT('01_專案設定_Setup'!$B$43,1)="否",1,0))</f>
        <v>0</v>
      </c>
      <c r="L45" s="90" t="n">
        <f aca="false">IF($C45="",0,$G45+$K45)</f>
        <v>0</v>
      </c>
      <c r="M45" s="84"/>
      <c r="N45" s="91"/>
      <c r="O45" s="91"/>
      <c r="P45" s="89"/>
      <c r="Q45" s="92" t="n">
        <f aca="false">IF($C45="",0,$L45*'01_專案設定_Setup'!$B$30)</f>
        <v>0</v>
      </c>
      <c r="R45" s="93"/>
    </row>
    <row r="46" customFormat="false" ht="19.5" hidden="false" customHeight="true" outlineLevel="0" collapsed="false">
      <c r="A46" s="33" t="n">
        <v>41</v>
      </c>
      <c r="B46" s="84"/>
      <c r="C46" s="85"/>
      <c r="D46" s="84"/>
      <c r="E46" s="86"/>
      <c r="F46" s="87"/>
      <c r="G46" s="88" t="n">
        <f aca="false">IF($C46="",0,$E46*$F46)</f>
        <v>0</v>
      </c>
      <c r="H46" s="84"/>
      <c r="I46" s="89"/>
      <c r="J46" s="89"/>
      <c r="K46" s="88" t="n">
        <f aca="false">IF($C46="",0,$G46*$I46+$G46*(1+$I46)*$J46*IF(LEFT('01_專案設定_Setup'!$B$43,1)="否",1,0))</f>
        <v>0</v>
      </c>
      <c r="L46" s="90" t="n">
        <f aca="false">IF($C46="",0,$G46+$K46)</f>
        <v>0</v>
      </c>
      <c r="M46" s="84"/>
      <c r="N46" s="91"/>
      <c r="O46" s="91"/>
      <c r="P46" s="89"/>
      <c r="Q46" s="92" t="n">
        <f aca="false">IF($C46="",0,$L46*'01_專案設定_Setup'!$B$30)</f>
        <v>0</v>
      </c>
      <c r="R46" s="93"/>
    </row>
    <row r="47" customFormat="false" ht="19.5" hidden="false" customHeight="true" outlineLevel="0" collapsed="false">
      <c r="A47" s="33" t="n">
        <v>42</v>
      </c>
      <c r="B47" s="84"/>
      <c r="C47" s="85"/>
      <c r="D47" s="84"/>
      <c r="E47" s="86"/>
      <c r="F47" s="87"/>
      <c r="G47" s="88" t="n">
        <f aca="false">IF($C47="",0,$E47*$F47)</f>
        <v>0</v>
      </c>
      <c r="H47" s="84"/>
      <c r="I47" s="89"/>
      <c r="J47" s="89"/>
      <c r="K47" s="88" t="n">
        <f aca="false">IF($C47="",0,$G47*$I47+$G47*(1+$I47)*$J47*IF(LEFT('01_專案設定_Setup'!$B$43,1)="否",1,0))</f>
        <v>0</v>
      </c>
      <c r="L47" s="90" t="n">
        <f aca="false">IF($C47="",0,$G47+$K47)</f>
        <v>0</v>
      </c>
      <c r="M47" s="84"/>
      <c r="N47" s="91"/>
      <c r="O47" s="91"/>
      <c r="P47" s="89"/>
      <c r="Q47" s="92" t="n">
        <f aca="false">IF($C47="",0,$L47*'01_專案設定_Setup'!$B$30)</f>
        <v>0</v>
      </c>
      <c r="R47" s="93"/>
    </row>
    <row r="48" customFormat="false" ht="19.5" hidden="false" customHeight="true" outlineLevel="0" collapsed="false">
      <c r="A48" s="33" t="n">
        <v>43</v>
      </c>
      <c r="B48" s="84"/>
      <c r="C48" s="85"/>
      <c r="D48" s="84"/>
      <c r="E48" s="86"/>
      <c r="F48" s="87"/>
      <c r="G48" s="88" t="n">
        <f aca="false">IF($C48="",0,$E48*$F48)</f>
        <v>0</v>
      </c>
      <c r="H48" s="84"/>
      <c r="I48" s="89"/>
      <c r="J48" s="89"/>
      <c r="K48" s="88" t="n">
        <f aca="false">IF($C48="",0,$G48*$I48+$G48*(1+$I48)*$J48*IF(LEFT('01_專案設定_Setup'!$B$43,1)="否",1,0))</f>
        <v>0</v>
      </c>
      <c r="L48" s="90" t="n">
        <f aca="false">IF($C48="",0,$G48+$K48)</f>
        <v>0</v>
      </c>
      <c r="M48" s="84"/>
      <c r="N48" s="91"/>
      <c r="O48" s="91"/>
      <c r="P48" s="89"/>
      <c r="Q48" s="92" t="n">
        <f aca="false">IF($C48="",0,$L48*'01_專案設定_Setup'!$B$30)</f>
        <v>0</v>
      </c>
      <c r="R48" s="93"/>
    </row>
    <row r="49" customFormat="false" ht="19.5" hidden="false" customHeight="true" outlineLevel="0" collapsed="false">
      <c r="A49" s="33" t="n">
        <v>44</v>
      </c>
      <c r="B49" s="84"/>
      <c r="C49" s="85"/>
      <c r="D49" s="84"/>
      <c r="E49" s="86"/>
      <c r="F49" s="87"/>
      <c r="G49" s="88" t="n">
        <f aca="false">IF($C49="",0,$E49*$F49)</f>
        <v>0</v>
      </c>
      <c r="H49" s="84"/>
      <c r="I49" s="89"/>
      <c r="J49" s="89"/>
      <c r="K49" s="88" t="n">
        <f aca="false">IF($C49="",0,$G49*$I49+$G49*(1+$I49)*$J49*IF(LEFT('01_專案設定_Setup'!$B$43,1)="否",1,0))</f>
        <v>0</v>
      </c>
      <c r="L49" s="90" t="n">
        <f aca="false">IF($C49="",0,$G49+$K49)</f>
        <v>0</v>
      </c>
      <c r="M49" s="84"/>
      <c r="N49" s="91"/>
      <c r="O49" s="91"/>
      <c r="P49" s="89"/>
      <c r="Q49" s="92" t="n">
        <f aca="false">IF($C49="",0,$L49*'01_專案設定_Setup'!$B$30)</f>
        <v>0</v>
      </c>
      <c r="R49" s="93"/>
    </row>
    <row r="50" customFormat="false" ht="19.5" hidden="false" customHeight="true" outlineLevel="0" collapsed="false">
      <c r="A50" s="33" t="n">
        <v>45</v>
      </c>
      <c r="B50" s="84"/>
      <c r="C50" s="85"/>
      <c r="D50" s="84"/>
      <c r="E50" s="86"/>
      <c r="F50" s="87"/>
      <c r="G50" s="88" t="n">
        <f aca="false">IF($C50="",0,$E50*$F50)</f>
        <v>0</v>
      </c>
      <c r="H50" s="84"/>
      <c r="I50" s="89"/>
      <c r="J50" s="89"/>
      <c r="K50" s="88" t="n">
        <f aca="false">IF($C50="",0,$G50*$I50+$G50*(1+$I50)*$J50*IF(LEFT('01_專案設定_Setup'!$B$43,1)="否",1,0))</f>
        <v>0</v>
      </c>
      <c r="L50" s="90" t="n">
        <f aca="false">IF($C50="",0,$G50+$K50)</f>
        <v>0</v>
      </c>
      <c r="M50" s="84"/>
      <c r="N50" s="91"/>
      <c r="O50" s="91"/>
      <c r="P50" s="89"/>
      <c r="Q50" s="92" t="n">
        <f aca="false">IF($C50="",0,$L50*'01_專案設定_Setup'!$B$30)</f>
        <v>0</v>
      </c>
      <c r="R50" s="93"/>
    </row>
    <row r="51" customFormat="false" ht="19.5" hidden="false" customHeight="true" outlineLevel="0" collapsed="false">
      <c r="A51" s="33" t="n">
        <v>46</v>
      </c>
      <c r="B51" s="84"/>
      <c r="C51" s="85"/>
      <c r="D51" s="84"/>
      <c r="E51" s="86"/>
      <c r="F51" s="87"/>
      <c r="G51" s="88" t="n">
        <f aca="false">IF($C51="",0,$E51*$F51)</f>
        <v>0</v>
      </c>
      <c r="H51" s="84"/>
      <c r="I51" s="89"/>
      <c r="J51" s="89"/>
      <c r="K51" s="88" t="n">
        <f aca="false">IF($C51="",0,$G51*$I51+$G51*(1+$I51)*$J51*IF(LEFT('01_專案設定_Setup'!$B$43,1)="否",1,0))</f>
        <v>0</v>
      </c>
      <c r="L51" s="90" t="n">
        <f aca="false">IF($C51="",0,$G51+$K51)</f>
        <v>0</v>
      </c>
      <c r="M51" s="84"/>
      <c r="N51" s="91"/>
      <c r="O51" s="91"/>
      <c r="P51" s="89"/>
      <c r="Q51" s="92" t="n">
        <f aca="false">IF($C51="",0,$L51*'01_專案設定_Setup'!$B$30)</f>
        <v>0</v>
      </c>
      <c r="R51" s="93"/>
    </row>
    <row r="52" customFormat="false" ht="19.5" hidden="false" customHeight="true" outlineLevel="0" collapsed="false">
      <c r="A52" s="33" t="n">
        <v>47</v>
      </c>
      <c r="B52" s="84"/>
      <c r="C52" s="85"/>
      <c r="D52" s="84"/>
      <c r="E52" s="86"/>
      <c r="F52" s="87"/>
      <c r="G52" s="88" t="n">
        <f aca="false">IF($C52="",0,$E52*$F52)</f>
        <v>0</v>
      </c>
      <c r="H52" s="84"/>
      <c r="I52" s="89"/>
      <c r="J52" s="89"/>
      <c r="K52" s="88" t="n">
        <f aca="false">IF($C52="",0,$G52*$I52+$G52*(1+$I52)*$J52*IF(LEFT('01_專案設定_Setup'!$B$43,1)="否",1,0))</f>
        <v>0</v>
      </c>
      <c r="L52" s="90" t="n">
        <f aca="false">IF($C52="",0,$G52+$K52)</f>
        <v>0</v>
      </c>
      <c r="M52" s="84"/>
      <c r="N52" s="91"/>
      <c r="O52" s="91"/>
      <c r="P52" s="89"/>
      <c r="Q52" s="92" t="n">
        <f aca="false">IF($C52="",0,$L52*'01_專案設定_Setup'!$B$30)</f>
        <v>0</v>
      </c>
      <c r="R52" s="93"/>
    </row>
    <row r="53" customFormat="false" ht="19.5" hidden="false" customHeight="true" outlineLevel="0" collapsed="false">
      <c r="A53" s="33" t="n">
        <v>48</v>
      </c>
      <c r="B53" s="84"/>
      <c r="C53" s="85"/>
      <c r="D53" s="84"/>
      <c r="E53" s="86"/>
      <c r="F53" s="87"/>
      <c r="G53" s="88" t="n">
        <f aca="false">IF($C53="",0,$E53*$F53)</f>
        <v>0</v>
      </c>
      <c r="H53" s="84"/>
      <c r="I53" s="89"/>
      <c r="J53" s="89"/>
      <c r="K53" s="88" t="n">
        <f aca="false">IF($C53="",0,$G53*$I53+$G53*(1+$I53)*$J53*IF(LEFT('01_專案設定_Setup'!$B$43,1)="否",1,0))</f>
        <v>0</v>
      </c>
      <c r="L53" s="90" t="n">
        <f aca="false">IF($C53="",0,$G53+$K53)</f>
        <v>0</v>
      </c>
      <c r="M53" s="84"/>
      <c r="N53" s="91"/>
      <c r="O53" s="91"/>
      <c r="P53" s="89"/>
      <c r="Q53" s="92" t="n">
        <f aca="false">IF($C53="",0,$L53*'01_專案設定_Setup'!$B$30)</f>
        <v>0</v>
      </c>
      <c r="R53" s="93"/>
    </row>
    <row r="54" customFormat="false" ht="19.5" hidden="false" customHeight="true" outlineLevel="0" collapsed="false">
      <c r="A54" s="33" t="n">
        <v>49</v>
      </c>
      <c r="B54" s="84"/>
      <c r="C54" s="85"/>
      <c r="D54" s="84"/>
      <c r="E54" s="86"/>
      <c r="F54" s="87"/>
      <c r="G54" s="88" t="n">
        <f aca="false">IF($C54="",0,$E54*$F54)</f>
        <v>0</v>
      </c>
      <c r="H54" s="84"/>
      <c r="I54" s="89"/>
      <c r="J54" s="89"/>
      <c r="K54" s="88" t="n">
        <f aca="false">IF($C54="",0,$G54*$I54+$G54*(1+$I54)*$J54*IF(LEFT('01_專案設定_Setup'!$B$43,1)="否",1,0))</f>
        <v>0</v>
      </c>
      <c r="L54" s="90" t="n">
        <f aca="false">IF($C54="",0,$G54+$K54)</f>
        <v>0</v>
      </c>
      <c r="M54" s="84"/>
      <c r="N54" s="91"/>
      <c r="O54" s="91"/>
      <c r="P54" s="89"/>
      <c r="Q54" s="92" t="n">
        <f aca="false">IF($C54="",0,$L54*'01_專案設定_Setup'!$B$30)</f>
        <v>0</v>
      </c>
      <c r="R54" s="93"/>
    </row>
    <row r="55" customFormat="false" ht="19.5" hidden="false" customHeight="true" outlineLevel="0" collapsed="false">
      <c r="A55" s="33" t="n">
        <v>50</v>
      </c>
      <c r="B55" s="84"/>
      <c r="C55" s="85"/>
      <c r="D55" s="84"/>
      <c r="E55" s="86"/>
      <c r="F55" s="87"/>
      <c r="G55" s="88" t="n">
        <f aca="false">IF($C55="",0,$E55*$F55)</f>
        <v>0</v>
      </c>
      <c r="H55" s="84"/>
      <c r="I55" s="89"/>
      <c r="J55" s="89"/>
      <c r="K55" s="88" t="n">
        <f aca="false">IF($C55="",0,$G55*$I55+$G55*(1+$I55)*$J55*IF(LEFT('01_專案設定_Setup'!$B$43,1)="否",1,0))</f>
        <v>0</v>
      </c>
      <c r="L55" s="90" t="n">
        <f aca="false">IF($C55="",0,$G55+$K55)</f>
        <v>0</v>
      </c>
      <c r="M55" s="84"/>
      <c r="N55" s="91"/>
      <c r="O55" s="91"/>
      <c r="P55" s="89"/>
      <c r="Q55" s="92" t="n">
        <f aca="false">IF($C55="",0,$L55*'01_專案設定_Setup'!$B$30)</f>
        <v>0</v>
      </c>
      <c r="R55" s="93"/>
    </row>
    <row r="56" customFormat="false" ht="19.5" hidden="false" customHeight="true" outlineLevel="0" collapsed="false">
      <c r="A56" s="33" t="n">
        <v>51</v>
      </c>
      <c r="B56" s="84"/>
      <c r="C56" s="85"/>
      <c r="D56" s="84"/>
      <c r="E56" s="86"/>
      <c r="F56" s="87"/>
      <c r="G56" s="88" t="n">
        <f aca="false">IF($C56="",0,$E56*$F56)</f>
        <v>0</v>
      </c>
      <c r="H56" s="84"/>
      <c r="I56" s="89"/>
      <c r="J56" s="89"/>
      <c r="K56" s="88" t="n">
        <f aca="false">IF($C56="",0,$G56*$I56+$G56*(1+$I56)*$J56*IF(LEFT('01_專案設定_Setup'!$B$43,1)="否",1,0))</f>
        <v>0</v>
      </c>
      <c r="L56" s="90" t="n">
        <f aca="false">IF($C56="",0,$G56+$K56)</f>
        <v>0</v>
      </c>
      <c r="M56" s="84"/>
      <c r="N56" s="91"/>
      <c r="O56" s="91"/>
      <c r="P56" s="89"/>
      <c r="Q56" s="92" t="n">
        <f aca="false">IF($C56="",0,$L56*'01_專案設定_Setup'!$B$30)</f>
        <v>0</v>
      </c>
      <c r="R56" s="93"/>
    </row>
    <row r="57" customFormat="false" ht="19.5" hidden="false" customHeight="true" outlineLevel="0" collapsed="false">
      <c r="A57" s="33" t="n">
        <v>52</v>
      </c>
      <c r="B57" s="84"/>
      <c r="C57" s="85"/>
      <c r="D57" s="84"/>
      <c r="E57" s="86"/>
      <c r="F57" s="87"/>
      <c r="G57" s="88" t="n">
        <f aca="false">IF($C57="",0,$E57*$F57)</f>
        <v>0</v>
      </c>
      <c r="H57" s="84"/>
      <c r="I57" s="89"/>
      <c r="J57" s="89"/>
      <c r="K57" s="88" t="n">
        <f aca="false">IF($C57="",0,$G57*$I57+$G57*(1+$I57)*$J57*IF(LEFT('01_專案設定_Setup'!$B$43,1)="否",1,0))</f>
        <v>0</v>
      </c>
      <c r="L57" s="90" t="n">
        <f aca="false">IF($C57="",0,$G57+$K57)</f>
        <v>0</v>
      </c>
      <c r="M57" s="84"/>
      <c r="N57" s="91"/>
      <c r="O57" s="91"/>
      <c r="P57" s="89"/>
      <c r="Q57" s="92" t="n">
        <f aca="false">IF($C57="",0,$L57*'01_專案設定_Setup'!$B$30)</f>
        <v>0</v>
      </c>
      <c r="R57" s="93"/>
    </row>
    <row r="58" customFormat="false" ht="19.5" hidden="false" customHeight="true" outlineLevel="0" collapsed="false">
      <c r="A58" s="33" t="n">
        <v>53</v>
      </c>
      <c r="B58" s="84"/>
      <c r="C58" s="85"/>
      <c r="D58" s="84"/>
      <c r="E58" s="86"/>
      <c r="F58" s="87"/>
      <c r="G58" s="88" t="n">
        <f aca="false">IF($C58="",0,$E58*$F58)</f>
        <v>0</v>
      </c>
      <c r="H58" s="84"/>
      <c r="I58" s="89"/>
      <c r="J58" s="89"/>
      <c r="K58" s="88" t="n">
        <f aca="false">IF($C58="",0,$G58*$I58+$G58*(1+$I58)*$J58*IF(LEFT('01_專案設定_Setup'!$B$43,1)="否",1,0))</f>
        <v>0</v>
      </c>
      <c r="L58" s="90" t="n">
        <f aca="false">IF($C58="",0,$G58+$K58)</f>
        <v>0</v>
      </c>
      <c r="M58" s="84"/>
      <c r="N58" s="91"/>
      <c r="O58" s="91"/>
      <c r="P58" s="89"/>
      <c r="Q58" s="92" t="n">
        <f aca="false">IF($C58="",0,$L58*'01_專案設定_Setup'!$B$30)</f>
        <v>0</v>
      </c>
      <c r="R58" s="93"/>
    </row>
    <row r="59" customFormat="false" ht="19.5" hidden="false" customHeight="true" outlineLevel="0" collapsed="false">
      <c r="A59" s="33" t="n">
        <v>54</v>
      </c>
      <c r="B59" s="84"/>
      <c r="C59" s="85"/>
      <c r="D59" s="84"/>
      <c r="E59" s="86"/>
      <c r="F59" s="87"/>
      <c r="G59" s="88" t="n">
        <f aca="false">IF($C59="",0,$E59*$F59)</f>
        <v>0</v>
      </c>
      <c r="H59" s="84"/>
      <c r="I59" s="89"/>
      <c r="J59" s="89"/>
      <c r="K59" s="88" t="n">
        <f aca="false">IF($C59="",0,$G59*$I59+$G59*(1+$I59)*$J59*IF(LEFT('01_專案設定_Setup'!$B$43,1)="否",1,0))</f>
        <v>0</v>
      </c>
      <c r="L59" s="90" t="n">
        <f aca="false">IF($C59="",0,$G59+$K59)</f>
        <v>0</v>
      </c>
      <c r="M59" s="84"/>
      <c r="N59" s="91"/>
      <c r="O59" s="91"/>
      <c r="P59" s="89"/>
      <c r="Q59" s="92" t="n">
        <f aca="false">IF($C59="",0,$L59*'01_專案設定_Setup'!$B$30)</f>
        <v>0</v>
      </c>
      <c r="R59" s="93"/>
    </row>
    <row r="60" customFormat="false" ht="19.5" hidden="false" customHeight="true" outlineLevel="0" collapsed="false">
      <c r="A60" s="33" t="n">
        <v>55</v>
      </c>
      <c r="B60" s="84"/>
      <c r="C60" s="85"/>
      <c r="D60" s="84"/>
      <c r="E60" s="86"/>
      <c r="F60" s="87"/>
      <c r="G60" s="88" t="n">
        <f aca="false">IF($C60="",0,$E60*$F60)</f>
        <v>0</v>
      </c>
      <c r="H60" s="84"/>
      <c r="I60" s="89"/>
      <c r="J60" s="89"/>
      <c r="K60" s="88" t="n">
        <f aca="false">IF($C60="",0,$G60*$I60+$G60*(1+$I60)*$J60*IF(LEFT('01_專案設定_Setup'!$B$43,1)="否",1,0))</f>
        <v>0</v>
      </c>
      <c r="L60" s="90" t="n">
        <f aca="false">IF($C60="",0,$G60+$K60)</f>
        <v>0</v>
      </c>
      <c r="M60" s="84"/>
      <c r="N60" s="91"/>
      <c r="O60" s="91"/>
      <c r="P60" s="89"/>
      <c r="Q60" s="92" t="n">
        <f aca="false">IF($C60="",0,$L60*'01_專案設定_Setup'!$B$30)</f>
        <v>0</v>
      </c>
      <c r="R60" s="93"/>
    </row>
    <row r="61" customFormat="false" ht="19.5" hidden="false" customHeight="true" outlineLevel="0" collapsed="false">
      <c r="A61" s="33" t="n">
        <v>56</v>
      </c>
      <c r="B61" s="84"/>
      <c r="C61" s="85"/>
      <c r="D61" s="84"/>
      <c r="E61" s="86"/>
      <c r="F61" s="87"/>
      <c r="G61" s="88" t="n">
        <f aca="false">IF($C61="",0,$E61*$F61)</f>
        <v>0</v>
      </c>
      <c r="H61" s="84"/>
      <c r="I61" s="89"/>
      <c r="J61" s="89"/>
      <c r="K61" s="88" t="n">
        <f aca="false">IF($C61="",0,$G61*$I61+$G61*(1+$I61)*$J61*IF(LEFT('01_專案設定_Setup'!$B$43,1)="否",1,0))</f>
        <v>0</v>
      </c>
      <c r="L61" s="90" t="n">
        <f aca="false">IF($C61="",0,$G61+$K61)</f>
        <v>0</v>
      </c>
      <c r="M61" s="84"/>
      <c r="N61" s="91"/>
      <c r="O61" s="91"/>
      <c r="P61" s="89"/>
      <c r="Q61" s="92" t="n">
        <f aca="false">IF($C61="",0,$L61*'01_專案設定_Setup'!$B$30)</f>
        <v>0</v>
      </c>
      <c r="R61" s="93"/>
    </row>
    <row r="62" customFormat="false" ht="19.5" hidden="false" customHeight="true" outlineLevel="0" collapsed="false">
      <c r="A62" s="33" t="n">
        <v>57</v>
      </c>
      <c r="B62" s="84"/>
      <c r="C62" s="85"/>
      <c r="D62" s="84"/>
      <c r="E62" s="86"/>
      <c r="F62" s="87"/>
      <c r="G62" s="88" t="n">
        <f aca="false">IF($C62="",0,$E62*$F62)</f>
        <v>0</v>
      </c>
      <c r="H62" s="84"/>
      <c r="I62" s="89"/>
      <c r="J62" s="89"/>
      <c r="K62" s="88" t="n">
        <f aca="false">IF($C62="",0,$G62*$I62+$G62*(1+$I62)*$J62*IF(LEFT('01_專案設定_Setup'!$B$43,1)="否",1,0))</f>
        <v>0</v>
      </c>
      <c r="L62" s="90" t="n">
        <f aca="false">IF($C62="",0,$G62+$K62)</f>
        <v>0</v>
      </c>
      <c r="M62" s="84"/>
      <c r="N62" s="91"/>
      <c r="O62" s="91"/>
      <c r="P62" s="89"/>
      <c r="Q62" s="92" t="n">
        <f aca="false">IF($C62="",0,$L62*'01_專案設定_Setup'!$B$30)</f>
        <v>0</v>
      </c>
      <c r="R62" s="93"/>
    </row>
    <row r="63" customFormat="false" ht="19.5" hidden="false" customHeight="true" outlineLevel="0" collapsed="false">
      <c r="A63" s="33" t="n">
        <v>58</v>
      </c>
      <c r="B63" s="84"/>
      <c r="C63" s="85"/>
      <c r="D63" s="84"/>
      <c r="E63" s="86"/>
      <c r="F63" s="87"/>
      <c r="G63" s="88" t="n">
        <f aca="false">IF($C63="",0,$E63*$F63)</f>
        <v>0</v>
      </c>
      <c r="H63" s="84"/>
      <c r="I63" s="89"/>
      <c r="J63" s="89"/>
      <c r="K63" s="88" t="n">
        <f aca="false">IF($C63="",0,$G63*$I63+$G63*(1+$I63)*$J63*IF(LEFT('01_專案設定_Setup'!$B$43,1)="否",1,0))</f>
        <v>0</v>
      </c>
      <c r="L63" s="90" t="n">
        <f aca="false">IF($C63="",0,$G63+$K63)</f>
        <v>0</v>
      </c>
      <c r="M63" s="84"/>
      <c r="N63" s="91"/>
      <c r="O63" s="91"/>
      <c r="P63" s="89"/>
      <c r="Q63" s="92" t="n">
        <f aca="false">IF($C63="",0,$L63*'01_專案設定_Setup'!$B$30)</f>
        <v>0</v>
      </c>
      <c r="R63" s="93"/>
    </row>
    <row r="64" customFormat="false" ht="25.5" hidden="false" customHeight="true" outlineLevel="0" collapsed="false">
      <c r="A64" s="96"/>
      <c r="B64" s="96"/>
      <c r="C64" s="97" t="s">
        <v>333</v>
      </c>
      <c r="D64" s="96"/>
      <c r="E64" s="96"/>
      <c r="F64" s="96"/>
      <c r="G64" s="98" t="n">
        <f aca="false">SUM($G$6:$G$63)</f>
        <v>37597700</v>
      </c>
      <c r="H64" s="96"/>
      <c r="I64" s="96"/>
      <c r="J64" s="96"/>
      <c r="K64" s="98" t="n">
        <f aca="false">SUM($K$6:$K$63)</f>
        <v>3421902</v>
      </c>
      <c r="L64" s="98" t="n">
        <f aca="false">SUM($L$6:$L$63)</f>
        <v>41019602</v>
      </c>
      <c r="M64" s="96"/>
      <c r="N64" s="96"/>
      <c r="O64" s="96"/>
      <c r="P64" s="96"/>
      <c r="Q64" s="98" t="n">
        <f aca="false">SUM($Q$6:$Q$63)</f>
        <v>41019.602</v>
      </c>
      <c r="R64" s="96"/>
    </row>
    <row r="66" customFormat="false" ht="15" hidden="false" customHeight="false" outlineLevel="0" collapsed="false">
      <c r="A66" s="3" t="s">
        <v>334</v>
      </c>
    </row>
    <row r="67" customFormat="false" ht="24" hidden="false" customHeight="true" outlineLevel="0" collapsed="false">
      <c r="A67" s="5" t="s">
        <v>273</v>
      </c>
      <c r="B67" s="5" t="s">
        <v>335</v>
      </c>
      <c r="C67" s="5" t="s">
        <v>336</v>
      </c>
      <c r="E67" s="5" t="s">
        <v>284</v>
      </c>
      <c r="F67" s="5" t="s">
        <v>337</v>
      </c>
      <c r="G67" s="5" t="s">
        <v>338</v>
      </c>
      <c r="I67" s="5" t="s">
        <v>279</v>
      </c>
      <c r="J67" s="5" t="s">
        <v>337</v>
      </c>
      <c r="K67" s="5" t="s">
        <v>336</v>
      </c>
    </row>
    <row r="68" customFormat="false" ht="15" hidden="false" customHeight="false" outlineLevel="0" collapsed="false">
      <c r="A68" s="99" t="s">
        <v>320</v>
      </c>
      <c r="B68" s="100" t="n">
        <f aca="false">SUMIF($B$6:$B$63,$A68,$G$6:$G$63)</f>
        <v>2842400</v>
      </c>
      <c r="C68" s="101" t="n">
        <f aca="false">IFERROR($B68/$G$64,0)</f>
        <v>0.0756003691715185</v>
      </c>
      <c r="E68" s="99" t="s">
        <v>339</v>
      </c>
      <c r="F68" s="100" t="n">
        <f aca="false">SUMIF($M$6:$M$63,$E68,$L$6:$L$63)</f>
        <v>0</v>
      </c>
      <c r="G68" s="102" t="n">
        <f aca="false">IFERROR(SUMPRODUCT(($M$6:$M$63=$E68)*$L$6:$L$63*$N$6:$N$63)/$F68,0)</f>
        <v>0</v>
      </c>
      <c r="I68" s="99" t="s">
        <v>292</v>
      </c>
      <c r="J68" s="100" t="n">
        <f aca="false">SUMIF($H$6:$H$63,$I68,$L$6:$L$63)</f>
        <v>22774730</v>
      </c>
      <c r="K68" s="101" t="n">
        <f aca="false">IFERROR($J68/$L$64,0)</f>
        <v>0.555215772205688</v>
      </c>
    </row>
    <row r="69" customFormat="false" ht="15" hidden="false" customHeight="false" outlineLevel="0" collapsed="false">
      <c r="A69" s="99" t="s">
        <v>340</v>
      </c>
      <c r="B69" s="100" t="n">
        <f aca="false">SUMIF($B$6:$B$63,$A69,$G$6:$G$63)</f>
        <v>0</v>
      </c>
      <c r="C69" s="101" t="n">
        <f aca="false">IFERROR($B69/$G$64,0)</f>
        <v>0</v>
      </c>
      <c r="E69" s="99" t="s">
        <v>341</v>
      </c>
      <c r="F69" s="100" t="n">
        <f aca="false">SUMIF($M$6:$M$63,$E69,$L$6:$L$63)</f>
        <v>0</v>
      </c>
      <c r="G69" s="102" t="n">
        <f aca="false">IFERROR(SUMPRODUCT(($M$6:$M$63=$E69)*$L$6:$L$63*$N$6:$N$63)/$F69,0)</f>
        <v>0</v>
      </c>
      <c r="I69" s="99" t="s">
        <v>310</v>
      </c>
      <c r="J69" s="100" t="n">
        <f aca="false">SUMIF($H$6:$H$63,$I69,$L$6:$L$63)</f>
        <v>18244872</v>
      </c>
      <c r="K69" s="101" t="n">
        <f aca="false">IFERROR($J69/$L$64,0)</f>
        <v>0.444784227794312</v>
      </c>
    </row>
    <row r="70" customFormat="false" ht="15" hidden="false" customHeight="false" outlineLevel="0" collapsed="false">
      <c r="A70" s="99" t="s">
        <v>289</v>
      </c>
      <c r="B70" s="100" t="n">
        <f aca="false">SUMIF($B$6:$B$63,$A70,$G$6:$G$63)</f>
        <v>17861900</v>
      </c>
      <c r="C70" s="101" t="n">
        <f aca="false">IFERROR($B70/$G$64,0)</f>
        <v>0.475079592634656</v>
      </c>
      <c r="E70" s="99" t="s">
        <v>342</v>
      </c>
      <c r="F70" s="100" t="n">
        <f aca="false">SUMIF($M$6:$M$63,$E70,$L$6:$L$63)</f>
        <v>0</v>
      </c>
      <c r="G70" s="102" t="n">
        <f aca="false">IFERROR(SUMPRODUCT(($M$6:$M$63=$E70)*$L$6:$L$63*$N$6:$N$63)/$F70,0)</f>
        <v>0</v>
      </c>
      <c r="I70" s="99" t="s">
        <v>343</v>
      </c>
      <c r="J70" s="100" t="n">
        <f aca="false">SUMIF($H$6:$H$63,$I70,$L$6:$L$63)</f>
        <v>0</v>
      </c>
      <c r="K70" s="101" t="n">
        <f aca="false">IFERROR($J70/$L$64,0)</f>
        <v>0</v>
      </c>
    </row>
    <row r="71" customFormat="false" ht="15" hidden="false" customHeight="false" outlineLevel="0" collapsed="false">
      <c r="A71" s="99" t="s">
        <v>307</v>
      </c>
      <c r="B71" s="100" t="n">
        <f aca="false">SUMIF($B$6:$B$63,$A71,$G$6:$G$63)</f>
        <v>14793400</v>
      </c>
      <c r="C71" s="101" t="n">
        <f aca="false">IFERROR($B71/$G$64,0)</f>
        <v>0.393465557733585</v>
      </c>
      <c r="E71" s="99" t="s">
        <v>344</v>
      </c>
      <c r="F71" s="100" t="n">
        <f aca="false">SUMIF($M$6:$M$63,$E71,$L$6:$L$63)</f>
        <v>3126640</v>
      </c>
      <c r="G71" s="102" t="n">
        <f aca="false">IFERROR(SUMPRODUCT(($M$6:$M$63=$E71)*$L$6:$L$63*$N$6:$N$63)/$F71,0)</f>
        <v>5</v>
      </c>
    </row>
    <row r="72" customFormat="false" ht="15" hidden="false" customHeight="false" outlineLevel="0" collapsed="false">
      <c r="A72" s="99" t="s">
        <v>330</v>
      </c>
      <c r="B72" s="100" t="n">
        <f aca="false">SUMIF($B$6:$B$63,$A72,$G$6:$G$63)</f>
        <v>2100000</v>
      </c>
      <c r="C72" s="101" t="n">
        <f aca="false">IFERROR($B72/$G$64,0)</f>
        <v>0.0558544804602409</v>
      </c>
      <c r="E72" s="99" t="s">
        <v>345</v>
      </c>
      <c r="F72" s="100" t="n">
        <f aca="false">SUMIF($M$6:$M$63,$E72,$L$6:$L$63)</f>
        <v>23659750</v>
      </c>
      <c r="G72" s="102" t="n">
        <f aca="false">IFERROR(SUMPRODUCT(($M$6:$M$63=$E72)*$L$6:$L$63*$N$6:$N$63)/$F72,0)</f>
        <v>5</v>
      </c>
    </row>
    <row r="73" customFormat="false" ht="15" hidden="false" customHeight="false" outlineLevel="0" collapsed="false">
      <c r="E73" s="99" t="s">
        <v>346</v>
      </c>
      <c r="F73" s="100" t="n">
        <f aca="false">SUMIF($M$6:$M$63,$E73,$L$6:$L$63)</f>
        <v>14233212</v>
      </c>
      <c r="G73" s="102" t="n">
        <f aca="false">IFERROR(SUMPRODUCT(($M$6:$M$63=$E73)*$L$6:$L$63*$N$6:$N$63)/$F73,0)</f>
        <v>0</v>
      </c>
    </row>
    <row r="75" customFormat="false" ht="15" hidden="false" customHeight="true" outlineLevel="0" collapsed="false">
      <c r="A75" s="60" t="s">
        <v>347</v>
      </c>
      <c r="D75" s="103" t="n">
        <f aca="false">IFERROR($K$64/$G$64,0)</f>
        <v>0.0910135992361235</v>
      </c>
      <c r="F75" s="83" t="s">
        <v>348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</row>
  </sheetData>
  <sheetProtection sheet="true" formatCells="false" formatColumns="false" formatRows="false" insertRows="false" deleteRows="false" sort="false" autoFilter="false"/>
  <mergeCells count="4">
    <mergeCell ref="A1:R1"/>
    <mergeCell ref="A2:R2"/>
    <mergeCell ref="A4:Q4"/>
    <mergeCell ref="F75:Q75"/>
  </mergeCells>
  <dataValidations count="3">
    <dataValidation allowBlank="true" error="請由下拉清單選擇。" errorStyle="stop" errorTitle="請由下拉選擇" operator="between" showDropDown="false" showErrorMessage="false" showInputMessage="false" sqref="B6:B63" type="list">
      <formula1>L_CapCat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H6:H63" type="list">
      <formula1>L_Origin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M6:M63" type="list">
      <formula1>L_Dep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&amp;L02_投資成本_CAPEX</oddHeader>
    <oddFooter>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349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350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5" t="s">
        <v>272</v>
      </c>
      <c r="B4" s="5" t="s">
        <v>273</v>
      </c>
      <c r="C4" s="5" t="s">
        <v>351</v>
      </c>
      <c r="D4" s="5" t="s">
        <v>275</v>
      </c>
      <c r="E4" s="5" t="s">
        <v>276</v>
      </c>
      <c r="F4" s="5" t="s">
        <v>352</v>
      </c>
      <c r="G4" s="5" t="s">
        <v>353</v>
      </c>
      <c r="H4" s="5" t="s">
        <v>354</v>
      </c>
      <c r="I4" s="5" t="s">
        <v>355</v>
      </c>
      <c r="J4" s="5" t="str">
        <f aca="false">CONCATENATE("首年金額",CHAR(10),"（",'01_專案設定_Setup'!$B$31,"）")</f>
        <v>首年金額
（TWD 千）</v>
      </c>
      <c r="K4" s="5" t="s">
        <v>356</v>
      </c>
      <c r="L4" s="5" t="s">
        <v>288</v>
      </c>
    </row>
    <row r="5" customFormat="false" ht="19.5" hidden="false" customHeight="true" outlineLevel="0" collapsed="false">
      <c r="A5" s="33" t="n">
        <v>1</v>
      </c>
      <c r="B5" s="84" t="s">
        <v>357</v>
      </c>
      <c r="C5" s="95" t="s">
        <v>358</v>
      </c>
      <c r="D5" s="84" t="s">
        <v>318</v>
      </c>
      <c r="E5" s="86" t="n">
        <v>3</v>
      </c>
      <c r="F5" s="87" t="n">
        <v>468000</v>
      </c>
      <c r="G5" s="90" t="n">
        <f aca="false">IF($C5="",0,$E5*$F5)</f>
        <v>1404000</v>
      </c>
      <c r="H5" s="89" t="n">
        <v>0.08</v>
      </c>
      <c r="I5" s="84" t="s">
        <v>359</v>
      </c>
      <c r="J5" s="92" t="n">
        <f aca="false">IF($C5="",0,$G5*'01_專案設定_Setup'!$B$30)</f>
        <v>1404</v>
      </c>
      <c r="K5" s="84" t="s">
        <v>360</v>
      </c>
      <c r="L5" s="93" t="s">
        <v>361</v>
      </c>
    </row>
    <row r="6" customFormat="false" ht="19.5" hidden="false" customHeight="true" outlineLevel="0" collapsed="false">
      <c r="A6" s="33" t="n">
        <v>2</v>
      </c>
      <c r="B6" s="84" t="s">
        <v>357</v>
      </c>
      <c r="C6" s="95" t="s">
        <v>362</v>
      </c>
      <c r="D6" s="84" t="s">
        <v>318</v>
      </c>
      <c r="E6" s="86" t="n">
        <v>2</v>
      </c>
      <c r="F6" s="87" t="n">
        <v>316500</v>
      </c>
      <c r="G6" s="90" t="n">
        <f aca="false">IF($C6="",0,$E6*$F6)</f>
        <v>633000</v>
      </c>
      <c r="H6" s="89" t="n">
        <v>0.08</v>
      </c>
      <c r="I6" s="84" t="s">
        <v>359</v>
      </c>
      <c r="J6" s="92" t="n">
        <f aca="false">IF($C6="",0,$G6*'01_專案設定_Setup'!$B$30)</f>
        <v>633</v>
      </c>
      <c r="K6" s="84" t="s">
        <v>360</v>
      </c>
      <c r="L6" s="93" t="s">
        <v>363</v>
      </c>
    </row>
    <row r="7" customFormat="false" ht="19.5" hidden="false" customHeight="true" outlineLevel="0" collapsed="false">
      <c r="A7" s="33" t="n">
        <v>3</v>
      </c>
      <c r="B7" s="84" t="s">
        <v>364</v>
      </c>
      <c r="C7" s="95" t="s">
        <v>365</v>
      </c>
      <c r="D7" s="84" t="s">
        <v>182</v>
      </c>
      <c r="E7" s="86" t="n">
        <v>1</v>
      </c>
      <c r="F7" s="87" t="n">
        <v>1033600</v>
      </c>
      <c r="G7" s="90" t="n">
        <f aca="false">IF($C7="",0,$E7*$F7)</f>
        <v>1033600</v>
      </c>
      <c r="H7" s="89" t="n">
        <v>0.03</v>
      </c>
      <c r="I7" s="84" t="s">
        <v>359</v>
      </c>
      <c r="J7" s="92" t="n">
        <f aca="false">IF($C7="",0,$G7*'01_專案設定_Setup'!$B$30)</f>
        <v>1033.6</v>
      </c>
      <c r="K7" s="84" t="s">
        <v>366</v>
      </c>
      <c r="L7" s="94" t="s">
        <v>367</v>
      </c>
    </row>
    <row r="8" customFormat="false" ht="19.5" hidden="false" customHeight="true" outlineLevel="0" collapsed="false">
      <c r="A8" s="33" t="n">
        <v>4</v>
      </c>
      <c r="B8" s="84" t="s">
        <v>289</v>
      </c>
      <c r="C8" s="95" t="s">
        <v>368</v>
      </c>
      <c r="D8" s="84" t="s">
        <v>182</v>
      </c>
      <c r="E8" s="86" t="n">
        <v>1</v>
      </c>
      <c r="F8" s="87" t="n">
        <v>904400</v>
      </c>
      <c r="G8" s="90" t="n">
        <f aca="false">IF($C8="",0,$E8*$F8)</f>
        <v>904400</v>
      </c>
      <c r="H8" s="89" t="n">
        <v>0.05</v>
      </c>
      <c r="I8" s="84" t="s">
        <v>359</v>
      </c>
      <c r="J8" s="92" t="n">
        <f aca="false">IF($C8="",0,$G8*'01_專案設定_Setup'!$B$30)</f>
        <v>904.4</v>
      </c>
      <c r="K8" s="84" t="s">
        <v>360</v>
      </c>
      <c r="L8" s="94" t="s">
        <v>369</v>
      </c>
    </row>
    <row r="9" customFormat="false" ht="19.5" hidden="false" customHeight="true" outlineLevel="0" collapsed="false">
      <c r="A9" s="33" t="n">
        <v>5</v>
      </c>
      <c r="B9" s="84" t="s">
        <v>370</v>
      </c>
      <c r="C9" s="95" t="s">
        <v>371</v>
      </c>
      <c r="D9" s="84" t="s">
        <v>182</v>
      </c>
      <c r="E9" s="86" t="n">
        <v>1</v>
      </c>
      <c r="F9" s="87" t="n">
        <v>678300</v>
      </c>
      <c r="G9" s="90" t="n">
        <f aca="false">IF($C9="",0,$E9*$F9)</f>
        <v>678300</v>
      </c>
      <c r="H9" s="89" t="n">
        <v>0.06</v>
      </c>
      <c r="I9" s="84" t="s">
        <v>359</v>
      </c>
      <c r="J9" s="92" t="n">
        <f aca="false">IF($C9="",0,$G9*'01_專案設定_Setup'!$B$30)</f>
        <v>678.3</v>
      </c>
      <c r="K9" s="104" t="s">
        <v>372</v>
      </c>
      <c r="L9" s="93" t="s">
        <v>373</v>
      </c>
    </row>
    <row r="10" customFormat="false" ht="19.5" hidden="false" customHeight="true" outlineLevel="0" collapsed="false">
      <c r="A10" s="33" t="n">
        <v>6</v>
      </c>
      <c r="B10" s="84" t="s">
        <v>307</v>
      </c>
      <c r="C10" s="85" t="s">
        <v>374</v>
      </c>
      <c r="D10" s="84" t="s">
        <v>182</v>
      </c>
      <c r="E10" s="86" t="n">
        <v>1</v>
      </c>
      <c r="F10" s="87" t="n">
        <v>516800</v>
      </c>
      <c r="G10" s="90" t="n">
        <f aca="false">IF($C10="",0,$E10*$F10)</f>
        <v>516800</v>
      </c>
      <c r="H10" s="89" t="n">
        <v>0.05</v>
      </c>
      <c r="I10" s="84" t="s">
        <v>359</v>
      </c>
      <c r="J10" s="92" t="n">
        <f aca="false">IF($C10="",0,$G10*'01_專案設定_Setup'!$B$30)</f>
        <v>516.8</v>
      </c>
      <c r="K10" s="84" t="s">
        <v>360</v>
      </c>
      <c r="L10" s="94" t="s">
        <v>375</v>
      </c>
    </row>
    <row r="11" customFormat="false" ht="19.5" hidden="false" customHeight="true" outlineLevel="0" collapsed="false">
      <c r="A11" s="33" t="n">
        <v>7</v>
      </c>
      <c r="B11" s="84" t="s">
        <v>376</v>
      </c>
      <c r="C11" s="95" t="s">
        <v>377</v>
      </c>
      <c r="D11" s="84" t="s">
        <v>182</v>
      </c>
      <c r="E11" s="86" t="n">
        <v>1</v>
      </c>
      <c r="F11" s="87" t="n">
        <v>387600</v>
      </c>
      <c r="G11" s="90" t="n">
        <f aca="false">IF($C11="",0,$E11*$F11)</f>
        <v>387600</v>
      </c>
      <c r="H11" s="89" t="n">
        <v>0.04</v>
      </c>
      <c r="I11" s="84" t="s">
        <v>359</v>
      </c>
      <c r="J11" s="92" t="n">
        <f aca="false">IF($C11="",0,$G11*'01_專案設定_Setup'!$B$30)</f>
        <v>387.6</v>
      </c>
      <c r="K11" s="84" t="s">
        <v>378</v>
      </c>
      <c r="L11" s="94" t="s">
        <v>379</v>
      </c>
    </row>
    <row r="12" customFormat="false" ht="19.5" hidden="false" customHeight="true" outlineLevel="0" collapsed="false">
      <c r="A12" s="33" t="n">
        <v>8</v>
      </c>
      <c r="B12" s="84" t="s">
        <v>364</v>
      </c>
      <c r="C12" s="95" t="s">
        <v>380</v>
      </c>
      <c r="D12" s="84" t="s">
        <v>182</v>
      </c>
      <c r="E12" s="86" t="n">
        <v>1</v>
      </c>
      <c r="F12" s="87" t="n">
        <v>258400</v>
      </c>
      <c r="G12" s="90" t="n">
        <f aca="false">IF($C12="",0,$E12*$F12)</f>
        <v>258400</v>
      </c>
      <c r="H12" s="89" t="n">
        <v>0.05</v>
      </c>
      <c r="I12" s="84" t="s">
        <v>359</v>
      </c>
      <c r="J12" s="92" t="n">
        <f aca="false">IF($C12="",0,$G12*'01_專案設定_Setup'!$B$30)</f>
        <v>258.4</v>
      </c>
      <c r="K12" s="84" t="s">
        <v>366</v>
      </c>
      <c r="L12" s="94" t="s">
        <v>381</v>
      </c>
    </row>
    <row r="13" customFormat="false" ht="19.5" hidden="false" customHeight="true" outlineLevel="0" collapsed="false">
      <c r="A13" s="33" t="n">
        <v>9</v>
      </c>
      <c r="B13" s="84" t="s">
        <v>307</v>
      </c>
      <c r="C13" s="95" t="s">
        <v>382</v>
      </c>
      <c r="D13" s="84" t="s">
        <v>182</v>
      </c>
      <c r="E13" s="86" t="n">
        <v>1</v>
      </c>
      <c r="F13" s="87" t="n">
        <v>323000</v>
      </c>
      <c r="G13" s="90" t="n">
        <f aca="false">IF($C13="",0,$E13*$F13)</f>
        <v>323000</v>
      </c>
      <c r="H13" s="89" t="n">
        <v>0.05</v>
      </c>
      <c r="I13" s="84" t="s">
        <v>383</v>
      </c>
      <c r="J13" s="92" t="n">
        <f aca="false">IF($C13="",0,$G13*'01_專案設定_Setup'!$B$30)</f>
        <v>323</v>
      </c>
      <c r="K13" s="84" t="s">
        <v>384</v>
      </c>
      <c r="L13" s="94" t="s">
        <v>385</v>
      </c>
    </row>
    <row r="14" customFormat="false" ht="19.5" hidden="false" customHeight="true" outlineLevel="0" collapsed="false">
      <c r="A14" s="33" t="n">
        <v>10</v>
      </c>
      <c r="B14" s="84" t="s">
        <v>386</v>
      </c>
      <c r="C14" s="95" t="s">
        <v>387</v>
      </c>
      <c r="D14" s="84" t="s">
        <v>182</v>
      </c>
      <c r="E14" s="86" t="n">
        <v>1</v>
      </c>
      <c r="F14" s="87" t="n">
        <v>581400</v>
      </c>
      <c r="G14" s="90" t="n">
        <f aca="false">IF($C14="",0,$E14*$F14)</f>
        <v>581400</v>
      </c>
      <c r="H14" s="89" t="n">
        <v>0.05</v>
      </c>
      <c r="I14" s="84" t="s">
        <v>359</v>
      </c>
      <c r="J14" s="92" t="n">
        <f aca="false">IF($C14="",0,$G14*'01_專案設定_Setup'!$B$30)</f>
        <v>581.4</v>
      </c>
      <c r="K14" s="84" t="s">
        <v>388</v>
      </c>
      <c r="L14" s="94" t="s">
        <v>389</v>
      </c>
    </row>
    <row r="15" customFormat="false" ht="19.5" hidden="false" customHeight="true" outlineLevel="0" collapsed="false">
      <c r="A15" s="33" t="n">
        <v>11</v>
      </c>
      <c r="B15" s="84"/>
      <c r="C15" s="85"/>
      <c r="D15" s="84"/>
      <c r="E15" s="86"/>
      <c r="F15" s="87"/>
      <c r="G15" s="90" t="n">
        <f aca="false">IF($C15="",0,$E15*$F15)</f>
        <v>0</v>
      </c>
      <c r="H15" s="89"/>
      <c r="I15" s="84"/>
      <c r="J15" s="92" t="n">
        <f aca="false">IF($C15="",0,$G15*'01_專案設定_Setup'!$B$30)</f>
        <v>0</v>
      </c>
      <c r="K15" s="84"/>
      <c r="L15" s="93"/>
    </row>
    <row r="16" customFormat="false" ht="19.5" hidden="false" customHeight="true" outlineLevel="0" collapsed="false">
      <c r="A16" s="33" t="n">
        <v>12</v>
      </c>
      <c r="B16" s="84"/>
      <c r="C16" s="85"/>
      <c r="D16" s="84"/>
      <c r="E16" s="86"/>
      <c r="F16" s="87"/>
      <c r="G16" s="90" t="n">
        <f aca="false">IF($C16="",0,$E16*$F16)</f>
        <v>0</v>
      </c>
      <c r="H16" s="89"/>
      <c r="I16" s="84"/>
      <c r="J16" s="92" t="n">
        <f aca="false">IF($C16="",0,$G16*'01_專案設定_Setup'!$B$30)</f>
        <v>0</v>
      </c>
      <c r="K16" s="84"/>
      <c r="L16" s="93"/>
    </row>
    <row r="17" customFormat="false" ht="19.5" hidden="false" customHeight="true" outlineLevel="0" collapsed="false">
      <c r="A17" s="33" t="n">
        <v>13</v>
      </c>
      <c r="B17" s="84"/>
      <c r="C17" s="85"/>
      <c r="D17" s="84"/>
      <c r="E17" s="86"/>
      <c r="F17" s="87"/>
      <c r="G17" s="90" t="n">
        <f aca="false">IF($C17="",0,$E17*$F17)</f>
        <v>0</v>
      </c>
      <c r="H17" s="89"/>
      <c r="I17" s="84"/>
      <c r="J17" s="92" t="n">
        <f aca="false">IF($C17="",0,$G17*'01_專案設定_Setup'!$B$30)</f>
        <v>0</v>
      </c>
      <c r="K17" s="84"/>
      <c r="L17" s="93"/>
    </row>
    <row r="18" customFormat="false" ht="19.5" hidden="false" customHeight="true" outlineLevel="0" collapsed="false">
      <c r="A18" s="33" t="n">
        <v>14</v>
      </c>
      <c r="B18" s="84"/>
      <c r="C18" s="85"/>
      <c r="D18" s="84"/>
      <c r="E18" s="86"/>
      <c r="F18" s="87"/>
      <c r="G18" s="90" t="n">
        <f aca="false">IF($C18="",0,$E18*$F18)</f>
        <v>0</v>
      </c>
      <c r="H18" s="89"/>
      <c r="I18" s="84"/>
      <c r="J18" s="92" t="n">
        <f aca="false">IF($C18="",0,$G18*'01_專案設定_Setup'!$B$30)</f>
        <v>0</v>
      </c>
      <c r="K18" s="84"/>
      <c r="L18" s="93"/>
    </row>
    <row r="19" customFormat="false" ht="19.5" hidden="false" customHeight="true" outlineLevel="0" collapsed="false">
      <c r="A19" s="33" t="n">
        <v>15</v>
      </c>
      <c r="B19" s="84"/>
      <c r="C19" s="85"/>
      <c r="D19" s="84"/>
      <c r="E19" s="86"/>
      <c r="F19" s="87"/>
      <c r="G19" s="90" t="n">
        <f aca="false">IF($C19="",0,$E19*$F19)</f>
        <v>0</v>
      </c>
      <c r="H19" s="89"/>
      <c r="I19" s="84"/>
      <c r="J19" s="92" t="n">
        <f aca="false">IF($C19="",0,$G19*'01_專案設定_Setup'!$B$30)</f>
        <v>0</v>
      </c>
      <c r="K19" s="84"/>
      <c r="L19" s="93"/>
    </row>
    <row r="20" customFormat="false" ht="19.5" hidden="false" customHeight="true" outlineLevel="0" collapsed="false">
      <c r="A20" s="33" t="n">
        <v>16</v>
      </c>
      <c r="B20" s="84"/>
      <c r="C20" s="85"/>
      <c r="D20" s="84"/>
      <c r="E20" s="86"/>
      <c r="F20" s="87"/>
      <c r="G20" s="90" t="n">
        <f aca="false">IF($C20="",0,$E20*$F20)</f>
        <v>0</v>
      </c>
      <c r="H20" s="89"/>
      <c r="I20" s="84"/>
      <c r="J20" s="92" t="n">
        <f aca="false">IF($C20="",0,$G20*'01_專案設定_Setup'!$B$30)</f>
        <v>0</v>
      </c>
      <c r="K20" s="84"/>
      <c r="L20" s="93"/>
    </row>
    <row r="21" customFormat="false" ht="19.5" hidden="false" customHeight="true" outlineLevel="0" collapsed="false">
      <c r="A21" s="33" t="n">
        <v>17</v>
      </c>
      <c r="B21" s="84"/>
      <c r="C21" s="85"/>
      <c r="D21" s="84"/>
      <c r="E21" s="86"/>
      <c r="F21" s="87"/>
      <c r="G21" s="90" t="n">
        <f aca="false">IF($C21="",0,$E21*$F21)</f>
        <v>0</v>
      </c>
      <c r="H21" s="89"/>
      <c r="I21" s="84"/>
      <c r="J21" s="92" t="n">
        <f aca="false">IF($C21="",0,$G21*'01_專案設定_Setup'!$B$30)</f>
        <v>0</v>
      </c>
      <c r="K21" s="84"/>
      <c r="L21" s="93"/>
    </row>
    <row r="22" customFormat="false" ht="19.5" hidden="false" customHeight="true" outlineLevel="0" collapsed="false">
      <c r="A22" s="33" t="n">
        <v>18</v>
      </c>
      <c r="B22" s="84"/>
      <c r="C22" s="85"/>
      <c r="D22" s="84"/>
      <c r="E22" s="86"/>
      <c r="F22" s="87"/>
      <c r="G22" s="90" t="n">
        <f aca="false">IF($C22="",0,$E22*$F22)</f>
        <v>0</v>
      </c>
      <c r="H22" s="89"/>
      <c r="I22" s="84"/>
      <c r="J22" s="92" t="n">
        <f aca="false">IF($C22="",0,$G22*'01_專案設定_Setup'!$B$30)</f>
        <v>0</v>
      </c>
      <c r="K22" s="84"/>
      <c r="L22" s="93"/>
    </row>
    <row r="23" customFormat="false" ht="19.5" hidden="false" customHeight="true" outlineLevel="0" collapsed="false">
      <c r="A23" s="33" t="n">
        <v>19</v>
      </c>
      <c r="B23" s="84"/>
      <c r="C23" s="85"/>
      <c r="D23" s="84"/>
      <c r="E23" s="86"/>
      <c r="F23" s="87"/>
      <c r="G23" s="90" t="n">
        <f aca="false">IF($C23="",0,$E23*$F23)</f>
        <v>0</v>
      </c>
      <c r="H23" s="89"/>
      <c r="I23" s="84"/>
      <c r="J23" s="92" t="n">
        <f aca="false">IF($C23="",0,$G23*'01_專案設定_Setup'!$B$30)</f>
        <v>0</v>
      </c>
      <c r="K23" s="84"/>
      <c r="L23" s="93"/>
    </row>
    <row r="24" customFormat="false" ht="19.5" hidden="false" customHeight="true" outlineLevel="0" collapsed="false">
      <c r="A24" s="33" t="n">
        <v>20</v>
      </c>
      <c r="B24" s="84"/>
      <c r="C24" s="85"/>
      <c r="D24" s="84"/>
      <c r="E24" s="86"/>
      <c r="F24" s="87"/>
      <c r="G24" s="90" t="n">
        <f aca="false">IF($C24="",0,$E24*$F24)</f>
        <v>0</v>
      </c>
      <c r="H24" s="89"/>
      <c r="I24" s="84"/>
      <c r="J24" s="92" t="n">
        <f aca="false">IF($C24="",0,$G24*'01_專案設定_Setup'!$B$30)</f>
        <v>0</v>
      </c>
      <c r="K24" s="84"/>
      <c r="L24" s="93"/>
    </row>
    <row r="25" customFormat="false" ht="19.5" hidden="false" customHeight="true" outlineLevel="0" collapsed="false">
      <c r="A25" s="33" t="n">
        <v>21</v>
      </c>
      <c r="B25" s="84"/>
      <c r="C25" s="85"/>
      <c r="D25" s="84"/>
      <c r="E25" s="86"/>
      <c r="F25" s="87"/>
      <c r="G25" s="90" t="n">
        <f aca="false">IF($C25="",0,$E25*$F25)</f>
        <v>0</v>
      </c>
      <c r="H25" s="89"/>
      <c r="I25" s="84"/>
      <c r="J25" s="92" t="n">
        <f aca="false">IF($C25="",0,$G25*'01_專案設定_Setup'!$B$30)</f>
        <v>0</v>
      </c>
      <c r="K25" s="84"/>
      <c r="L25" s="93"/>
    </row>
    <row r="26" customFormat="false" ht="19.5" hidden="false" customHeight="true" outlineLevel="0" collapsed="false">
      <c r="A26" s="33" t="n">
        <v>22</v>
      </c>
      <c r="B26" s="84"/>
      <c r="C26" s="85"/>
      <c r="D26" s="84"/>
      <c r="E26" s="86"/>
      <c r="F26" s="87"/>
      <c r="G26" s="90" t="n">
        <f aca="false">IF($C26="",0,$E26*$F26)</f>
        <v>0</v>
      </c>
      <c r="H26" s="89"/>
      <c r="I26" s="84"/>
      <c r="J26" s="92" t="n">
        <f aca="false">IF($C26="",0,$G26*'01_專案設定_Setup'!$B$30)</f>
        <v>0</v>
      </c>
      <c r="K26" s="84"/>
      <c r="L26" s="93"/>
    </row>
    <row r="27" customFormat="false" ht="19.5" hidden="false" customHeight="true" outlineLevel="0" collapsed="false">
      <c r="A27" s="33" t="n">
        <v>23</v>
      </c>
      <c r="B27" s="84"/>
      <c r="C27" s="85"/>
      <c r="D27" s="84"/>
      <c r="E27" s="86"/>
      <c r="F27" s="87"/>
      <c r="G27" s="90" t="n">
        <f aca="false">IF($C27="",0,$E27*$F27)</f>
        <v>0</v>
      </c>
      <c r="H27" s="89"/>
      <c r="I27" s="84"/>
      <c r="J27" s="92" t="n">
        <f aca="false">IF($C27="",0,$G27*'01_專案設定_Setup'!$B$30)</f>
        <v>0</v>
      </c>
      <c r="K27" s="84"/>
      <c r="L27" s="93"/>
    </row>
    <row r="28" customFormat="false" ht="19.5" hidden="false" customHeight="true" outlineLevel="0" collapsed="false">
      <c r="A28" s="33" t="n">
        <v>24</v>
      </c>
      <c r="B28" s="84"/>
      <c r="C28" s="85"/>
      <c r="D28" s="84"/>
      <c r="E28" s="86"/>
      <c r="F28" s="87"/>
      <c r="G28" s="90" t="n">
        <f aca="false">IF($C28="",0,$E28*$F28)</f>
        <v>0</v>
      </c>
      <c r="H28" s="89"/>
      <c r="I28" s="84"/>
      <c r="J28" s="92" t="n">
        <f aca="false">IF($C28="",0,$G28*'01_專案設定_Setup'!$B$30)</f>
        <v>0</v>
      </c>
      <c r="K28" s="84"/>
      <c r="L28" s="93"/>
    </row>
    <row r="29" customFormat="false" ht="19.5" hidden="false" customHeight="true" outlineLevel="0" collapsed="false">
      <c r="A29" s="33" t="n">
        <v>25</v>
      </c>
      <c r="B29" s="84"/>
      <c r="C29" s="85"/>
      <c r="D29" s="84"/>
      <c r="E29" s="86"/>
      <c r="F29" s="87"/>
      <c r="G29" s="90" t="n">
        <f aca="false">IF($C29="",0,$E29*$F29)</f>
        <v>0</v>
      </c>
      <c r="H29" s="89"/>
      <c r="I29" s="84"/>
      <c r="J29" s="92" t="n">
        <f aca="false">IF($C29="",0,$G29*'01_專案設定_Setup'!$B$30)</f>
        <v>0</v>
      </c>
      <c r="K29" s="84"/>
      <c r="L29" s="93"/>
    </row>
    <row r="30" customFormat="false" ht="19.5" hidden="false" customHeight="true" outlineLevel="0" collapsed="false">
      <c r="A30" s="33" t="n">
        <v>26</v>
      </c>
      <c r="B30" s="84"/>
      <c r="C30" s="85"/>
      <c r="D30" s="84"/>
      <c r="E30" s="86"/>
      <c r="F30" s="87"/>
      <c r="G30" s="90" t="n">
        <f aca="false">IF($C30="",0,$E30*$F30)</f>
        <v>0</v>
      </c>
      <c r="H30" s="89"/>
      <c r="I30" s="84"/>
      <c r="J30" s="92" t="n">
        <f aca="false">IF($C30="",0,$G30*'01_專案設定_Setup'!$B$30)</f>
        <v>0</v>
      </c>
      <c r="K30" s="84"/>
      <c r="L30" s="93"/>
    </row>
    <row r="31" customFormat="false" ht="19.5" hidden="false" customHeight="true" outlineLevel="0" collapsed="false">
      <c r="A31" s="33" t="n">
        <v>27</v>
      </c>
      <c r="B31" s="84"/>
      <c r="C31" s="85"/>
      <c r="D31" s="84"/>
      <c r="E31" s="86"/>
      <c r="F31" s="87"/>
      <c r="G31" s="90" t="n">
        <f aca="false">IF($C31="",0,$E31*$F31)</f>
        <v>0</v>
      </c>
      <c r="H31" s="89"/>
      <c r="I31" s="84"/>
      <c r="J31" s="92" t="n">
        <f aca="false">IF($C31="",0,$G31*'01_專案設定_Setup'!$B$30)</f>
        <v>0</v>
      </c>
      <c r="K31" s="84"/>
      <c r="L31" s="93"/>
    </row>
    <row r="32" customFormat="false" ht="19.5" hidden="false" customHeight="true" outlineLevel="0" collapsed="false">
      <c r="A32" s="33" t="n">
        <v>28</v>
      </c>
      <c r="B32" s="84"/>
      <c r="C32" s="85"/>
      <c r="D32" s="84"/>
      <c r="E32" s="86"/>
      <c r="F32" s="87"/>
      <c r="G32" s="90" t="n">
        <f aca="false">IF($C32="",0,$E32*$F32)</f>
        <v>0</v>
      </c>
      <c r="H32" s="89"/>
      <c r="I32" s="84"/>
      <c r="J32" s="92" t="n">
        <f aca="false">IF($C32="",0,$G32*'01_專案設定_Setup'!$B$30)</f>
        <v>0</v>
      </c>
      <c r="K32" s="84"/>
      <c r="L32" s="93"/>
    </row>
    <row r="33" customFormat="false" ht="19.5" hidden="false" customHeight="true" outlineLevel="0" collapsed="false">
      <c r="A33" s="33" t="n">
        <v>29</v>
      </c>
      <c r="B33" s="84"/>
      <c r="C33" s="85"/>
      <c r="D33" s="84"/>
      <c r="E33" s="86"/>
      <c r="F33" s="87"/>
      <c r="G33" s="90" t="n">
        <f aca="false">IF($C33="",0,$E33*$F33)</f>
        <v>0</v>
      </c>
      <c r="H33" s="89"/>
      <c r="I33" s="84"/>
      <c r="J33" s="92" t="n">
        <f aca="false">IF($C33="",0,$G33*'01_專案設定_Setup'!$B$30)</f>
        <v>0</v>
      </c>
      <c r="K33" s="84"/>
      <c r="L33" s="93"/>
    </row>
    <row r="34" customFormat="false" ht="19.5" hidden="false" customHeight="true" outlineLevel="0" collapsed="false">
      <c r="A34" s="33" t="n">
        <v>30</v>
      </c>
      <c r="B34" s="84"/>
      <c r="C34" s="85"/>
      <c r="D34" s="84"/>
      <c r="E34" s="86"/>
      <c r="F34" s="87"/>
      <c r="G34" s="90" t="n">
        <f aca="false">IF($C34="",0,$E34*$F34)</f>
        <v>0</v>
      </c>
      <c r="H34" s="89"/>
      <c r="I34" s="84"/>
      <c r="J34" s="92" t="n">
        <f aca="false">IF($C34="",0,$G34*'01_專案設定_Setup'!$B$30)</f>
        <v>0</v>
      </c>
      <c r="K34" s="84"/>
      <c r="L34" s="93"/>
    </row>
    <row r="35" customFormat="false" ht="25.5" hidden="false" customHeight="true" outlineLevel="0" collapsed="false">
      <c r="A35" s="96"/>
      <c r="B35" s="96"/>
      <c r="C35" s="97" t="s">
        <v>390</v>
      </c>
      <c r="D35" s="96"/>
      <c r="E35" s="96"/>
      <c r="F35" s="96"/>
      <c r="G35" s="98" t="n">
        <f aca="false">SUM($G$5:$G$34)</f>
        <v>6720500</v>
      </c>
      <c r="H35" s="96"/>
      <c r="I35" s="96"/>
      <c r="J35" s="98" t="n">
        <f aca="false">SUM($J$5:$J$34)</f>
        <v>6720.5</v>
      </c>
      <c r="K35" s="96"/>
      <c r="L35" s="96"/>
    </row>
    <row r="36" customFormat="false" ht="15" hidden="false" customHeight="false" outlineLevel="0" collapsed="false">
      <c r="A36" s="105"/>
      <c r="B36" s="105"/>
      <c r="C36" s="106" t="s">
        <v>391</v>
      </c>
      <c r="D36" s="105"/>
      <c r="E36" s="105"/>
      <c r="F36" s="105"/>
      <c r="G36" s="107" t="n">
        <f aca="false">SUMIF($I$5:$I$34,"變動",$G$5:$G$34)</f>
        <v>323000</v>
      </c>
      <c r="H36" s="105"/>
      <c r="I36" s="105"/>
      <c r="J36" s="107" t="n">
        <f aca="false">$G36*'01_專案設定_Setup'!$B$30</f>
        <v>323</v>
      </c>
      <c r="K36" s="105"/>
      <c r="L36" s="105"/>
    </row>
    <row r="37" customFormat="false" ht="15" hidden="false" customHeight="false" outlineLevel="0" collapsed="false">
      <c r="A37" s="105"/>
      <c r="B37" s="105"/>
      <c r="C37" s="106" t="s">
        <v>392</v>
      </c>
      <c r="D37" s="105"/>
      <c r="E37" s="105"/>
      <c r="F37" s="105"/>
      <c r="G37" s="107" t="n">
        <f aca="false">SUMIF($I$5:$I$34,"固定",$G$5:$G$34)</f>
        <v>6397500</v>
      </c>
      <c r="H37" s="105"/>
      <c r="I37" s="105"/>
      <c r="J37" s="107" t="n">
        <f aca="false">$G37*'01_專案設定_Setup'!$B$30</f>
        <v>6397.5</v>
      </c>
      <c r="K37" s="105"/>
      <c r="L37" s="105"/>
    </row>
    <row r="38" customFormat="false" ht="15" hidden="false" customHeight="false" outlineLevel="0" collapsed="false">
      <c r="A38" s="105"/>
      <c r="B38" s="105"/>
      <c r="C38" s="108" t="s">
        <v>393</v>
      </c>
      <c r="D38" s="105"/>
      <c r="E38" s="105"/>
      <c r="F38" s="105"/>
      <c r="G38" s="109" t="n">
        <f aca="false">IFERROR(SUMPRODUCT($G$5:$G$34,$H$5:$H$34)/$G$35,0)</f>
        <v>0.0564496689234432</v>
      </c>
      <c r="H38" s="105"/>
      <c r="I38" s="105"/>
      <c r="J38" s="105"/>
      <c r="K38" s="105"/>
      <c r="L38" s="105"/>
    </row>
    <row r="40" customFormat="false" ht="15" hidden="false" customHeight="true" outlineLevel="0" collapsed="false">
      <c r="A40" s="110" t="s">
        <v>394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</row>
    <row r="41" customFormat="false" ht="15" hidden="false" customHeight="fals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</row>
  </sheetData>
  <sheetProtection sheet="true" formatCells="false" formatColumns="false" formatRows="false" insertRows="false" deleteRows="false" sort="false" autoFilter="false"/>
  <mergeCells count="3">
    <mergeCell ref="A1:M1"/>
    <mergeCell ref="A2:M2"/>
    <mergeCell ref="A40:L41"/>
  </mergeCells>
  <dataValidations count="3">
    <dataValidation allowBlank="true" error="請由下拉清單選擇。" errorStyle="stop" errorTitle="請由下拉選擇" operator="between" showDropDown="false" showErrorMessage="false" showInputMessage="false" sqref="B5:B34" type="list">
      <formula1>L_OpCat</formula1>
      <formula2>0</formula2>
    </dataValidation>
    <dataValidation allowBlank="true" error="請選「變動」或「固定」。標為「變動」的成本會隨服務量爬坡縮放；填錯會讓開辦期現金流嚴重失真。" errorStyle="stop" errorTitle="成本性質必填" operator="between" showDropDown="false" showErrorMessage="true" showInputMessage="false" sqref="I5:I34" type="list">
      <formula1>L_CostType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K5:K34" type="list">
      <formula1>L_Role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&amp;L03_營運成本_OPEX</oddHeader>
    <oddFooter>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9" min="5" style="0" width="16"/>
  </cols>
  <sheetData>
    <row r="1" customFormat="false" ht="30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396</v>
      </c>
      <c r="B2" s="2"/>
      <c r="C2" s="2"/>
      <c r="D2" s="2"/>
      <c r="E2" s="2"/>
      <c r="F2" s="2"/>
      <c r="G2" s="2"/>
      <c r="H2" s="2"/>
      <c r="I2" s="2"/>
    </row>
    <row r="4" customFormat="false" ht="19.4" hidden="false" customHeight="false" outlineLevel="0" collapsed="false">
      <c r="A4" s="28" t="s">
        <v>397</v>
      </c>
    </row>
    <row r="5" customFormat="false" ht="21.75" hidden="false" customHeight="true" outlineLevel="0" collapsed="false">
      <c r="A5" s="31" t="s">
        <v>398</v>
      </c>
      <c r="B5" s="111" t="n">
        <v>500</v>
      </c>
      <c r="C5" s="54" t="s">
        <v>399</v>
      </c>
      <c r="D5" s="36" t="s">
        <v>400</v>
      </c>
    </row>
    <row r="6" customFormat="false" ht="21.75" hidden="false" customHeight="true" outlineLevel="0" collapsed="false">
      <c r="A6" s="31" t="s">
        <v>401</v>
      </c>
      <c r="B6" s="53" t="n">
        <v>12</v>
      </c>
      <c r="C6" s="54" t="s">
        <v>402</v>
      </c>
      <c r="D6" s="34" t="s">
        <v>403</v>
      </c>
    </row>
    <row r="7" customFormat="false" ht="21.75" hidden="false" customHeight="true" outlineLevel="0" collapsed="false">
      <c r="A7" s="31" t="s">
        <v>404</v>
      </c>
      <c r="B7" s="56" t="n">
        <v>0.85</v>
      </c>
      <c r="C7" s="33"/>
      <c r="D7" s="34" t="s">
        <v>405</v>
      </c>
    </row>
    <row r="9" customFormat="false" ht="19.4" hidden="false" customHeight="false" outlineLevel="0" collapsed="false">
      <c r="A9" s="28" t="s">
        <v>406</v>
      </c>
    </row>
    <row r="10" customFormat="false" ht="33.75" hidden="false" customHeight="true" outlineLevel="0" collapsed="false">
      <c r="A10" s="31" t="s">
        <v>407</v>
      </c>
      <c r="B10" s="112" t="n">
        <v>1680</v>
      </c>
      <c r="C10" s="33" t="s">
        <v>408</v>
      </c>
      <c r="D10" s="34" t="s">
        <v>409</v>
      </c>
    </row>
    <row r="11" customFormat="false" ht="21.75" hidden="false" customHeight="true" outlineLevel="0" collapsed="false">
      <c r="A11" s="31" t="s">
        <v>410</v>
      </c>
      <c r="B11" s="112" t="n">
        <v>2420</v>
      </c>
      <c r="C11" s="33" t="s">
        <v>408</v>
      </c>
      <c r="D11" s="36" t="s">
        <v>411</v>
      </c>
    </row>
    <row r="12" customFormat="false" ht="21.75" hidden="false" customHeight="true" outlineLevel="0" collapsed="false">
      <c r="A12" s="31" t="s">
        <v>412</v>
      </c>
      <c r="B12" s="56" t="n">
        <v>0.2</v>
      </c>
      <c r="C12" s="33"/>
      <c r="D12" s="34" t="s">
        <v>413</v>
      </c>
    </row>
    <row r="13" customFormat="false" ht="21.75" hidden="false" customHeight="true" outlineLevel="0" collapsed="false">
      <c r="A13" s="31" t="s">
        <v>414</v>
      </c>
      <c r="B13" s="113" t="n">
        <f aca="false">$B$10*(1-$B$12)+$B$11*$B$12</f>
        <v>1828</v>
      </c>
      <c r="C13" s="33" t="s">
        <v>408</v>
      </c>
      <c r="D13" s="34" t="s">
        <v>415</v>
      </c>
    </row>
    <row r="15" customFormat="false" ht="19.4" hidden="false" customHeight="false" outlineLevel="0" collapsed="false">
      <c r="A15" s="28" t="s">
        <v>416</v>
      </c>
    </row>
    <row r="16" customFormat="false" ht="21.75" hidden="false" customHeight="true" outlineLevel="0" collapsed="false">
      <c r="A16" s="31" t="s">
        <v>417</v>
      </c>
      <c r="B16" s="56" t="n">
        <v>0.02</v>
      </c>
      <c r="C16" s="33"/>
      <c r="D16" s="34" t="s">
        <v>418</v>
      </c>
    </row>
    <row r="17" customFormat="false" ht="21.75" hidden="false" customHeight="true" outlineLevel="0" collapsed="false">
      <c r="A17" s="31" t="s">
        <v>419</v>
      </c>
      <c r="B17" s="56" t="n">
        <v>0.03</v>
      </c>
      <c r="C17" s="33"/>
      <c r="D17" s="34" t="s">
        <v>420</v>
      </c>
    </row>
    <row r="19" customFormat="false" ht="19.4" hidden="false" customHeight="false" outlineLevel="0" collapsed="false">
      <c r="A19" s="28" t="s">
        <v>421</v>
      </c>
    </row>
    <row r="20" customFormat="false" ht="21.75" hidden="false" customHeight="true" outlineLevel="0" collapsed="false">
      <c r="A20" s="5" t="s">
        <v>422</v>
      </c>
      <c r="B20" s="5" t="s">
        <v>423</v>
      </c>
      <c r="C20" s="5" t="s">
        <v>424</v>
      </c>
      <c r="D20" s="5" t="s">
        <v>425</v>
      </c>
      <c r="E20" s="5" t="s">
        <v>426</v>
      </c>
      <c r="F20" s="5" t="s">
        <v>427</v>
      </c>
      <c r="G20" s="5" t="s">
        <v>428</v>
      </c>
      <c r="H20" s="5" t="s">
        <v>429</v>
      </c>
      <c r="I20" s="5" t="s">
        <v>430</v>
      </c>
      <c r="J20" s="5" t="s">
        <v>431</v>
      </c>
      <c r="K20" s="5" t="s">
        <v>432</v>
      </c>
    </row>
    <row r="21" customFormat="false" ht="15" hidden="false" customHeight="false" outlineLevel="0" collapsed="false">
      <c r="A21" s="114" t="s">
        <v>433</v>
      </c>
      <c r="B21" s="56" t="n">
        <v>0.4</v>
      </c>
      <c r="C21" s="56" t="n">
        <v>0.75</v>
      </c>
      <c r="D21" s="56" t="n">
        <v>1</v>
      </c>
      <c r="E21" s="56" t="n">
        <v>1</v>
      </c>
      <c r="F21" s="56" t="n">
        <v>1</v>
      </c>
      <c r="G21" s="56" t="n">
        <v>1</v>
      </c>
      <c r="H21" s="56" t="n">
        <v>1</v>
      </c>
      <c r="I21" s="56" t="n">
        <v>1</v>
      </c>
      <c r="J21" s="56" t="n">
        <v>1</v>
      </c>
      <c r="K21" s="56" t="n">
        <v>1</v>
      </c>
    </row>
    <row r="23" customFormat="false" ht="19.4" hidden="false" customHeight="false" outlineLevel="0" collapsed="false">
      <c r="A23" s="28" t="s">
        <v>434</v>
      </c>
    </row>
    <row r="24" customFormat="false" ht="30" hidden="false" customHeight="true" outlineLevel="0" collapsed="false">
      <c r="A24" s="5" t="s">
        <v>435</v>
      </c>
      <c r="B24" s="5" t="str">
        <f aca="false">CONCATENATE("第 1 年",CHAR(10),"(",'01_專案設定_Setup'!$B$36+0,")")</f>
        <v>第 1 年
(2027)</v>
      </c>
      <c r="C24" s="5" t="str">
        <f aca="false">CONCATENATE("第 2 年",CHAR(10),"(",'01_專案設定_Setup'!$B$36+1,")")</f>
        <v>第 2 年
(2028)</v>
      </c>
      <c r="D24" s="5" t="str">
        <f aca="false">CONCATENATE("第 3 年",CHAR(10),"(",'01_專案設定_Setup'!$B$36+2,")")</f>
        <v>第 3 年
(2029)</v>
      </c>
      <c r="E24" s="5" t="str">
        <f aca="false">CONCATENATE("第 4 年",CHAR(10),"(",'01_專案設定_Setup'!$B$36+3,")")</f>
        <v>第 4 年
(2030)</v>
      </c>
      <c r="F24" s="5" t="str">
        <f aca="false">CONCATENATE("第 5 年",CHAR(10),"(",'01_專案設定_Setup'!$B$36+4,")")</f>
        <v>第 5 年
(2031)</v>
      </c>
      <c r="G24" s="5" t="str">
        <f aca="false">CONCATENATE("第 6 年",CHAR(10),"(",'01_專案設定_Setup'!$B$36+5,")")</f>
        <v>第 6 年
(2032)</v>
      </c>
      <c r="H24" s="5" t="str">
        <f aca="false">CONCATENATE("第 7 年",CHAR(10),"(",'01_專案設定_Setup'!$B$36+6,")")</f>
        <v>第 7 年
(2033)</v>
      </c>
      <c r="I24" s="5" t="str">
        <f aca="false">CONCATENATE("第 8 年",CHAR(10),"(",'01_專案設定_Setup'!$B$36+7,")")</f>
        <v>第 8 年
(2034)</v>
      </c>
      <c r="J24" s="5" t="str">
        <f aca="false">CONCATENATE("第 9 年",CHAR(10),"(",'01_專案設定_Setup'!$B$36+8,")")</f>
        <v>第 9 年
(2035)</v>
      </c>
      <c r="K24" s="5" t="str">
        <f aca="false">CONCATENATE("第 10 年",CHAR(10),"(",'01_專案設定_Setup'!$B$36+9,")")</f>
        <v>第 10 年
(2036)</v>
      </c>
    </row>
    <row r="25" customFormat="false" ht="15" hidden="false" customHeight="false" outlineLevel="0" collapsed="false">
      <c r="A25" s="115" t="s">
        <v>436</v>
      </c>
      <c r="B25" s="116" t="n">
        <f aca="false">$B$5*$B$6*(1+$B$16)^0*B$21</f>
        <v>2400</v>
      </c>
      <c r="C25" s="116" t="n">
        <f aca="false">$B$5*$B$6*(1+$B$16)^1*C$21</f>
        <v>4590</v>
      </c>
      <c r="D25" s="116" t="n">
        <f aca="false">$B$5*$B$6*(1+$B$16)^2*D$21</f>
        <v>6242.4</v>
      </c>
      <c r="E25" s="116" t="n">
        <f aca="false">$B$5*$B$6*(1+$B$16)^3*E$21</f>
        <v>6367.248</v>
      </c>
      <c r="F25" s="116" t="n">
        <f aca="false">$B$5*$B$6*(1+$B$16)^4*F$21</f>
        <v>6494.59296</v>
      </c>
      <c r="G25" s="116" t="n">
        <f aca="false">$B$5*$B$6*(1+$B$16)^5*G$21</f>
        <v>6624.4848192</v>
      </c>
      <c r="H25" s="116" t="n">
        <f aca="false">$B$5*$B$6*(1+$B$16)^6*H$21</f>
        <v>6756.974515584</v>
      </c>
      <c r="I25" s="116" t="n">
        <f aca="false">$B$5*$B$6*(1+$B$16)^7*I$21</f>
        <v>6892.11400589568</v>
      </c>
      <c r="J25" s="116" t="n">
        <f aca="false">$B$5*$B$6*(1+$B$16)^8*J$21</f>
        <v>7029.9562860136</v>
      </c>
      <c r="K25" s="116" t="n">
        <f aca="false">$B$5*$B$6*(1+$B$16)^9*K$21</f>
        <v>7170.55541173387</v>
      </c>
    </row>
    <row r="26" customFormat="false" ht="15" hidden="false" customHeight="false" outlineLevel="0" collapsed="false">
      <c r="A26" s="115" t="s">
        <v>437</v>
      </c>
      <c r="B26" s="117" t="n">
        <f aca="false">$B$13*(1+$B$17)^0</f>
        <v>1828</v>
      </c>
      <c r="C26" s="117" t="n">
        <f aca="false">$B$13*(1+$B$17)^1</f>
        <v>1882.84</v>
      </c>
      <c r="D26" s="117" t="n">
        <f aca="false">$B$13*(1+$B$17)^2</f>
        <v>1939.3252</v>
      </c>
      <c r="E26" s="117" t="n">
        <f aca="false">$B$13*(1+$B$17)^3</f>
        <v>1997.504956</v>
      </c>
      <c r="F26" s="117" t="n">
        <f aca="false">$B$13*(1+$B$17)^4</f>
        <v>2057.43010468</v>
      </c>
      <c r="G26" s="117" t="n">
        <f aca="false">$B$13*(1+$B$17)^5</f>
        <v>2119.1530078204</v>
      </c>
      <c r="H26" s="117" t="n">
        <f aca="false">$B$13*(1+$B$17)^6</f>
        <v>2182.72759805501</v>
      </c>
      <c r="I26" s="117" t="n">
        <f aca="false">$B$13*(1+$B$17)^7</f>
        <v>2248.20942599666</v>
      </c>
      <c r="J26" s="117" t="n">
        <f aca="false">$B$13*(1+$B$17)^8</f>
        <v>2315.65570877656</v>
      </c>
      <c r="K26" s="117" t="n">
        <f aca="false">$B$13*(1+$B$17)^9</f>
        <v>2385.12538003986</v>
      </c>
    </row>
    <row r="27" customFormat="false" ht="15" hidden="false" customHeight="false" outlineLevel="0" collapsed="false">
      <c r="A27" s="115" t="s">
        <v>438</v>
      </c>
      <c r="B27" s="117" t="n">
        <f aca="false">IF($B$5=0,0,B$25*(1-$B$12)*$B$10*(1+$B$17)^0*'01_專案設定_Setup'!$B$30)</f>
        <v>3225.6</v>
      </c>
      <c r="C27" s="117" t="n">
        <f aca="false">IF($B$5=0,0,C$25*(1-$B$12)*$B$10*(1+$B$17)^1*'01_專案設定_Setup'!$B$30)</f>
        <v>6354.0288</v>
      </c>
      <c r="D27" s="117" t="n">
        <f aca="false">IF($B$5=0,0,D$25*(1-$B$12)*$B$10*(1+$B$17)^2*'01_專案設定_Setup'!$B$30)</f>
        <v>8900.72354304</v>
      </c>
      <c r="E27" s="117" t="n">
        <f aca="false">IF($B$5=0,0,E$25*(1-$B$12)*$B$10*(1+$B$17)^3*'01_專案設定_Setup'!$B$30)</f>
        <v>9351.10015431782</v>
      </c>
      <c r="F27" s="117" t="n">
        <f aca="false">IF($B$5=0,0,F$25*(1-$B$12)*$B$10*(1+$B$17)^4*'01_專案設定_Setup'!$B$30)</f>
        <v>9824.26582212631</v>
      </c>
      <c r="G27" s="117" t="n">
        <f aca="false">IF($B$5=0,0,G$25*(1-$B$12)*$B$10*(1+$B$17)^5*'01_專案設定_Setup'!$B$30)</f>
        <v>10321.3736727259</v>
      </c>
      <c r="H27" s="117" t="n">
        <f aca="false">IF($B$5=0,0,H$25*(1-$B$12)*$B$10*(1+$B$17)^6*'01_專案設定_Setup'!$B$30)</f>
        <v>10843.6351805658</v>
      </c>
      <c r="I27" s="117" t="n">
        <f aca="false">IF($B$5=0,0,I$25*(1-$B$12)*$B$10*(1+$B$17)^7*'01_專案設定_Setup'!$B$30)</f>
        <v>11392.3231207025</v>
      </c>
      <c r="J27" s="117" t="n">
        <f aca="false">IF($B$5=0,0,J$25*(1-$B$12)*$B$10*(1+$B$17)^8*'01_專案設定_Setup'!$B$30)</f>
        <v>11968.77467061</v>
      </c>
      <c r="K27" s="117" t="n">
        <f aca="false">IF($B$5=0,0,K$25*(1-$B$12)*$B$10*(1+$B$17)^9*'01_專案設定_Setup'!$B$30)</f>
        <v>12574.3946689429</v>
      </c>
    </row>
    <row r="28" customFormat="false" ht="15" hidden="false" customHeight="false" outlineLevel="0" collapsed="false">
      <c r="A28" s="115" t="s">
        <v>439</v>
      </c>
      <c r="B28" s="117" t="n">
        <f aca="false">IF($B$5=0,0,B$25*$B$12*$B$11*(1+$B$17)^0*'01_專案設定_Setup'!$B$30)</f>
        <v>1161.6</v>
      </c>
      <c r="C28" s="117" t="n">
        <f aca="false">IF($B$5=0,0,C$25*$B$12*$B$11*(1+$B$17)^1*'01_專案設定_Setup'!$B$30)</f>
        <v>2288.2068</v>
      </c>
      <c r="D28" s="117" t="n">
        <f aca="false">IF($B$5=0,0,D$25*$B$12*$B$11*(1+$B$17)^2*'01_專案設定_Setup'!$B$30)</f>
        <v>3205.32008544</v>
      </c>
      <c r="E28" s="117" t="n">
        <f aca="false">IF($B$5=0,0,E$25*$B$12*$B$11*(1+$B$17)^3*'01_專案設定_Setup'!$B$30)</f>
        <v>3367.50928176326</v>
      </c>
      <c r="F28" s="117" t="n">
        <f aca="false">IF($B$5=0,0,F$25*$B$12*$B$11*(1+$B$17)^4*'01_專案設定_Setup'!$B$30)</f>
        <v>3537.90525142049</v>
      </c>
      <c r="G28" s="117" t="n">
        <f aca="false">IF($B$5=0,0,G$25*$B$12*$B$11*(1+$B$17)^5*'01_專案設定_Setup'!$B$30)</f>
        <v>3716.92325714236</v>
      </c>
      <c r="H28" s="117" t="n">
        <f aca="false">IF($B$5=0,0,H$25*$B$12*$B$11*(1+$B$17)^6*'01_專案設定_Setup'!$B$30)</f>
        <v>3904.99957395377</v>
      </c>
      <c r="I28" s="117" t="n">
        <f aca="false">IF($B$5=0,0,I$25*$B$12*$B$11*(1+$B$17)^7*'01_專案設定_Setup'!$B$30)</f>
        <v>4102.59255239583</v>
      </c>
      <c r="J28" s="117" t="n">
        <f aca="false">IF($B$5=0,0,J$25*$B$12*$B$11*(1+$B$17)^8*'01_專案設定_Setup'!$B$30)</f>
        <v>4310.18373554706</v>
      </c>
      <c r="K28" s="117" t="n">
        <f aca="false">IF($B$5=0,0,K$25*$B$12*$B$11*(1+$B$17)^9*'01_專案設定_Setup'!$B$30)</f>
        <v>4528.27903256574</v>
      </c>
    </row>
    <row r="29" customFormat="false" ht="15" hidden="false" customHeight="false" outlineLevel="0" collapsed="false">
      <c r="A29" s="118" t="s">
        <v>440</v>
      </c>
      <c r="B29" s="119" t="n">
        <f aca="false">B$27+B$28</f>
        <v>4387.2</v>
      </c>
      <c r="C29" s="119" t="n">
        <f aca="false">C$27+C$28</f>
        <v>8642.2356</v>
      </c>
      <c r="D29" s="119" t="n">
        <f aca="false">D$27+D$28</f>
        <v>12106.04362848</v>
      </c>
      <c r="E29" s="119" t="n">
        <f aca="false">E$27+E$28</f>
        <v>12718.6094360811</v>
      </c>
      <c r="F29" s="119" t="n">
        <f aca="false">F$27+F$28</f>
        <v>13362.1710735468</v>
      </c>
      <c r="G29" s="119" t="n">
        <f aca="false">G$27+G$28</f>
        <v>14038.2969298683</v>
      </c>
      <c r="H29" s="119" t="n">
        <f aca="false">H$27+H$28</f>
        <v>14748.6347545196</v>
      </c>
      <c r="I29" s="119" t="n">
        <f aca="false">I$27+I$28</f>
        <v>15494.9156730983</v>
      </c>
      <c r="J29" s="119" t="n">
        <f aca="false">J$27+J$28</f>
        <v>16278.9584061571</v>
      </c>
      <c r="K29" s="119" t="n">
        <f aca="false">K$27+K$28</f>
        <v>17102.6737015086</v>
      </c>
    </row>
    <row r="31" customFormat="false" ht="25.5" hidden="false" customHeight="true" outlineLevel="0" collapsed="false">
      <c r="A31" s="120" t="s">
        <v>441</v>
      </c>
      <c r="B31" s="121" t="n">
        <f aca="false">$B$5*$B$6*$B$13*'01_專案設定_Setup'!$B$30</f>
        <v>10968</v>
      </c>
      <c r="C31" s="105"/>
      <c r="D31" s="122" t="s">
        <v>442</v>
      </c>
    </row>
    <row r="33" customFormat="false" ht="15" hidden="false" customHeight="true" outlineLevel="0" collapsed="false">
      <c r="A33" s="110" t="s">
        <v>443</v>
      </c>
      <c r="B33" s="110"/>
      <c r="C33" s="110"/>
      <c r="D33" s="110"/>
      <c r="E33" s="110"/>
      <c r="F33" s="110"/>
      <c r="G33" s="110"/>
      <c r="H33" s="110"/>
      <c r="I33" s="110"/>
    </row>
    <row r="34" customFormat="false" ht="15" hidden="false" customHeight="fals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</row>
    <row r="35" customFormat="false" ht="15" hidden="false" customHeight="fals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</row>
  </sheetData>
  <sheetProtection sheet="true" formatCells="false" formatColumns="false" formatRows="false" insertRows="false" deleteRows="false" sort="false" autoFilter="false"/>
  <mergeCells count="3">
    <mergeCell ref="A1:I1"/>
    <mergeCell ref="A2:I2"/>
    <mergeCell ref="A33:I35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&amp;L04_收入產能_Revenue</oddHead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16" min="7" style="0" width="14"/>
  </cols>
  <sheetData>
    <row r="1" customFormat="false" ht="30" hidden="false" customHeight="true" outlineLevel="0" collapsed="false">
      <c r="A1" s="1" t="s">
        <v>444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445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5.5" hidden="false" customHeight="true" outlineLevel="0" collapsed="false">
      <c r="A4" s="5" t="s">
        <v>272</v>
      </c>
      <c r="B4" s="5" t="s">
        <v>446</v>
      </c>
      <c r="C4" s="5" t="s">
        <v>284</v>
      </c>
      <c r="D4" s="5" t="s">
        <v>447</v>
      </c>
      <c r="E4" s="5" t="s">
        <v>286</v>
      </c>
      <c r="F4" s="5" t="s">
        <v>448</v>
      </c>
      <c r="G4" s="5" t="s">
        <v>423</v>
      </c>
      <c r="H4" s="5" t="s">
        <v>424</v>
      </c>
      <c r="I4" s="5" t="s">
        <v>425</v>
      </c>
      <c r="J4" s="5" t="s">
        <v>426</v>
      </c>
      <c r="K4" s="5" t="s">
        <v>427</v>
      </c>
      <c r="L4" s="5" t="s">
        <v>428</v>
      </c>
      <c r="M4" s="5" t="s">
        <v>429</v>
      </c>
      <c r="N4" s="5" t="s">
        <v>430</v>
      </c>
      <c r="O4" s="5" t="s">
        <v>431</v>
      </c>
      <c r="P4" s="5" t="s">
        <v>432</v>
      </c>
    </row>
    <row r="5" customFormat="false" ht="15.75" hidden="false" customHeight="true" outlineLevel="0" collapsed="false">
      <c r="A5" s="123" t="n">
        <f aca="false">IF('02_投資成本_CAPEX'!$C6="","",'02_投資成本_CAPEX'!$A6)</f>
        <v>1</v>
      </c>
      <c r="B5" s="124" t="str">
        <f aca="false">IF('02_投資成本_CAPEX'!$C6="","",'02_投資成本_CAPEX'!$C6)</f>
        <v>HIS／EMR 核心平台授權（500 床規模，含門診、住院、批價、病歷）</v>
      </c>
      <c r="C5" s="124" t="str">
        <f aca="false">IF('02_投資成本_CAPEX'!$C6="","",'02_投資成本_CAPEX'!$M6)</f>
        <v>軟體與無形 Software</v>
      </c>
      <c r="D5" s="125" t="n">
        <f aca="false">IF('02_投資成本_CAPEX'!$C6="","",'02_投資成本_CAPEX'!$N6)</f>
        <v>5</v>
      </c>
      <c r="E5" s="125" t="n">
        <f aca="false">IF('02_投資成本_CAPEX'!$C6="","",'02_投資成本_CAPEX'!$O6)</f>
        <v>0</v>
      </c>
      <c r="F5" s="126" t="n">
        <f aca="false">IF('02_投資成本_CAPEX'!$C6="",0,'02_投資成本_CAPEX'!$L6*(1-'02_投資成本_CAPEX'!$P6)*'01_專案設定_Setup'!$B$30)</f>
        <v>10126.05</v>
      </c>
      <c r="G5" s="127" t="n">
        <f aca="false">IF(OR('02_投資成本_CAPEX'!$C6="",'02_投資成本_CAPEX'!$N6=0),0,IF(AND(1&gt;=1,1&lt;='02_投資成本_CAPEX'!$N6),$F5/'02_投資成本_CAPEX'!$N6,0)+IF(AND('02_投資成本_CAPEX'!$O6&gt;0,1&gt;='02_投資成本_CAPEX'!$O6,1&lt;='02_投資成本_CAPEX'!$O6+'02_投資成本_CAPEX'!$N6-1),$F5/'02_投資成本_CAPEX'!$N6,0))</f>
        <v>2025.21</v>
      </c>
      <c r="H5" s="127" t="n">
        <f aca="false">IF(OR('02_投資成本_CAPEX'!$C6="",'02_投資成本_CAPEX'!$N6=0),0,IF(AND(2&gt;=1,2&lt;='02_投資成本_CAPEX'!$N6),$F5/'02_投資成本_CAPEX'!$N6,0)+IF(AND('02_投資成本_CAPEX'!$O6&gt;0,2&gt;='02_投資成本_CAPEX'!$O6,2&lt;='02_投資成本_CAPEX'!$O6+'02_投資成本_CAPEX'!$N6-1),$F5/'02_投資成本_CAPEX'!$N6,0))</f>
        <v>2025.21</v>
      </c>
      <c r="I5" s="127" t="n">
        <f aca="false">IF(OR('02_投資成本_CAPEX'!$C6="",'02_投資成本_CAPEX'!$N6=0),0,IF(AND(3&gt;=1,3&lt;='02_投資成本_CAPEX'!$N6),$F5/'02_投資成本_CAPEX'!$N6,0)+IF(AND('02_投資成本_CAPEX'!$O6&gt;0,3&gt;='02_投資成本_CAPEX'!$O6,3&lt;='02_投資成本_CAPEX'!$O6+'02_投資成本_CAPEX'!$N6-1),$F5/'02_投資成本_CAPEX'!$N6,0))</f>
        <v>2025.21</v>
      </c>
      <c r="J5" s="127" t="n">
        <f aca="false">IF(OR('02_投資成本_CAPEX'!$C6="",'02_投資成本_CAPEX'!$N6=0),0,IF(AND(4&gt;=1,4&lt;='02_投資成本_CAPEX'!$N6),$F5/'02_投資成本_CAPEX'!$N6,0)+IF(AND('02_投資成本_CAPEX'!$O6&gt;0,4&gt;='02_投資成本_CAPEX'!$O6,4&lt;='02_投資成本_CAPEX'!$O6+'02_投資成本_CAPEX'!$N6-1),$F5/'02_投資成本_CAPEX'!$N6,0))</f>
        <v>2025.21</v>
      </c>
      <c r="K5" s="127" t="n">
        <f aca="false">IF(OR('02_投資成本_CAPEX'!$C6="",'02_投資成本_CAPEX'!$N6=0),0,IF(AND(5&gt;=1,5&lt;='02_投資成本_CAPEX'!$N6),$F5/'02_投資成本_CAPEX'!$N6,0)+IF(AND('02_投資成本_CAPEX'!$O6&gt;0,5&gt;='02_投資成本_CAPEX'!$O6,5&lt;='02_投資成本_CAPEX'!$O6+'02_投資成本_CAPEX'!$N6-1),$F5/'02_投資成本_CAPEX'!$N6,0))</f>
        <v>2025.21</v>
      </c>
      <c r="L5" s="127" t="n">
        <f aca="false">IF(OR('02_投資成本_CAPEX'!$C6="",'02_投資成本_CAPEX'!$N6=0),0,IF(AND(6&gt;=1,6&lt;='02_投資成本_CAPEX'!$N6),$F5/'02_投資成本_CAPEX'!$N6,0)+IF(AND('02_投資成本_CAPEX'!$O6&gt;0,6&gt;='02_投資成本_CAPEX'!$O6,6&lt;='02_投資成本_CAPEX'!$O6+'02_投資成本_CAPEX'!$N6-1),$F5/'02_投資成本_CAPEX'!$N6,0))</f>
        <v>0</v>
      </c>
      <c r="M5" s="127" t="n">
        <f aca="false">IF(OR('02_投資成本_CAPEX'!$C6="",'02_投資成本_CAPEX'!$N6=0),0,IF(AND(7&gt;=1,7&lt;='02_投資成本_CAPEX'!$N6),$F5/'02_投資成本_CAPEX'!$N6,0)+IF(AND('02_投資成本_CAPEX'!$O6&gt;0,7&gt;='02_投資成本_CAPEX'!$O6,7&lt;='02_投資成本_CAPEX'!$O6+'02_投資成本_CAPEX'!$N6-1),$F5/'02_投資成本_CAPEX'!$N6,0))</f>
        <v>0</v>
      </c>
      <c r="N5" s="127" t="n">
        <f aca="false">IF(OR('02_投資成本_CAPEX'!$C6="",'02_投資成本_CAPEX'!$N6=0),0,IF(AND(8&gt;=1,8&lt;='02_投資成本_CAPEX'!$N6),$F5/'02_投資成本_CAPEX'!$N6,0)+IF(AND('02_投資成本_CAPEX'!$O6&gt;0,8&gt;='02_投資成本_CAPEX'!$O6,8&lt;='02_投資成本_CAPEX'!$O6+'02_投資成本_CAPEX'!$N6-1),$F5/'02_投資成本_CAPEX'!$N6,0))</f>
        <v>0</v>
      </c>
      <c r="O5" s="127" t="n">
        <f aca="false">IF(OR('02_投資成本_CAPEX'!$C6="",'02_投資成本_CAPEX'!$N6=0),0,IF(AND(9&gt;=1,9&lt;='02_投資成本_CAPEX'!$N6),$F5/'02_投資成本_CAPEX'!$N6,0)+IF(AND('02_投資成本_CAPEX'!$O6&gt;0,9&gt;='02_投資成本_CAPEX'!$O6,9&lt;='02_投資成本_CAPEX'!$O6+'02_投資成本_CAPEX'!$N6-1),$F5/'02_投資成本_CAPEX'!$N6,0))</f>
        <v>0</v>
      </c>
      <c r="P5" s="127" t="n">
        <f aca="false">IF(OR('02_投資成本_CAPEX'!$C6="",'02_投資成本_CAPEX'!$N6=0),0,IF(AND(10&gt;=1,10&lt;='02_投資成本_CAPEX'!$N6),$F5/'02_投資成本_CAPEX'!$N6,0)+IF(AND('02_投資成本_CAPEX'!$O6&gt;0,10&gt;='02_投資成本_CAPEX'!$O6,10&lt;='02_投資成本_CAPEX'!$O6+'02_投資成本_CAPEX'!$N6-1),$F5/'02_投資成本_CAPEX'!$N6,0))</f>
        <v>0</v>
      </c>
    </row>
    <row r="6" customFormat="false" ht="15.75" hidden="false" customHeight="true" outlineLevel="0" collapsed="false">
      <c r="A6" s="123" t="n">
        <f aca="false">IF('02_投資成本_CAPEX'!$C7="","",'02_投資成本_CAPEX'!$A7)</f>
        <v>2</v>
      </c>
      <c r="B6" s="124" t="str">
        <f aca="false">IF('02_投資成本_CAPEX'!$C7="","",'02_投資成本_CAPEX'!$C7)</f>
        <v>LIS 檢驗資訊模組與儀器雙向介接</v>
      </c>
      <c r="C6" s="124" t="str">
        <f aca="false">IF('02_投資成本_CAPEX'!$C7="","",'02_投資成本_CAPEX'!$M7)</f>
        <v>軟體與無形 Software</v>
      </c>
      <c r="D6" s="125" t="n">
        <f aca="false">IF('02_投資成本_CAPEX'!$C7="","",'02_投資成本_CAPEX'!$N7)</f>
        <v>5</v>
      </c>
      <c r="E6" s="125" t="n">
        <f aca="false">IF('02_投資成本_CAPEX'!$C7="","",'02_投資成本_CAPEX'!$O7)</f>
        <v>0</v>
      </c>
      <c r="F6" s="126" t="n">
        <f aca="false">IF('02_投資成本_CAPEX'!$C7="",0,'02_投資成本_CAPEX'!$L7*(1-'02_投資成本_CAPEX'!$P7)*'01_專案設定_Setup'!$B$30)</f>
        <v>1598.85</v>
      </c>
      <c r="G6" s="127" t="n">
        <f aca="false">IF(OR('02_投資成本_CAPEX'!$C7="",'02_投資成本_CAPEX'!$N7=0),0,IF(AND(1&gt;=1,1&lt;='02_投資成本_CAPEX'!$N7),$F6/'02_投資成本_CAPEX'!$N7,0)+IF(AND('02_投資成本_CAPEX'!$O7&gt;0,1&gt;='02_投資成本_CAPEX'!$O7,1&lt;='02_投資成本_CAPEX'!$O7+'02_投資成本_CAPEX'!$N7-1),$F6/'02_投資成本_CAPEX'!$N7,0))</f>
        <v>319.77</v>
      </c>
      <c r="H6" s="127" t="n">
        <f aca="false">IF(OR('02_投資成本_CAPEX'!$C7="",'02_投資成本_CAPEX'!$N7=0),0,IF(AND(2&gt;=1,2&lt;='02_投資成本_CAPEX'!$N7),$F6/'02_投資成本_CAPEX'!$N7,0)+IF(AND('02_投資成本_CAPEX'!$O7&gt;0,2&gt;='02_投資成本_CAPEX'!$O7,2&lt;='02_投資成本_CAPEX'!$O7+'02_投資成本_CAPEX'!$N7-1),$F6/'02_投資成本_CAPEX'!$N7,0))</f>
        <v>319.77</v>
      </c>
      <c r="I6" s="127" t="n">
        <f aca="false">IF(OR('02_投資成本_CAPEX'!$C7="",'02_投資成本_CAPEX'!$N7=0),0,IF(AND(3&gt;=1,3&lt;='02_投資成本_CAPEX'!$N7),$F6/'02_投資成本_CAPEX'!$N7,0)+IF(AND('02_投資成本_CAPEX'!$O7&gt;0,3&gt;='02_投資成本_CAPEX'!$O7,3&lt;='02_投資成本_CAPEX'!$O7+'02_投資成本_CAPEX'!$N7-1),$F6/'02_投資成本_CAPEX'!$N7,0))</f>
        <v>319.77</v>
      </c>
      <c r="J6" s="127" t="n">
        <f aca="false">IF(OR('02_投資成本_CAPEX'!$C7="",'02_投資成本_CAPEX'!$N7=0),0,IF(AND(4&gt;=1,4&lt;='02_投資成本_CAPEX'!$N7),$F6/'02_投資成本_CAPEX'!$N7,0)+IF(AND('02_投資成本_CAPEX'!$O7&gt;0,4&gt;='02_投資成本_CAPEX'!$O7,4&lt;='02_投資成本_CAPEX'!$O7+'02_投資成本_CAPEX'!$N7-1),$F6/'02_投資成本_CAPEX'!$N7,0))</f>
        <v>319.77</v>
      </c>
      <c r="K6" s="127" t="n">
        <f aca="false">IF(OR('02_投資成本_CAPEX'!$C7="",'02_投資成本_CAPEX'!$N7=0),0,IF(AND(5&gt;=1,5&lt;='02_投資成本_CAPEX'!$N7),$F6/'02_投資成本_CAPEX'!$N7,0)+IF(AND('02_投資成本_CAPEX'!$O7&gt;0,5&gt;='02_投資成本_CAPEX'!$O7,5&lt;='02_投資成本_CAPEX'!$O7+'02_投資成本_CAPEX'!$N7-1),$F6/'02_投資成本_CAPEX'!$N7,0))</f>
        <v>319.77</v>
      </c>
      <c r="L6" s="127" t="n">
        <f aca="false">IF(OR('02_投資成本_CAPEX'!$C7="",'02_投資成本_CAPEX'!$N7=0),0,IF(AND(6&gt;=1,6&lt;='02_投資成本_CAPEX'!$N7),$F6/'02_投資成本_CAPEX'!$N7,0)+IF(AND('02_投資成本_CAPEX'!$O7&gt;0,6&gt;='02_投資成本_CAPEX'!$O7,6&lt;='02_投資成本_CAPEX'!$O7+'02_投資成本_CAPEX'!$N7-1),$F6/'02_投資成本_CAPEX'!$N7,0))</f>
        <v>0</v>
      </c>
      <c r="M6" s="127" t="n">
        <f aca="false">IF(OR('02_投資成本_CAPEX'!$C7="",'02_投資成本_CAPEX'!$N7=0),0,IF(AND(7&gt;=1,7&lt;='02_投資成本_CAPEX'!$N7),$F6/'02_投資成本_CAPEX'!$N7,0)+IF(AND('02_投資成本_CAPEX'!$O7&gt;0,7&gt;='02_投資成本_CAPEX'!$O7,7&lt;='02_投資成本_CAPEX'!$O7+'02_投資成本_CAPEX'!$N7-1),$F6/'02_投資成本_CAPEX'!$N7,0))</f>
        <v>0</v>
      </c>
      <c r="N6" s="127" t="n">
        <f aca="false">IF(OR('02_投資成本_CAPEX'!$C7="",'02_投資成本_CAPEX'!$N7=0),0,IF(AND(8&gt;=1,8&lt;='02_投資成本_CAPEX'!$N7),$F6/'02_投資成本_CAPEX'!$N7,0)+IF(AND('02_投資成本_CAPEX'!$O7&gt;0,8&gt;='02_投資成本_CAPEX'!$O7,8&lt;='02_投資成本_CAPEX'!$O7+'02_投資成本_CAPEX'!$N7-1),$F6/'02_投資成本_CAPEX'!$N7,0))</f>
        <v>0</v>
      </c>
      <c r="O6" s="127" t="n">
        <f aca="false">IF(OR('02_投資成本_CAPEX'!$C7="",'02_投資成本_CAPEX'!$N7=0),0,IF(AND(9&gt;=1,9&lt;='02_投資成本_CAPEX'!$N7),$F6/'02_投資成本_CAPEX'!$N7,0)+IF(AND('02_投資成本_CAPEX'!$O7&gt;0,9&gt;='02_投資成本_CAPEX'!$O7,9&lt;='02_投資成本_CAPEX'!$O7+'02_投資成本_CAPEX'!$N7-1),$F6/'02_投資成本_CAPEX'!$N7,0))</f>
        <v>0</v>
      </c>
      <c r="P6" s="127" t="n">
        <f aca="false">IF(OR('02_投資成本_CAPEX'!$C7="",'02_投資成本_CAPEX'!$N7=0),0,IF(AND(10&gt;=1,10&lt;='02_投資成本_CAPEX'!$N7),$F6/'02_投資成本_CAPEX'!$N7,0)+IF(AND('02_投資成本_CAPEX'!$O7&gt;0,10&gt;='02_投資成本_CAPEX'!$O7,10&lt;='02_投資成本_CAPEX'!$O7+'02_投資成本_CAPEX'!$N7-1),$F6/'02_投資成本_CAPEX'!$N7,0))</f>
        <v>0</v>
      </c>
    </row>
    <row r="7" customFormat="false" ht="15.75" hidden="false" customHeight="true" outlineLevel="0" collapsed="false">
      <c r="A7" s="123" t="n">
        <f aca="false">IF('02_投資成本_CAPEX'!$C8="","",'02_投資成本_CAPEX'!$A8)</f>
        <v>3</v>
      </c>
      <c r="B7" s="124" t="str">
        <f aca="false">IF('02_投資成本_CAPEX'!$C8="","",'02_投資成本_CAPEX'!$C8)</f>
        <v>RIS／PACS 介接與院內影像調閱</v>
      </c>
      <c r="C7" s="124" t="str">
        <f aca="false">IF('02_投資成本_CAPEX'!$C8="","",'02_投資成本_CAPEX'!$M8)</f>
        <v>軟體與無形 Software</v>
      </c>
      <c r="D7" s="125" t="n">
        <f aca="false">IF('02_投資成本_CAPEX'!$C8="","",'02_投資成本_CAPEX'!$N8)</f>
        <v>5</v>
      </c>
      <c r="E7" s="125" t="n">
        <f aca="false">IF('02_投資成本_CAPEX'!$C8="","",'02_投資成本_CAPEX'!$O8)</f>
        <v>0</v>
      </c>
      <c r="F7" s="126" t="n">
        <f aca="false">IF('02_投資成本_CAPEX'!$C8="",0,'02_投資成本_CAPEX'!$L8*(1-'02_投資成本_CAPEX'!$P8)*'01_專案設定_Setup'!$B$30)</f>
        <v>1172.49</v>
      </c>
      <c r="G7" s="127" t="n">
        <f aca="false">IF(OR('02_投資成本_CAPEX'!$C8="",'02_投資成本_CAPEX'!$N8=0),0,IF(AND(1&gt;=1,1&lt;='02_投資成本_CAPEX'!$N8),$F7/'02_投資成本_CAPEX'!$N8,0)+IF(AND('02_投資成本_CAPEX'!$O8&gt;0,1&gt;='02_投資成本_CAPEX'!$O8,1&lt;='02_投資成本_CAPEX'!$O8+'02_投資成本_CAPEX'!$N8-1),$F7/'02_投資成本_CAPEX'!$N8,0))</f>
        <v>234.498</v>
      </c>
      <c r="H7" s="127" t="n">
        <f aca="false">IF(OR('02_投資成本_CAPEX'!$C8="",'02_投資成本_CAPEX'!$N8=0),0,IF(AND(2&gt;=1,2&lt;='02_投資成本_CAPEX'!$N8),$F7/'02_投資成本_CAPEX'!$N8,0)+IF(AND('02_投資成本_CAPEX'!$O8&gt;0,2&gt;='02_投資成本_CAPEX'!$O8,2&lt;='02_投資成本_CAPEX'!$O8+'02_投資成本_CAPEX'!$N8-1),$F7/'02_投資成本_CAPEX'!$N8,0))</f>
        <v>234.498</v>
      </c>
      <c r="I7" s="127" t="n">
        <f aca="false">IF(OR('02_投資成本_CAPEX'!$C8="",'02_投資成本_CAPEX'!$N8=0),0,IF(AND(3&gt;=1,3&lt;='02_投資成本_CAPEX'!$N8),$F7/'02_投資成本_CAPEX'!$N8,0)+IF(AND('02_投資成本_CAPEX'!$O8&gt;0,3&gt;='02_投資成本_CAPEX'!$O8,3&lt;='02_投資成本_CAPEX'!$O8+'02_投資成本_CAPEX'!$N8-1),$F7/'02_投資成本_CAPEX'!$N8,0))</f>
        <v>234.498</v>
      </c>
      <c r="J7" s="127" t="n">
        <f aca="false">IF(OR('02_投資成本_CAPEX'!$C8="",'02_投資成本_CAPEX'!$N8=0),0,IF(AND(4&gt;=1,4&lt;='02_投資成本_CAPEX'!$N8),$F7/'02_投資成本_CAPEX'!$N8,0)+IF(AND('02_投資成本_CAPEX'!$O8&gt;0,4&gt;='02_投資成本_CAPEX'!$O8,4&lt;='02_投資成本_CAPEX'!$O8+'02_投資成本_CAPEX'!$N8-1),$F7/'02_投資成本_CAPEX'!$N8,0))</f>
        <v>234.498</v>
      </c>
      <c r="K7" s="127" t="n">
        <f aca="false">IF(OR('02_投資成本_CAPEX'!$C8="",'02_投資成本_CAPEX'!$N8=0),0,IF(AND(5&gt;=1,5&lt;='02_投資成本_CAPEX'!$N8),$F7/'02_投資成本_CAPEX'!$N8,0)+IF(AND('02_投資成本_CAPEX'!$O8&gt;0,5&gt;='02_投資成本_CAPEX'!$O8,5&lt;='02_投資成本_CAPEX'!$O8+'02_投資成本_CAPEX'!$N8-1),$F7/'02_投資成本_CAPEX'!$N8,0))</f>
        <v>234.498</v>
      </c>
      <c r="L7" s="127" t="n">
        <f aca="false">IF(OR('02_投資成本_CAPEX'!$C8="",'02_投資成本_CAPEX'!$N8=0),0,IF(AND(6&gt;=1,6&lt;='02_投資成本_CAPEX'!$N8),$F7/'02_投資成本_CAPEX'!$N8,0)+IF(AND('02_投資成本_CAPEX'!$O8&gt;0,6&gt;='02_投資成本_CAPEX'!$O8,6&lt;='02_投資成本_CAPEX'!$O8+'02_投資成本_CAPEX'!$N8-1),$F7/'02_投資成本_CAPEX'!$N8,0))</f>
        <v>0</v>
      </c>
      <c r="M7" s="127" t="n">
        <f aca="false">IF(OR('02_投資成本_CAPEX'!$C8="",'02_投資成本_CAPEX'!$N8=0),0,IF(AND(7&gt;=1,7&lt;='02_投資成本_CAPEX'!$N8),$F7/'02_投資成本_CAPEX'!$N8,0)+IF(AND('02_投資成本_CAPEX'!$O8&gt;0,7&gt;='02_投資成本_CAPEX'!$O8,7&lt;='02_投資成本_CAPEX'!$O8+'02_投資成本_CAPEX'!$N8-1),$F7/'02_投資成本_CAPEX'!$N8,0))</f>
        <v>0</v>
      </c>
      <c r="N7" s="127" t="n">
        <f aca="false">IF(OR('02_投資成本_CAPEX'!$C8="",'02_投資成本_CAPEX'!$N8=0),0,IF(AND(8&gt;=1,8&lt;='02_投資成本_CAPEX'!$N8),$F7/'02_投資成本_CAPEX'!$N8,0)+IF(AND('02_投資成本_CAPEX'!$O8&gt;0,8&gt;='02_投資成本_CAPEX'!$O8,8&lt;='02_投資成本_CAPEX'!$O8+'02_投資成本_CAPEX'!$N8-1),$F7/'02_投資成本_CAPEX'!$N8,0))</f>
        <v>0</v>
      </c>
      <c r="O7" s="127" t="n">
        <f aca="false">IF(OR('02_投資成本_CAPEX'!$C8="",'02_投資成本_CAPEX'!$N8=0),0,IF(AND(9&gt;=1,9&lt;='02_投資成本_CAPEX'!$N8),$F7/'02_投資成本_CAPEX'!$N8,0)+IF(AND('02_投資成本_CAPEX'!$O8&gt;0,9&gt;='02_投資成本_CAPEX'!$O8,9&lt;='02_投資成本_CAPEX'!$O8+'02_投資成本_CAPEX'!$N8-1),$F7/'02_投資成本_CAPEX'!$N8,0))</f>
        <v>0</v>
      </c>
      <c r="P7" s="127" t="n">
        <f aca="false">IF(OR('02_投資成本_CAPEX'!$C8="",'02_投資成本_CAPEX'!$N8=0),0,IF(AND(10&gt;=1,10&lt;='02_投資成本_CAPEX'!$N8),$F7/'02_投資成本_CAPEX'!$N8,0)+IF(AND('02_投資成本_CAPEX'!$O8&gt;0,10&gt;='02_投資成本_CAPEX'!$O8,10&lt;='02_投資成本_CAPEX'!$O8+'02_投資成本_CAPEX'!$N8-1),$F7/'02_投資成本_CAPEX'!$N8,0))</f>
        <v>0</v>
      </c>
    </row>
    <row r="8" customFormat="false" ht="15.75" hidden="false" customHeight="true" outlineLevel="0" collapsed="false">
      <c r="A8" s="123" t="n">
        <f aca="false">IF('02_投資成本_CAPEX'!$C9="","",'02_投資成本_CAPEX'!$A9)</f>
        <v>4</v>
      </c>
      <c r="B8" s="124" t="str">
        <f aca="false">IF('02_投資成本_CAPEX'!$C9="","",'02_投資成本_CAPEX'!$C9)</f>
        <v>藥事管理與閉環給藥 CPOE／BCMA 模組</v>
      </c>
      <c r="C8" s="124" t="str">
        <f aca="false">IF('02_投資成本_CAPEX'!$C9="","",'02_投資成本_CAPEX'!$M9)</f>
        <v>軟體與無形 Software</v>
      </c>
      <c r="D8" s="125" t="n">
        <f aca="false">IF('02_投資成本_CAPEX'!$C9="","",'02_投資成本_CAPEX'!$N9)</f>
        <v>5</v>
      </c>
      <c r="E8" s="125" t="n">
        <f aca="false">IF('02_投資成本_CAPEX'!$C9="","",'02_投資成本_CAPEX'!$O9)</f>
        <v>0</v>
      </c>
      <c r="F8" s="126" t="n">
        <f aca="false">IF('02_投資成本_CAPEX'!$C9="",0,'02_投資成本_CAPEX'!$L9*(1-'02_投資成本_CAPEX'!$P9)*'01_專案設定_Setup'!$B$30)</f>
        <v>1350.14</v>
      </c>
      <c r="G8" s="127" t="n">
        <f aca="false">IF(OR('02_投資成本_CAPEX'!$C9="",'02_投資成本_CAPEX'!$N9=0),0,IF(AND(1&gt;=1,1&lt;='02_投資成本_CAPEX'!$N9),$F8/'02_投資成本_CAPEX'!$N9,0)+IF(AND('02_投資成本_CAPEX'!$O9&gt;0,1&gt;='02_投資成本_CAPEX'!$O9,1&lt;='02_投資成本_CAPEX'!$O9+'02_投資成本_CAPEX'!$N9-1),$F8/'02_投資成本_CAPEX'!$N9,0))</f>
        <v>270.028</v>
      </c>
      <c r="H8" s="127" t="n">
        <f aca="false">IF(OR('02_投資成本_CAPEX'!$C9="",'02_投資成本_CAPEX'!$N9=0),0,IF(AND(2&gt;=1,2&lt;='02_投資成本_CAPEX'!$N9),$F8/'02_投資成本_CAPEX'!$N9,0)+IF(AND('02_投資成本_CAPEX'!$O9&gt;0,2&gt;='02_投資成本_CAPEX'!$O9,2&lt;='02_投資成本_CAPEX'!$O9+'02_投資成本_CAPEX'!$N9-1),$F8/'02_投資成本_CAPEX'!$N9,0))</f>
        <v>270.028</v>
      </c>
      <c r="I8" s="127" t="n">
        <f aca="false">IF(OR('02_投資成本_CAPEX'!$C9="",'02_投資成本_CAPEX'!$N9=0),0,IF(AND(3&gt;=1,3&lt;='02_投資成本_CAPEX'!$N9),$F8/'02_投資成本_CAPEX'!$N9,0)+IF(AND('02_投資成本_CAPEX'!$O9&gt;0,3&gt;='02_投資成本_CAPEX'!$O9,3&lt;='02_投資成本_CAPEX'!$O9+'02_投資成本_CAPEX'!$N9-1),$F8/'02_投資成本_CAPEX'!$N9,0))</f>
        <v>270.028</v>
      </c>
      <c r="J8" s="127" t="n">
        <f aca="false">IF(OR('02_投資成本_CAPEX'!$C9="",'02_投資成本_CAPEX'!$N9=0),0,IF(AND(4&gt;=1,4&lt;='02_投資成本_CAPEX'!$N9),$F8/'02_投資成本_CAPEX'!$N9,0)+IF(AND('02_投資成本_CAPEX'!$O9&gt;0,4&gt;='02_投資成本_CAPEX'!$O9,4&lt;='02_投資成本_CAPEX'!$O9+'02_投資成本_CAPEX'!$N9-1),$F8/'02_投資成本_CAPEX'!$N9,0))</f>
        <v>270.028</v>
      </c>
      <c r="K8" s="127" t="n">
        <f aca="false">IF(OR('02_投資成本_CAPEX'!$C9="",'02_投資成本_CAPEX'!$N9=0),0,IF(AND(5&gt;=1,5&lt;='02_投資成本_CAPEX'!$N9),$F8/'02_投資成本_CAPEX'!$N9,0)+IF(AND('02_投資成本_CAPEX'!$O9&gt;0,5&gt;='02_投資成本_CAPEX'!$O9,5&lt;='02_投資成本_CAPEX'!$O9+'02_投資成本_CAPEX'!$N9-1),$F8/'02_投資成本_CAPEX'!$N9,0))</f>
        <v>270.028</v>
      </c>
      <c r="L8" s="127" t="n">
        <f aca="false">IF(OR('02_投資成本_CAPEX'!$C9="",'02_投資成本_CAPEX'!$N9=0),0,IF(AND(6&gt;=1,6&lt;='02_投資成本_CAPEX'!$N9),$F8/'02_投資成本_CAPEX'!$N9,0)+IF(AND('02_投資成本_CAPEX'!$O9&gt;0,6&gt;='02_投資成本_CAPEX'!$O9,6&lt;='02_投資成本_CAPEX'!$O9+'02_投資成本_CAPEX'!$N9-1),$F8/'02_投資成本_CAPEX'!$N9,0))</f>
        <v>0</v>
      </c>
      <c r="M8" s="127" t="n">
        <f aca="false">IF(OR('02_投資成本_CAPEX'!$C9="",'02_投資成本_CAPEX'!$N9=0),0,IF(AND(7&gt;=1,7&lt;='02_投資成本_CAPEX'!$N9),$F8/'02_投資成本_CAPEX'!$N9,0)+IF(AND('02_投資成本_CAPEX'!$O9&gt;0,7&gt;='02_投資成本_CAPEX'!$O9,7&lt;='02_投資成本_CAPEX'!$O9+'02_投資成本_CAPEX'!$N9-1),$F8/'02_投資成本_CAPEX'!$N9,0))</f>
        <v>0</v>
      </c>
      <c r="N8" s="127" t="n">
        <f aca="false">IF(OR('02_投資成本_CAPEX'!$C9="",'02_投資成本_CAPEX'!$N9=0),0,IF(AND(8&gt;=1,8&lt;='02_投資成本_CAPEX'!$N9),$F8/'02_投資成本_CAPEX'!$N9,0)+IF(AND('02_投資成本_CAPEX'!$O9&gt;0,8&gt;='02_投資成本_CAPEX'!$O9,8&lt;='02_投資成本_CAPEX'!$O9+'02_投資成本_CAPEX'!$N9-1),$F8/'02_投資成本_CAPEX'!$N9,0))</f>
        <v>0</v>
      </c>
      <c r="O8" s="127" t="n">
        <f aca="false">IF(OR('02_投資成本_CAPEX'!$C9="",'02_投資成本_CAPEX'!$N9=0),0,IF(AND(9&gt;=1,9&lt;='02_投資成本_CAPEX'!$N9),$F8/'02_投資成本_CAPEX'!$N9,0)+IF(AND('02_投資成本_CAPEX'!$O9&gt;0,9&gt;='02_投資成本_CAPEX'!$O9,9&lt;='02_投資成本_CAPEX'!$O9+'02_投資成本_CAPEX'!$N9-1),$F8/'02_投資成本_CAPEX'!$N9,0))</f>
        <v>0</v>
      </c>
      <c r="P8" s="127" t="n">
        <f aca="false">IF(OR('02_投資成本_CAPEX'!$C9="",'02_投資成本_CAPEX'!$N9=0),0,IF(AND(10&gt;=1,10&lt;='02_投資成本_CAPEX'!$N9),$F8/'02_投資成本_CAPEX'!$N9,0)+IF(AND('02_投資成本_CAPEX'!$O9&gt;0,10&gt;='02_投資成本_CAPEX'!$O9,10&lt;='02_投資成本_CAPEX'!$O9+'02_投資成本_CAPEX'!$N9-1),$F8/'02_投資成本_CAPEX'!$N9,0))</f>
        <v>0</v>
      </c>
    </row>
    <row r="9" customFormat="false" ht="15.75" hidden="false" customHeight="true" outlineLevel="0" collapsed="false">
      <c r="A9" s="123" t="n">
        <f aca="false">IF('02_投資成本_CAPEX'!$C10="","",'02_投資成本_CAPEX'!$A10)</f>
        <v>5</v>
      </c>
      <c r="B9" s="124" t="str">
        <f aca="false">IF('02_投資成本_CAPEX'!$C10="","",'02_投資成本_CAPEX'!$C10)</f>
        <v>護理紀錄與電子表單（含行動護理車終端授權）</v>
      </c>
      <c r="C9" s="124" t="str">
        <f aca="false">IF('02_投資成本_CAPEX'!$C10="","",'02_投資成本_CAPEX'!$M10)</f>
        <v>軟體與無形 Software</v>
      </c>
      <c r="D9" s="125" t="n">
        <f aca="false">IF('02_投資成本_CAPEX'!$C10="","",'02_投資成本_CAPEX'!$N10)</f>
        <v>5</v>
      </c>
      <c r="E9" s="125" t="n">
        <f aca="false">IF('02_投資成本_CAPEX'!$C10="","",'02_投資成本_CAPEX'!$O10)</f>
        <v>0</v>
      </c>
      <c r="F9" s="126" t="n">
        <f aca="false">IF('02_投資成本_CAPEX'!$C10="",0,'02_投資成本_CAPEX'!$L10*(1-'02_投資成本_CAPEX'!$P10)*'01_專案設定_Setup'!$B$30)</f>
        <v>923.78</v>
      </c>
      <c r="G9" s="127" t="n">
        <f aca="false">IF(OR('02_投資成本_CAPEX'!$C10="",'02_投資成本_CAPEX'!$N10=0),0,IF(AND(1&gt;=1,1&lt;='02_投資成本_CAPEX'!$N10),$F9/'02_投資成本_CAPEX'!$N10,0)+IF(AND('02_投資成本_CAPEX'!$O10&gt;0,1&gt;='02_投資成本_CAPEX'!$O10,1&lt;='02_投資成本_CAPEX'!$O10+'02_投資成本_CAPEX'!$N10-1),$F9/'02_投資成本_CAPEX'!$N10,0))</f>
        <v>184.756</v>
      </c>
      <c r="H9" s="127" t="n">
        <f aca="false">IF(OR('02_投資成本_CAPEX'!$C10="",'02_投資成本_CAPEX'!$N10=0),0,IF(AND(2&gt;=1,2&lt;='02_投資成本_CAPEX'!$N10),$F9/'02_投資成本_CAPEX'!$N10,0)+IF(AND('02_投資成本_CAPEX'!$O10&gt;0,2&gt;='02_投資成本_CAPEX'!$O10,2&lt;='02_投資成本_CAPEX'!$O10+'02_投資成本_CAPEX'!$N10-1),$F9/'02_投資成本_CAPEX'!$N10,0))</f>
        <v>184.756</v>
      </c>
      <c r="I9" s="127" t="n">
        <f aca="false">IF(OR('02_投資成本_CAPEX'!$C10="",'02_投資成本_CAPEX'!$N10=0),0,IF(AND(3&gt;=1,3&lt;='02_投資成本_CAPEX'!$N10),$F9/'02_投資成本_CAPEX'!$N10,0)+IF(AND('02_投資成本_CAPEX'!$O10&gt;0,3&gt;='02_投資成本_CAPEX'!$O10,3&lt;='02_投資成本_CAPEX'!$O10+'02_投資成本_CAPEX'!$N10-1),$F9/'02_投資成本_CAPEX'!$N10,0))</f>
        <v>184.756</v>
      </c>
      <c r="J9" s="127" t="n">
        <f aca="false">IF(OR('02_投資成本_CAPEX'!$C10="",'02_投資成本_CAPEX'!$N10=0),0,IF(AND(4&gt;=1,4&lt;='02_投資成本_CAPEX'!$N10),$F9/'02_投資成本_CAPEX'!$N10,0)+IF(AND('02_投資成本_CAPEX'!$O10&gt;0,4&gt;='02_投資成本_CAPEX'!$O10,4&lt;='02_投資成本_CAPEX'!$O10+'02_投資成本_CAPEX'!$N10-1),$F9/'02_投資成本_CAPEX'!$N10,0))</f>
        <v>184.756</v>
      </c>
      <c r="K9" s="127" t="n">
        <f aca="false">IF(OR('02_投資成本_CAPEX'!$C10="",'02_投資成本_CAPEX'!$N10=0),0,IF(AND(5&gt;=1,5&lt;='02_投資成本_CAPEX'!$N10),$F9/'02_投資成本_CAPEX'!$N10,0)+IF(AND('02_投資成本_CAPEX'!$O10&gt;0,5&gt;='02_投資成本_CAPEX'!$O10,5&lt;='02_投資成本_CAPEX'!$O10+'02_投資成本_CAPEX'!$N10-1),$F9/'02_投資成本_CAPEX'!$N10,0))</f>
        <v>184.756</v>
      </c>
      <c r="L9" s="127" t="n">
        <f aca="false">IF(OR('02_投資成本_CAPEX'!$C10="",'02_投資成本_CAPEX'!$N10=0),0,IF(AND(6&gt;=1,6&lt;='02_投資成本_CAPEX'!$N10),$F9/'02_投資成本_CAPEX'!$N10,0)+IF(AND('02_投資成本_CAPEX'!$O10&gt;0,6&gt;='02_投資成本_CAPEX'!$O10,6&lt;='02_投資成本_CAPEX'!$O10+'02_投資成本_CAPEX'!$N10-1),$F9/'02_投資成本_CAPEX'!$N10,0))</f>
        <v>0</v>
      </c>
      <c r="M9" s="127" t="n">
        <f aca="false">IF(OR('02_投資成本_CAPEX'!$C10="",'02_投資成本_CAPEX'!$N10=0),0,IF(AND(7&gt;=1,7&lt;='02_投資成本_CAPEX'!$N10),$F9/'02_投資成本_CAPEX'!$N10,0)+IF(AND('02_投資成本_CAPEX'!$O10&gt;0,7&gt;='02_投資成本_CAPEX'!$O10,7&lt;='02_投資成本_CAPEX'!$O10+'02_投資成本_CAPEX'!$N10-1),$F9/'02_投資成本_CAPEX'!$N10,0))</f>
        <v>0</v>
      </c>
      <c r="N9" s="127" t="n">
        <f aca="false">IF(OR('02_投資成本_CAPEX'!$C10="",'02_投資成本_CAPEX'!$N10=0),0,IF(AND(8&gt;=1,8&lt;='02_投資成本_CAPEX'!$N10),$F9/'02_投資成本_CAPEX'!$N10,0)+IF(AND('02_投資成本_CAPEX'!$O10&gt;0,8&gt;='02_投資成本_CAPEX'!$O10,8&lt;='02_投資成本_CAPEX'!$O10+'02_投資成本_CAPEX'!$N10-1),$F9/'02_投資成本_CAPEX'!$N10,0))</f>
        <v>0</v>
      </c>
      <c r="O9" s="127" t="n">
        <f aca="false">IF(OR('02_投資成本_CAPEX'!$C10="",'02_投資成本_CAPEX'!$N10=0),0,IF(AND(9&gt;=1,9&lt;='02_投資成本_CAPEX'!$N10),$F9/'02_投資成本_CAPEX'!$N10,0)+IF(AND('02_投資成本_CAPEX'!$O10&gt;0,9&gt;='02_投資成本_CAPEX'!$O10,9&lt;='02_投資成本_CAPEX'!$O10+'02_投資成本_CAPEX'!$N10-1),$F9/'02_投資成本_CAPEX'!$N10,0))</f>
        <v>0</v>
      </c>
      <c r="P9" s="127" t="n">
        <f aca="false">IF(OR('02_投資成本_CAPEX'!$C10="",'02_投資成本_CAPEX'!$N10=0),0,IF(AND(10&gt;=1,10&lt;='02_投資成本_CAPEX'!$N10),$F9/'02_投資成本_CAPEX'!$N10,0)+IF(AND('02_投資成本_CAPEX'!$O10&gt;0,10&gt;='02_投資成本_CAPEX'!$O10,10&lt;='02_投資成本_CAPEX'!$O10+'02_投資成本_CAPEX'!$N10-1),$F9/'02_投資成本_CAPEX'!$N10,0))</f>
        <v>0</v>
      </c>
    </row>
    <row r="10" customFormat="false" ht="15.75" hidden="false" customHeight="true" outlineLevel="0" collapsed="false">
      <c r="A10" s="123" t="n">
        <f aca="false">IF('02_投資成本_CAPEX'!$C11="","",'02_投資成本_CAPEX'!$A11)</f>
        <v>6</v>
      </c>
      <c r="B10" s="124" t="str">
        <f aca="false">IF('02_投資成本_CAPEX'!$C11="","",'02_投資成本_CAPEX'!$C11)</f>
        <v>FHIR 介接引擎（HL7 FHIR R4＋DICOM）</v>
      </c>
      <c r="C10" s="124" t="str">
        <f aca="false">IF('02_投資成本_CAPEX'!$C11="","",'02_投資成本_CAPEX'!$M11)</f>
        <v>軟體與無形 Software</v>
      </c>
      <c r="D10" s="125" t="n">
        <f aca="false">IF('02_投資成本_CAPEX'!$C11="","",'02_投資成本_CAPEX'!$N11)</f>
        <v>5</v>
      </c>
      <c r="E10" s="125" t="n">
        <f aca="false">IF('02_投資成本_CAPEX'!$C11="","",'02_投資成本_CAPEX'!$O11)</f>
        <v>0</v>
      </c>
      <c r="F10" s="126" t="n">
        <f aca="false">IF('02_投資成本_CAPEX'!$C11="",0,'02_投資成本_CAPEX'!$L11*(1-'02_投資成本_CAPEX'!$P11)*'01_專案設定_Setup'!$B$30)</f>
        <v>1705.44</v>
      </c>
      <c r="G10" s="127" t="n">
        <f aca="false">IF(OR('02_投資成本_CAPEX'!$C11="",'02_投資成本_CAPEX'!$N11=0),0,IF(AND(1&gt;=1,1&lt;='02_投資成本_CAPEX'!$N11),$F10/'02_投資成本_CAPEX'!$N11,0)+IF(AND('02_投資成本_CAPEX'!$O11&gt;0,1&gt;='02_投資成本_CAPEX'!$O11,1&lt;='02_投資成本_CAPEX'!$O11+'02_投資成本_CAPEX'!$N11-1),$F10/'02_投資成本_CAPEX'!$N11,0))</f>
        <v>341.088</v>
      </c>
      <c r="H10" s="127" t="n">
        <f aca="false">IF(OR('02_投資成本_CAPEX'!$C11="",'02_投資成本_CAPEX'!$N11=0),0,IF(AND(2&gt;=1,2&lt;='02_投資成本_CAPEX'!$N11),$F10/'02_投資成本_CAPEX'!$N11,0)+IF(AND('02_投資成本_CAPEX'!$O11&gt;0,2&gt;='02_投資成本_CAPEX'!$O11,2&lt;='02_投資成本_CAPEX'!$O11+'02_投資成本_CAPEX'!$N11-1),$F10/'02_投資成本_CAPEX'!$N11,0))</f>
        <v>341.088</v>
      </c>
      <c r="I10" s="127" t="n">
        <f aca="false">IF(OR('02_投資成本_CAPEX'!$C11="",'02_投資成本_CAPEX'!$N11=0),0,IF(AND(3&gt;=1,3&lt;='02_投資成本_CAPEX'!$N11),$F10/'02_投資成本_CAPEX'!$N11,0)+IF(AND('02_投資成本_CAPEX'!$O11&gt;0,3&gt;='02_投資成本_CAPEX'!$O11,3&lt;='02_投資成本_CAPEX'!$O11+'02_投資成本_CAPEX'!$N11-1),$F10/'02_投資成本_CAPEX'!$N11,0))</f>
        <v>341.088</v>
      </c>
      <c r="J10" s="127" t="n">
        <f aca="false">IF(OR('02_投資成本_CAPEX'!$C11="",'02_投資成本_CAPEX'!$N11=0),0,IF(AND(4&gt;=1,4&lt;='02_投資成本_CAPEX'!$N11),$F10/'02_投資成本_CAPEX'!$N11,0)+IF(AND('02_投資成本_CAPEX'!$O11&gt;0,4&gt;='02_投資成本_CAPEX'!$O11,4&lt;='02_投資成本_CAPEX'!$O11+'02_投資成本_CAPEX'!$N11-1),$F10/'02_投資成本_CAPEX'!$N11,0))</f>
        <v>341.088</v>
      </c>
      <c r="K10" s="127" t="n">
        <f aca="false">IF(OR('02_投資成本_CAPEX'!$C11="",'02_投資成本_CAPEX'!$N11=0),0,IF(AND(5&gt;=1,5&lt;='02_投資成本_CAPEX'!$N11),$F10/'02_投資成本_CAPEX'!$N11,0)+IF(AND('02_投資成本_CAPEX'!$O11&gt;0,5&gt;='02_投資成本_CAPEX'!$O11,5&lt;='02_投資成本_CAPEX'!$O11+'02_投資成本_CAPEX'!$N11-1),$F10/'02_投資成本_CAPEX'!$N11,0))</f>
        <v>341.088</v>
      </c>
      <c r="L10" s="127" t="n">
        <f aca="false">IF(OR('02_投資成本_CAPEX'!$C11="",'02_投資成本_CAPEX'!$N11=0),0,IF(AND(6&gt;=1,6&lt;='02_投資成本_CAPEX'!$N11),$F10/'02_投資成本_CAPEX'!$N11,0)+IF(AND('02_投資成本_CAPEX'!$O11&gt;0,6&gt;='02_投資成本_CAPEX'!$O11,6&lt;='02_投資成本_CAPEX'!$O11+'02_投資成本_CAPEX'!$N11-1),$F10/'02_投資成本_CAPEX'!$N11,0))</f>
        <v>0</v>
      </c>
      <c r="M10" s="127" t="n">
        <f aca="false">IF(OR('02_投資成本_CAPEX'!$C11="",'02_投資成本_CAPEX'!$N11=0),0,IF(AND(7&gt;=1,7&lt;='02_投資成本_CAPEX'!$N11),$F10/'02_投資成本_CAPEX'!$N11,0)+IF(AND('02_投資成本_CAPEX'!$O11&gt;0,7&gt;='02_投資成本_CAPEX'!$O11,7&lt;='02_投資成本_CAPEX'!$O11+'02_投資成本_CAPEX'!$N11-1),$F10/'02_投資成本_CAPEX'!$N11,0))</f>
        <v>0</v>
      </c>
      <c r="N10" s="127" t="n">
        <f aca="false">IF(OR('02_投資成本_CAPEX'!$C11="",'02_投資成本_CAPEX'!$N11=0),0,IF(AND(8&gt;=1,8&lt;='02_投資成本_CAPEX'!$N11),$F10/'02_投資成本_CAPEX'!$N11,0)+IF(AND('02_投資成本_CAPEX'!$O11&gt;0,8&gt;='02_投資成本_CAPEX'!$O11,8&lt;='02_投資成本_CAPEX'!$O11+'02_投資成本_CAPEX'!$N11-1),$F10/'02_投資成本_CAPEX'!$N11,0))</f>
        <v>0</v>
      </c>
      <c r="O10" s="127" t="n">
        <f aca="false">IF(OR('02_投資成本_CAPEX'!$C11="",'02_投資成本_CAPEX'!$N11=0),0,IF(AND(9&gt;=1,9&lt;='02_投資成本_CAPEX'!$N11),$F10/'02_投資成本_CAPEX'!$N11,0)+IF(AND('02_投資成本_CAPEX'!$O11&gt;0,9&gt;='02_投資成本_CAPEX'!$O11,9&lt;='02_投資成本_CAPEX'!$O11+'02_投資成本_CAPEX'!$N11-1),$F10/'02_投資成本_CAPEX'!$N11,0))</f>
        <v>0</v>
      </c>
      <c r="P10" s="127" t="n">
        <f aca="false">IF(OR('02_投資成本_CAPEX'!$C11="",'02_投資成本_CAPEX'!$N11=0),0,IF(AND(10&gt;=1,10&lt;='02_投資成本_CAPEX'!$N11),$F10/'02_投資成本_CAPEX'!$N11,0)+IF(AND('02_投資成本_CAPEX'!$O11&gt;0,10&gt;='02_投資成本_CAPEX'!$O11,10&lt;='02_投資成本_CAPEX'!$O11+'02_投資成本_CAPEX'!$N11-1),$F10/'02_投資成本_CAPEX'!$N11,0))</f>
        <v>0</v>
      </c>
    </row>
    <row r="11" customFormat="false" ht="15.75" hidden="false" customHeight="true" outlineLevel="0" collapsed="false">
      <c r="A11" s="123" t="n">
        <f aca="false">IF('02_投資成本_CAPEX'!$C12="","",'02_投資成本_CAPEX'!$A12)</f>
        <v>7</v>
      </c>
      <c r="B11" s="124" t="str">
        <f aca="false">IF('02_投資成本_CAPEX'!$C12="","",'02_投資成本_CAPEX'!$C12)</f>
        <v>VNeID／VSS 健保申報與身分核驗介接</v>
      </c>
      <c r="C11" s="124" t="str">
        <f aca="false">IF('02_投資成本_CAPEX'!$C12="","",'02_投資成本_CAPEX'!$M12)</f>
        <v>軟體與無形 Software</v>
      </c>
      <c r="D11" s="125" t="n">
        <f aca="false">IF('02_投資成本_CAPEX'!$C12="","",'02_投資成本_CAPEX'!$N12)</f>
        <v>5</v>
      </c>
      <c r="E11" s="125" t="n">
        <f aca="false">IF('02_投資成本_CAPEX'!$C12="","",'02_投資成本_CAPEX'!$O12)</f>
        <v>0</v>
      </c>
      <c r="F11" s="126" t="n">
        <f aca="false">IF('02_投資成本_CAPEX'!$C12="",0,'02_投資成本_CAPEX'!$L12*(1-'02_投資成本_CAPEX'!$P12)*'01_專案設定_Setup'!$B$30)</f>
        <v>1563.32</v>
      </c>
      <c r="G11" s="127" t="n">
        <f aca="false">IF(OR('02_投資成本_CAPEX'!$C12="",'02_投資成本_CAPEX'!$N12=0),0,IF(AND(1&gt;=1,1&lt;='02_投資成本_CAPEX'!$N12),$F11/'02_投資成本_CAPEX'!$N12,0)+IF(AND('02_投資成本_CAPEX'!$O12&gt;0,1&gt;='02_投資成本_CAPEX'!$O12,1&lt;='02_投資成本_CAPEX'!$O12+'02_投資成本_CAPEX'!$N12-1),$F11/'02_投資成本_CAPEX'!$N12,0))</f>
        <v>312.664</v>
      </c>
      <c r="H11" s="127" t="n">
        <f aca="false">IF(OR('02_投資成本_CAPEX'!$C12="",'02_投資成本_CAPEX'!$N12=0),0,IF(AND(2&gt;=1,2&lt;='02_投資成本_CAPEX'!$N12),$F11/'02_投資成本_CAPEX'!$N12,0)+IF(AND('02_投資成本_CAPEX'!$O12&gt;0,2&gt;='02_投資成本_CAPEX'!$O12,2&lt;='02_投資成本_CAPEX'!$O12+'02_投資成本_CAPEX'!$N12-1),$F11/'02_投資成本_CAPEX'!$N12,0))</f>
        <v>312.664</v>
      </c>
      <c r="I11" s="127" t="n">
        <f aca="false">IF(OR('02_投資成本_CAPEX'!$C12="",'02_投資成本_CAPEX'!$N12=0),0,IF(AND(3&gt;=1,3&lt;='02_投資成本_CAPEX'!$N12),$F11/'02_投資成本_CAPEX'!$N12,0)+IF(AND('02_投資成本_CAPEX'!$O12&gt;0,3&gt;='02_投資成本_CAPEX'!$O12,3&lt;='02_投資成本_CAPEX'!$O12+'02_投資成本_CAPEX'!$N12-1),$F11/'02_投資成本_CAPEX'!$N12,0))</f>
        <v>312.664</v>
      </c>
      <c r="J11" s="127" t="n">
        <f aca="false">IF(OR('02_投資成本_CAPEX'!$C12="",'02_投資成本_CAPEX'!$N12=0),0,IF(AND(4&gt;=1,4&lt;='02_投資成本_CAPEX'!$N12),$F11/'02_投資成本_CAPEX'!$N12,0)+IF(AND('02_投資成本_CAPEX'!$O12&gt;0,4&gt;='02_投資成本_CAPEX'!$O12,4&lt;='02_投資成本_CAPEX'!$O12+'02_投資成本_CAPEX'!$N12-1),$F11/'02_投資成本_CAPEX'!$N12,0))</f>
        <v>312.664</v>
      </c>
      <c r="K11" s="127" t="n">
        <f aca="false">IF(OR('02_投資成本_CAPEX'!$C12="",'02_投資成本_CAPEX'!$N12=0),0,IF(AND(5&gt;=1,5&lt;='02_投資成本_CAPEX'!$N12),$F11/'02_投資成本_CAPEX'!$N12,0)+IF(AND('02_投資成本_CAPEX'!$O12&gt;0,5&gt;='02_投資成本_CAPEX'!$O12,5&lt;='02_投資成本_CAPEX'!$O12+'02_投資成本_CAPEX'!$N12-1),$F11/'02_投資成本_CAPEX'!$N12,0))</f>
        <v>312.664</v>
      </c>
      <c r="L11" s="127" t="n">
        <f aca="false">IF(OR('02_投資成本_CAPEX'!$C12="",'02_投資成本_CAPEX'!$N12=0),0,IF(AND(6&gt;=1,6&lt;='02_投資成本_CAPEX'!$N12),$F11/'02_投資成本_CAPEX'!$N12,0)+IF(AND('02_投資成本_CAPEX'!$O12&gt;0,6&gt;='02_投資成本_CAPEX'!$O12,6&lt;='02_投資成本_CAPEX'!$O12+'02_投資成本_CAPEX'!$N12-1),$F11/'02_投資成本_CAPEX'!$N12,0))</f>
        <v>0</v>
      </c>
      <c r="M11" s="127" t="n">
        <f aca="false">IF(OR('02_投資成本_CAPEX'!$C12="",'02_投資成本_CAPEX'!$N12=0),0,IF(AND(7&gt;=1,7&lt;='02_投資成本_CAPEX'!$N12),$F11/'02_投資成本_CAPEX'!$N12,0)+IF(AND('02_投資成本_CAPEX'!$O12&gt;0,7&gt;='02_投資成本_CAPEX'!$O12,7&lt;='02_投資成本_CAPEX'!$O12+'02_投資成本_CAPEX'!$N12-1),$F11/'02_投資成本_CAPEX'!$N12,0))</f>
        <v>0</v>
      </c>
      <c r="N11" s="127" t="n">
        <f aca="false">IF(OR('02_投資成本_CAPEX'!$C12="",'02_投資成本_CAPEX'!$N12=0),0,IF(AND(8&gt;=1,8&lt;='02_投資成本_CAPEX'!$N12),$F11/'02_投資成本_CAPEX'!$N12,0)+IF(AND('02_投資成本_CAPEX'!$O12&gt;0,8&gt;='02_投資成本_CAPEX'!$O12,8&lt;='02_投資成本_CAPEX'!$O12+'02_投資成本_CAPEX'!$N12-1),$F11/'02_投資成本_CAPEX'!$N12,0))</f>
        <v>0</v>
      </c>
      <c r="O11" s="127" t="n">
        <f aca="false">IF(OR('02_投資成本_CAPEX'!$C12="",'02_投資成本_CAPEX'!$N12=0),0,IF(AND(9&gt;=1,9&lt;='02_投資成本_CAPEX'!$N12),$F11/'02_投資成本_CAPEX'!$N12,0)+IF(AND('02_投資成本_CAPEX'!$O12&gt;0,9&gt;='02_投資成本_CAPEX'!$O12,9&lt;='02_投資成本_CAPEX'!$O12+'02_投資成本_CAPEX'!$N12-1),$F11/'02_投資成本_CAPEX'!$N12,0))</f>
        <v>0</v>
      </c>
      <c r="P11" s="127" t="n">
        <f aca="false">IF(OR('02_投資成本_CAPEX'!$C12="",'02_投資成本_CAPEX'!$N12=0),0,IF(AND(10&gt;=1,10&lt;='02_投資成本_CAPEX'!$N12),$F11/'02_投資成本_CAPEX'!$N12,0)+IF(AND('02_投資成本_CAPEX'!$O12&gt;0,10&gt;='02_投資成本_CAPEX'!$O12,10&lt;='02_投資成本_CAPEX'!$O12+'02_投資成本_CAPEX'!$N12-1),$F11/'02_投資成本_CAPEX'!$N12,0))</f>
        <v>0</v>
      </c>
    </row>
    <row r="12" customFormat="false" ht="15.75" hidden="false" customHeight="true" outlineLevel="0" collapsed="false">
      <c r="A12" s="123" t="n">
        <f aca="false">IF('02_投資成本_CAPEX'!$C13="","",'02_投資成本_CAPEX'!$A13)</f>
        <v>8</v>
      </c>
      <c r="B12" s="124" t="str">
        <f aca="false">IF('02_投資成本_CAPEX'!$C13="","",'02_投資成本_CAPEX'!$C13)</f>
        <v>越南在地化：病歷範本、衛生部報表格式、越文介面與術語對應</v>
      </c>
      <c r="C12" s="124" t="str">
        <f aca="false">IF('02_投資成本_CAPEX'!$C13="","",'02_投資成本_CAPEX'!$M13)</f>
        <v>軟體與無形 Software</v>
      </c>
      <c r="D12" s="125" t="n">
        <f aca="false">IF('02_投資成本_CAPEX'!$C13="","",'02_投資成本_CAPEX'!$N13)</f>
        <v>5</v>
      </c>
      <c r="E12" s="125" t="n">
        <f aca="false">IF('02_投資成本_CAPEX'!$C13="","",'02_投資成本_CAPEX'!$O13)</f>
        <v>0</v>
      </c>
      <c r="F12" s="126" t="n">
        <f aca="false">IF('02_投資成本_CAPEX'!$C13="",0,'02_投資成本_CAPEX'!$L13*(1-'02_投資成本_CAPEX'!$P13)*'01_專案設定_Setup'!$B$30)</f>
        <v>4011.66</v>
      </c>
      <c r="G12" s="127" t="n">
        <f aca="false">IF(OR('02_投資成本_CAPEX'!$C13="",'02_投資成本_CAPEX'!$N13=0),0,IF(AND(1&gt;=1,1&lt;='02_投資成本_CAPEX'!$N13),$F12/'02_投資成本_CAPEX'!$N13,0)+IF(AND('02_投資成本_CAPEX'!$O13&gt;0,1&gt;='02_投資成本_CAPEX'!$O13,1&lt;='02_投資成本_CAPEX'!$O13+'02_投資成本_CAPEX'!$N13-1),$F12/'02_投資成本_CAPEX'!$N13,0))</f>
        <v>802.332</v>
      </c>
      <c r="H12" s="127" t="n">
        <f aca="false">IF(OR('02_投資成本_CAPEX'!$C13="",'02_投資成本_CAPEX'!$N13=0),0,IF(AND(2&gt;=1,2&lt;='02_投資成本_CAPEX'!$N13),$F12/'02_投資成本_CAPEX'!$N13,0)+IF(AND('02_投資成本_CAPEX'!$O13&gt;0,2&gt;='02_投資成本_CAPEX'!$O13,2&lt;='02_投資成本_CAPEX'!$O13+'02_投資成本_CAPEX'!$N13-1),$F12/'02_投資成本_CAPEX'!$N13,0))</f>
        <v>802.332</v>
      </c>
      <c r="I12" s="127" t="n">
        <f aca="false">IF(OR('02_投資成本_CAPEX'!$C13="",'02_投資成本_CAPEX'!$N13=0),0,IF(AND(3&gt;=1,3&lt;='02_投資成本_CAPEX'!$N13),$F12/'02_投資成本_CAPEX'!$N13,0)+IF(AND('02_投資成本_CAPEX'!$O13&gt;0,3&gt;='02_投資成本_CAPEX'!$O13,3&lt;='02_投資成本_CAPEX'!$O13+'02_投資成本_CAPEX'!$N13-1),$F12/'02_投資成本_CAPEX'!$N13,0))</f>
        <v>802.332</v>
      </c>
      <c r="J12" s="127" t="n">
        <f aca="false">IF(OR('02_投資成本_CAPEX'!$C13="",'02_投資成本_CAPEX'!$N13=0),0,IF(AND(4&gt;=1,4&lt;='02_投資成本_CAPEX'!$N13),$F12/'02_投資成本_CAPEX'!$N13,0)+IF(AND('02_投資成本_CAPEX'!$O13&gt;0,4&gt;='02_投資成本_CAPEX'!$O13,4&lt;='02_投資成本_CAPEX'!$O13+'02_投資成本_CAPEX'!$N13-1),$F12/'02_投資成本_CAPEX'!$N13,0))</f>
        <v>802.332</v>
      </c>
      <c r="K12" s="127" t="n">
        <f aca="false">IF(OR('02_投資成本_CAPEX'!$C13="",'02_投資成本_CAPEX'!$N13=0),0,IF(AND(5&gt;=1,5&lt;='02_投資成本_CAPEX'!$N13),$F12/'02_投資成本_CAPEX'!$N13,0)+IF(AND('02_投資成本_CAPEX'!$O13&gt;0,5&gt;='02_投資成本_CAPEX'!$O13,5&lt;='02_投資成本_CAPEX'!$O13+'02_投資成本_CAPEX'!$N13-1),$F12/'02_投資成本_CAPEX'!$N13,0))</f>
        <v>802.332</v>
      </c>
      <c r="L12" s="127" t="n">
        <f aca="false">IF(OR('02_投資成本_CAPEX'!$C13="",'02_投資成本_CAPEX'!$N13=0),0,IF(AND(6&gt;=1,6&lt;='02_投資成本_CAPEX'!$N13),$F12/'02_投資成本_CAPEX'!$N13,0)+IF(AND('02_投資成本_CAPEX'!$O13&gt;0,6&gt;='02_投資成本_CAPEX'!$O13,6&lt;='02_投資成本_CAPEX'!$O13+'02_投資成本_CAPEX'!$N13-1),$F12/'02_投資成本_CAPEX'!$N13,0))</f>
        <v>0</v>
      </c>
      <c r="M12" s="127" t="n">
        <f aca="false">IF(OR('02_投資成本_CAPEX'!$C13="",'02_投資成本_CAPEX'!$N13=0),0,IF(AND(7&gt;=1,7&lt;='02_投資成本_CAPEX'!$N13),$F12/'02_投資成本_CAPEX'!$N13,0)+IF(AND('02_投資成本_CAPEX'!$O13&gt;0,7&gt;='02_投資成本_CAPEX'!$O13,7&lt;='02_投資成本_CAPEX'!$O13+'02_投資成本_CAPEX'!$N13-1),$F12/'02_投資成本_CAPEX'!$N13,0))</f>
        <v>0</v>
      </c>
      <c r="N12" s="127" t="n">
        <f aca="false">IF(OR('02_投資成本_CAPEX'!$C13="",'02_投資成本_CAPEX'!$N13=0),0,IF(AND(8&gt;=1,8&lt;='02_投資成本_CAPEX'!$N13),$F12/'02_投資成本_CAPEX'!$N13,0)+IF(AND('02_投資成本_CAPEX'!$O13&gt;0,8&gt;='02_投資成本_CAPEX'!$O13,8&lt;='02_投資成本_CAPEX'!$O13+'02_投資成本_CAPEX'!$N13-1),$F12/'02_投資成本_CAPEX'!$N13,0))</f>
        <v>0</v>
      </c>
      <c r="O12" s="127" t="n">
        <f aca="false">IF(OR('02_投資成本_CAPEX'!$C13="",'02_投資成本_CAPEX'!$N13=0),0,IF(AND(9&gt;=1,9&lt;='02_投資成本_CAPEX'!$N13),$F12/'02_投資成本_CAPEX'!$N13,0)+IF(AND('02_投資成本_CAPEX'!$O13&gt;0,9&gt;='02_投資成本_CAPEX'!$O13,9&lt;='02_投資成本_CAPEX'!$O13+'02_投資成本_CAPEX'!$N13-1),$F12/'02_投資成本_CAPEX'!$N13,0))</f>
        <v>0</v>
      </c>
      <c r="P12" s="127" t="n">
        <f aca="false">IF(OR('02_投資成本_CAPEX'!$C13="",'02_投資成本_CAPEX'!$N13=0),0,IF(AND(10&gt;=1,10&lt;='02_投資成本_CAPEX'!$N13),$F12/'02_投資成本_CAPEX'!$N13,0)+IF(AND('02_投資成本_CAPEX'!$O13&gt;0,10&gt;='02_投資成本_CAPEX'!$O13,10&lt;='02_投資成本_CAPEX'!$O13+'02_投資成本_CAPEX'!$N13-1),$F12/'02_投資成本_CAPEX'!$N13,0))</f>
        <v>0</v>
      </c>
    </row>
    <row r="13" customFormat="false" ht="15.75" hidden="false" customHeight="true" outlineLevel="0" collapsed="false">
      <c r="A13" s="123" t="n">
        <f aca="false">IF('02_投資成本_CAPEX'!$C14="","",'02_投資成本_CAPEX'!$A14)</f>
        <v>9</v>
      </c>
      <c r="B13" s="124" t="str">
        <f aca="false">IF('02_投資成本_CAPEX'!$C14="","",'02_投資成本_CAPEX'!$C14)</f>
        <v>資料移轉與病人主檔 MPI 清理去重（與 CCCD／VNeID 比對）</v>
      </c>
      <c r="C13" s="124" t="str">
        <f aca="false">IF('02_投資成本_CAPEX'!$C14="","",'02_投資成本_CAPEX'!$M14)</f>
        <v>費用化 Expensed</v>
      </c>
      <c r="D13" s="125" t="n">
        <f aca="false">IF('02_投資成本_CAPEX'!$C14="","",'02_投資成本_CAPEX'!$N14)</f>
        <v>0</v>
      </c>
      <c r="E13" s="125" t="n">
        <f aca="false">IF('02_投資成本_CAPEX'!$C14="","",'02_投資成本_CAPEX'!$O14)</f>
        <v>0</v>
      </c>
      <c r="F13" s="126" t="n">
        <f aca="false">IF('02_投資成本_CAPEX'!$C14="",0,'02_投資成本_CAPEX'!$L14*(1-'02_投資成本_CAPEX'!$P14)*'01_專案設定_Setup'!$B$30)</f>
        <v>2372.112</v>
      </c>
      <c r="G13" s="127" t="n">
        <f aca="false">IF(OR('02_投資成本_CAPEX'!$C14="",'02_投資成本_CAPEX'!$N14=0),0,IF(AND(1&gt;=1,1&lt;='02_投資成本_CAPEX'!$N14),$F13/'02_投資成本_CAPEX'!$N14,0)+IF(AND('02_投資成本_CAPEX'!$O14&gt;0,1&gt;='02_投資成本_CAPEX'!$O14,1&lt;='02_投資成本_CAPEX'!$O14+'02_投資成本_CAPEX'!$N14-1),$F13/'02_投資成本_CAPEX'!$N14,0))</f>
        <v>0</v>
      </c>
      <c r="H13" s="127" t="n">
        <f aca="false">IF(OR('02_投資成本_CAPEX'!$C14="",'02_投資成本_CAPEX'!$N14=0),0,IF(AND(2&gt;=1,2&lt;='02_投資成本_CAPEX'!$N14),$F13/'02_投資成本_CAPEX'!$N14,0)+IF(AND('02_投資成本_CAPEX'!$O14&gt;0,2&gt;='02_投資成本_CAPEX'!$O14,2&lt;='02_投資成本_CAPEX'!$O14+'02_投資成本_CAPEX'!$N14-1),$F13/'02_投資成本_CAPEX'!$N14,0))</f>
        <v>0</v>
      </c>
      <c r="I13" s="127" t="n">
        <f aca="false">IF(OR('02_投資成本_CAPEX'!$C14="",'02_投資成本_CAPEX'!$N14=0),0,IF(AND(3&gt;=1,3&lt;='02_投資成本_CAPEX'!$N14),$F13/'02_投資成本_CAPEX'!$N14,0)+IF(AND('02_投資成本_CAPEX'!$O14&gt;0,3&gt;='02_投資成本_CAPEX'!$O14,3&lt;='02_投資成本_CAPEX'!$O14+'02_投資成本_CAPEX'!$N14-1),$F13/'02_投資成本_CAPEX'!$N14,0))</f>
        <v>0</v>
      </c>
      <c r="J13" s="127" t="n">
        <f aca="false">IF(OR('02_投資成本_CAPEX'!$C14="",'02_投資成本_CAPEX'!$N14=0),0,IF(AND(4&gt;=1,4&lt;='02_投資成本_CAPEX'!$N14),$F13/'02_投資成本_CAPEX'!$N14,0)+IF(AND('02_投資成本_CAPEX'!$O14&gt;0,4&gt;='02_投資成本_CAPEX'!$O14,4&lt;='02_投資成本_CAPEX'!$O14+'02_投資成本_CAPEX'!$N14-1),$F13/'02_投資成本_CAPEX'!$N14,0))</f>
        <v>0</v>
      </c>
      <c r="K13" s="127" t="n">
        <f aca="false">IF(OR('02_投資成本_CAPEX'!$C14="",'02_投資成本_CAPEX'!$N14=0),0,IF(AND(5&gt;=1,5&lt;='02_投資成本_CAPEX'!$N14),$F13/'02_投資成本_CAPEX'!$N14,0)+IF(AND('02_投資成本_CAPEX'!$O14&gt;0,5&gt;='02_投資成本_CAPEX'!$O14,5&lt;='02_投資成本_CAPEX'!$O14+'02_投資成本_CAPEX'!$N14-1),$F13/'02_投資成本_CAPEX'!$N14,0))</f>
        <v>0</v>
      </c>
      <c r="L13" s="127" t="n">
        <f aca="false">IF(OR('02_投資成本_CAPEX'!$C14="",'02_投資成本_CAPEX'!$N14=0),0,IF(AND(6&gt;=1,6&lt;='02_投資成本_CAPEX'!$N14),$F13/'02_投資成本_CAPEX'!$N14,0)+IF(AND('02_投資成本_CAPEX'!$O14&gt;0,6&gt;='02_投資成本_CAPEX'!$O14,6&lt;='02_投資成本_CAPEX'!$O14+'02_投資成本_CAPEX'!$N14-1),$F13/'02_投資成本_CAPEX'!$N14,0))</f>
        <v>0</v>
      </c>
      <c r="M13" s="127" t="n">
        <f aca="false">IF(OR('02_投資成本_CAPEX'!$C14="",'02_投資成本_CAPEX'!$N14=0),0,IF(AND(7&gt;=1,7&lt;='02_投資成本_CAPEX'!$N14),$F13/'02_投資成本_CAPEX'!$N14,0)+IF(AND('02_投資成本_CAPEX'!$O14&gt;0,7&gt;='02_投資成本_CAPEX'!$O14,7&lt;='02_投資成本_CAPEX'!$O14+'02_投資成本_CAPEX'!$N14-1),$F13/'02_投資成本_CAPEX'!$N14,0))</f>
        <v>0</v>
      </c>
      <c r="N13" s="127" t="n">
        <f aca="false">IF(OR('02_投資成本_CAPEX'!$C14="",'02_投資成本_CAPEX'!$N14=0),0,IF(AND(8&gt;=1,8&lt;='02_投資成本_CAPEX'!$N14),$F13/'02_投資成本_CAPEX'!$N14,0)+IF(AND('02_投資成本_CAPEX'!$O14&gt;0,8&gt;='02_投資成本_CAPEX'!$O14,8&lt;='02_投資成本_CAPEX'!$O14+'02_投資成本_CAPEX'!$N14-1),$F13/'02_投資成本_CAPEX'!$N14,0))</f>
        <v>0</v>
      </c>
      <c r="O13" s="127" t="n">
        <f aca="false">IF(OR('02_投資成本_CAPEX'!$C14="",'02_投資成本_CAPEX'!$N14=0),0,IF(AND(9&gt;=1,9&lt;='02_投資成本_CAPEX'!$N14),$F13/'02_投資成本_CAPEX'!$N14,0)+IF(AND('02_投資成本_CAPEX'!$O14&gt;0,9&gt;='02_投資成本_CAPEX'!$O14,9&lt;='02_投資成本_CAPEX'!$O14+'02_投資成本_CAPEX'!$N14-1),$F13/'02_投資成本_CAPEX'!$N14,0))</f>
        <v>0</v>
      </c>
      <c r="P13" s="127" t="n">
        <f aca="false">IF(OR('02_投資成本_CAPEX'!$C14="",'02_投資成本_CAPEX'!$N14=0),0,IF(AND(10&gt;=1,10&lt;='02_投資成本_CAPEX'!$N14),$F13/'02_投資成本_CAPEX'!$N14,0)+IF(AND('02_投資成本_CAPEX'!$O14&gt;0,10&gt;='02_投資成本_CAPEX'!$O14,10&lt;='02_投資成本_CAPEX'!$O14+'02_投資成本_CAPEX'!$N14-1),$F13/'02_投資成本_CAPEX'!$N14,0))</f>
        <v>0</v>
      </c>
    </row>
    <row r="14" customFormat="false" ht="15.75" hidden="false" customHeight="true" outlineLevel="0" collapsed="false">
      <c r="A14" s="123" t="n">
        <f aca="false">IF('02_投資成本_CAPEX'!$C15="","",'02_投資成本_CAPEX'!$A15)</f>
        <v>10</v>
      </c>
      <c r="B14" s="124" t="str">
        <f aca="false">IF('02_投資成本_CAPEX'!$C15="","",'02_投資成本_CAPEX'!$C15)</f>
        <v>導入服務：流程重整、平行測試、12 個月上線輔導</v>
      </c>
      <c r="C14" s="124" t="str">
        <f aca="false">IF('02_投資成本_CAPEX'!$C15="","",'02_投資成本_CAPEX'!$M15)</f>
        <v>費用化 Expensed</v>
      </c>
      <c r="D14" s="125" t="n">
        <f aca="false">IF('02_投資成本_CAPEX'!$C15="","",'02_投資成本_CAPEX'!$N15)</f>
        <v>0</v>
      </c>
      <c r="E14" s="125" t="n">
        <f aca="false">IF('02_投資成本_CAPEX'!$C15="","",'02_投資成本_CAPEX'!$O15)</f>
        <v>0</v>
      </c>
      <c r="F14" s="126" t="n">
        <f aca="false">IF('02_投資成本_CAPEX'!$C15="",0,'02_投資成本_CAPEX'!$L15*(1-'02_投資成本_CAPEX'!$P15)*'01_專案設定_Setup'!$B$30)</f>
        <v>4709.34</v>
      </c>
      <c r="G14" s="127" t="n">
        <f aca="false">IF(OR('02_投資成本_CAPEX'!$C15="",'02_投資成本_CAPEX'!$N15=0),0,IF(AND(1&gt;=1,1&lt;='02_投資成本_CAPEX'!$N15),$F14/'02_投資成本_CAPEX'!$N15,0)+IF(AND('02_投資成本_CAPEX'!$O15&gt;0,1&gt;='02_投資成本_CAPEX'!$O15,1&lt;='02_投資成本_CAPEX'!$O15+'02_投資成本_CAPEX'!$N15-1),$F14/'02_投資成本_CAPEX'!$N15,0))</f>
        <v>0</v>
      </c>
      <c r="H14" s="127" t="n">
        <f aca="false">IF(OR('02_投資成本_CAPEX'!$C15="",'02_投資成本_CAPEX'!$N15=0),0,IF(AND(2&gt;=1,2&lt;='02_投資成本_CAPEX'!$N15),$F14/'02_投資成本_CAPEX'!$N15,0)+IF(AND('02_投資成本_CAPEX'!$O15&gt;0,2&gt;='02_投資成本_CAPEX'!$O15,2&lt;='02_投資成本_CAPEX'!$O15+'02_投資成本_CAPEX'!$N15-1),$F14/'02_投資成本_CAPEX'!$N15,0))</f>
        <v>0</v>
      </c>
      <c r="I14" s="127" t="n">
        <f aca="false">IF(OR('02_投資成本_CAPEX'!$C15="",'02_投資成本_CAPEX'!$N15=0),0,IF(AND(3&gt;=1,3&lt;='02_投資成本_CAPEX'!$N15),$F14/'02_投資成本_CAPEX'!$N15,0)+IF(AND('02_投資成本_CAPEX'!$O15&gt;0,3&gt;='02_投資成本_CAPEX'!$O15,3&lt;='02_投資成本_CAPEX'!$O15+'02_投資成本_CAPEX'!$N15-1),$F14/'02_投資成本_CAPEX'!$N15,0))</f>
        <v>0</v>
      </c>
      <c r="J14" s="127" t="n">
        <f aca="false">IF(OR('02_投資成本_CAPEX'!$C15="",'02_投資成本_CAPEX'!$N15=0),0,IF(AND(4&gt;=1,4&lt;='02_投資成本_CAPEX'!$N15),$F14/'02_投資成本_CAPEX'!$N15,0)+IF(AND('02_投資成本_CAPEX'!$O15&gt;0,4&gt;='02_投資成本_CAPEX'!$O15,4&lt;='02_投資成本_CAPEX'!$O15+'02_投資成本_CAPEX'!$N15-1),$F14/'02_投資成本_CAPEX'!$N15,0))</f>
        <v>0</v>
      </c>
      <c r="K14" s="127" t="n">
        <f aca="false">IF(OR('02_投資成本_CAPEX'!$C15="",'02_投資成本_CAPEX'!$N15=0),0,IF(AND(5&gt;=1,5&lt;='02_投資成本_CAPEX'!$N15),$F14/'02_投資成本_CAPEX'!$N15,0)+IF(AND('02_投資成本_CAPEX'!$O15&gt;0,5&gt;='02_投資成本_CAPEX'!$O15,5&lt;='02_投資成本_CAPEX'!$O15+'02_投資成本_CAPEX'!$N15-1),$F14/'02_投資成本_CAPEX'!$N15,0))</f>
        <v>0</v>
      </c>
      <c r="L14" s="127" t="n">
        <f aca="false">IF(OR('02_投資成本_CAPEX'!$C15="",'02_投資成本_CAPEX'!$N15=0),0,IF(AND(6&gt;=1,6&lt;='02_投資成本_CAPEX'!$N15),$F14/'02_投資成本_CAPEX'!$N15,0)+IF(AND('02_投資成本_CAPEX'!$O15&gt;0,6&gt;='02_投資成本_CAPEX'!$O15,6&lt;='02_投資成本_CAPEX'!$O15+'02_投資成本_CAPEX'!$N15-1),$F14/'02_投資成本_CAPEX'!$N15,0))</f>
        <v>0</v>
      </c>
      <c r="M14" s="127" t="n">
        <f aca="false">IF(OR('02_投資成本_CAPEX'!$C15="",'02_投資成本_CAPEX'!$N15=0),0,IF(AND(7&gt;=1,7&lt;='02_投資成本_CAPEX'!$N15),$F14/'02_投資成本_CAPEX'!$N15,0)+IF(AND('02_投資成本_CAPEX'!$O15&gt;0,7&gt;='02_投資成本_CAPEX'!$O15,7&lt;='02_投資成本_CAPEX'!$O15+'02_投資成本_CAPEX'!$N15-1),$F14/'02_投資成本_CAPEX'!$N15,0))</f>
        <v>0</v>
      </c>
      <c r="N14" s="127" t="n">
        <f aca="false">IF(OR('02_投資成本_CAPEX'!$C15="",'02_投資成本_CAPEX'!$N15=0),0,IF(AND(8&gt;=1,8&lt;='02_投資成本_CAPEX'!$N15),$F14/'02_投資成本_CAPEX'!$N15,0)+IF(AND('02_投資成本_CAPEX'!$O15&gt;0,8&gt;='02_投資成本_CAPEX'!$O15,8&lt;='02_投資成本_CAPEX'!$O15+'02_投資成本_CAPEX'!$N15-1),$F14/'02_投資成本_CAPEX'!$N15,0))</f>
        <v>0</v>
      </c>
      <c r="O14" s="127" t="n">
        <f aca="false">IF(OR('02_投資成本_CAPEX'!$C15="",'02_投資成本_CAPEX'!$N15=0),0,IF(AND(9&gt;=1,9&lt;='02_投資成本_CAPEX'!$N15),$F14/'02_投資成本_CAPEX'!$N15,0)+IF(AND('02_投資成本_CAPEX'!$O15&gt;0,9&gt;='02_投資成本_CAPEX'!$O15,9&lt;='02_投資成本_CAPEX'!$O15+'02_投資成本_CAPEX'!$N15-1),$F14/'02_投資成本_CAPEX'!$N15,0))</f>
        <v>0</v>
      </c>
      <c r="P14" s="127" t="n">
        <f aca="false">IF(OR('02_投資成本_CAPEX'!$C15="",'02_投資成本_CAPEX'!$N15=0),0,IF(AND(10&gt;=1,10&lt;='02_投資成本_CAPEX'!$N15),$F14/'02_投資成本_CAPEX'!$N15,0)+IF(AND('02_投資成本_CAPEX'!$O15&gt;0,10&gt;='02_投資成本_CAPEX'!$O15,10&lt;='02_投資成本_CAPEX'!$O15+'02_投資成本_CAPEX'!$N15-1),$F14/'02_投資成本_CAPEX'!$N15,0))</f>
        <v>0</v>
      </c>
    </row>
    <row r="15" customFormat="false" ht="15.75" hidden="false" customHeight="true" outlineLevel="0" collapsed="false">
      <c r="A15" s="123" t="n">
        <f aca="false">IF('02_投資成本_CAPEX'!$C16="","",'02_投資成本_CAPEX'!$A16)</f>
        <v>11</v>
      </c>
      <c r="B15" s="124" t="str">
        <f aca="false">IF('02_投資成本_CAPEX'!$C16="","",'02_投資成本_CAPEX'!$C16)</f>
        <v>醫師與護理教育訓練（含種子講師制度）</v>
      </c>
      <c r="C15" s="124" t="str">
        <f aca="false">IF('02_投資成本_CAPEX'!$C16="","",'02_投資成本_CAPEX'!$M16)</f>
        <v>費用化 Expensed</v>
      </c>
      <c r="D15" s="125" t="n">
        <f aca="false">IF('02_投資成本_CAPEX'!$C16="","",'02_投資成本_CAPEX'!$N16)</f>
        <v>0</v>
      </c>
      <c r="E15" s="125" t="n">
        <f aca="false">IF('02_投資成本_CAPEX'!$C16="","",'02_投資成本_CAPEX'!$O16)</f>
        <v>0</v>
      </c>
      <c r="F15" s="126" t="n">
        <f aca="false">IF('02_投資成本_CAPEX'!$C16="",0,'02_投資成本_CAPEX'!$L16*(1-'02_投資成本_CAPEX'!$P16)*'01_專案設定_Setup'!$B$30)</f>
        <v>1465.128</v>
      </c>
      <c r="G15" s="127" t="n">
        <f aca="false">IF(OR('02_投資成本_CAPEX'!$C16="",'02_投資成本_CAPEX'!$N16=0),0,IF(AND(1&gt;=1,1&lt;='02_投資成本_CAPEX'!$N16),$F15/'02_投資成本_CAPEX'!$N16,0)+IF(AND('02_投資成本_CAPEX'!$O16&gt;0,1&gt;='02_投資成本_CAPEX'!$O16,1&lt;='02_投資成本_CAPEX'!$O16+'02_投資成本_CAPEX'!$N16-1),$F15/'02_投資成本_CAPEX'!$N16,0))</f>
        <v>0</v>
      </c>
      <c r="H15" s="127" t="n">
        <f aca="false">IF(OR('02_投資成本_CAPEX'!$C16="",'02_投資成本_CAPEX'!$N16=0),0,IF(AND(2&gt;=1,2&lt;='02_投資成本_CAPEX'!$N16),$F15/'02_投資成本_CAPEX'!$N16,0)+IF(AND('02_投資成本_CAPEX'!$O16&gt;0,2&gt;='02_投資成本_CAPEX'!$O16,2&lt;='02_投資成本_CAPEX'!$O16+'02_投資成本_CAPEX'!$N16-1),$F15/'02_投資成本_CAPEX'!$N16,0))</f>
        <v>0</v>
      </c>
      <c r="I15" s="127" t="n">
        <f aca="false">IF(OR('02_投資成本_CAPEX'!$C16="",'02_投資成本_CAPEX'!$N16=0),0,IF(AND(3&gt;=1,3&lt;='02_投資成本_CAPEX'!$N16),$F15/'02_投資成本_CAPEX'!$N16,0)+IF(AND('02_投資成本_CAPEX'!$O16&gt;0,3&gt;='02_投資成本_CAPEX'!$O16,3&lt;='02_投資成本_CAPEX'!$O16+'02_投資成本_CAPEX'!$N16-1),$F15/'02_投資成本_CAPEX'!$N16,0))</f>
        <v>0</v>
      </c>
      <c r="J15" s="127" t="n">
        <f aca="false">IF(OR('02_投資成本_CAPEX'!$C16="",'02_投資成本_CAPEX'!$N16=0),0,IF(AND(4&gt;=1,4&lt;='02_投資成本_CAPEX'!$N16),$F15/'02_投資成本_CAPEX'!$N16,0)+IF(AND('02_投資成本_CAPEX'!$O16&gt;0,4&gt;='02_投資成本_CAPEX'!$O16,4&lt;='02_投資成本_CAPEX'!$O16+'02_投資成本_CAPEX'!$N16-1),$F15/'02_投資成本_CAPEX'!$N16,0))</f>
        <v>0</v>
      </c>
      <c r="K15" s="127" t="n">
        <f aca="false">IF(OR('02_投資成本_CAPEX'!$C16="",'02_投資成本_CAPEX'!$N16=0),0,IF(AND(5&gt;=1,5&lt;='02_投資成本_CAPEX'!$N16),$F15/'02_投資成本_CAPEX'!$N16,0)+IF(AND('02_投資成本_CAPEX'!$O16&gt;0,5&gt;='02_投資成本_CAPEX'!$O16,5&lt;='02_投資成本_CAPEX'!$O16+'02_投資成本_CAPEX'!$N16-1),$F15/'02_投資成本_CAPEX'!$N16,0))</f>
        <v>0</v>
      </c>
      <c r="L15" s="127" t="n">
        <f aca="false">IF(OR('02_投資成本_CAPEX'!$C16="",'02_投資成本_CAPEX'!$N16=0),0,IF(AND(6&gt;=1,6&lt;='02_投資成本_CAPEX'!$N16),$F15/'02_投資成本_CAPEX'!$N16,0)+IF(AND('02_投資成本_CAPEX'!$O16&gt;0,6&gt;='02_投資成本_CAPEX'!$O16,6&lt;='02_投資成本_CAPEX'!$O16+'02_投資成本_CAPEX'!$N16-1),$F15/'02_投資成本_CAPEX'!$N16,0))</f>
        <v>0</v>
      </c>
      <c r="M15" s="127" t="n">
        <f aca="false">IF(OR('02_投資成本_CAPEX'!$C16="",'02_投資成本_CAPEX'!$N16=0),0,IF(AND(7&gt;=1,7&lt;='02_投資成本_CAPEX'!$N16),$F15/'02_投資成本_CAPEX'!$N16,0)+IF(AND('02_投資成本_CAPEX'!$O16&gt;0,7&gt;='02_投資成本_CAPEX'!$O16,7&lt;='02_投資成本_CAPEX'!$O16+'02_投資成本_CAPEX'!$N16-1),$F15/'02_投資成本_CAPEX'!$N16,0))</f>
        <v>0</v>
      </c>
      <c r="N15" s="127" t="n">
        <f aca="false">IF(OR('02_投資成本_CAPEX'!$C16="",'02_投資成本_CAPEX'!$N16=0),0,IF(AND(8&gt;=1,8&lt;='02_投資成本_CAPEX'!$N16),$F15/'02_投資成本_CAPEX'!$N16,0)+IF(AND('02_投資成本_CAPEX'!$O16&gt;0,8&gt;='02_投資成本_CAPEX'!$O16,8&lt;='02_投資成本_CAPEX'!$O16+'02_投資成本_CAPEX'!$N16-1),$F15/'02_投資成本_CAPEX'!$N16,0))</f>
        <v>0</v>
      </c>
      <c r="O15" s="127" t="n">
        <f aca="false">IF(OR('02_投資成本_CAPEX'!$C16="",'02_投資成本_CAPEX'!$N16=0),0,IF(AND(9&gt;=1,9&lt;='02_投資成本_CAPEX'!$N16),$F15/'02_投資成本_CAPEX'!$N16,0)+IF(AND('02_投資成本_CAPEX'!$O16&gt;0,9&gt;='02_投資成本_CAPEX'!$O16,9&lt;='02_投資成本_CAPEX'!$O16+'02_投資成本_CAPEX'!$N16-1),$F15/'02_投資成本_CAPEX'!$N16,0))</f>
        <v>0</v>
      </c>
      <c r="P15" s="127" t="n">
        <f aca="false">IF(OR('02_投資成本_CAPEX'!$C16="",'02_投資成本_CAPEX'!$N16=0),0,IF(AND(10&gt;=1,10&lt;='02_投資成本_CAPEX'!$N16),$F15/'02_投資成本_CAPEX'!$N16,0)+IF(AND('02_投資成本_CAPEX'!$O16&gt;0,10&gt;='02_投資成本_CAPEX'!$O16,10&lt;='02_投資成本_CAPEX'!$O16+'02_投資成本_CAPEX'!$N16-1),$F15/'02_投資成本_CAPEX'!$N16,0))</f>
        <v>0</v>
      </c>
    </row>
    <row r="16" customFormat="false" ht="15.75" hidden="false" customHeight="true" outlineLevel="0" collapsed="false">
      <c r="A16" s="123" t="n">
        <f aca="false">IF('02_投資成本_CAPEX'!$C17="","",'02_投資成本_CAPEX'!$A17)</f>
        <v>12</v>
      </c>
      <c r="B16" s="124" t="str">
        <f aca="false">IF('02_投資成本_CAPEX'!$C17="","",'02_投資成本_CAPEX'!$C17)</f>
        <v>承載環境：伺服器、儲存、備份（可承載於 A醫院 IDC，或商用雲）</v>
      </c>
      <c r="C16" s="124" t="str">
        <f aca="false">IF('02_投資成本_CAPEX'!$C17="","",'02_投資成本_CAPEX'!$M17)</f>
        <v>電腦與網通 IT</v>
      </c>
      <c r="D16" s="125" t="n">
        <f aca="false">IF('02_投資成本_CAPEX'!$C17="","",'02_投資成本_CAPEX'!$N17)</f>
        <v>5</v>
      </c>
      <c r="E16" s="125" t="n">
        <f aca="false">IF('02_投資成本_CAPEX'!$C17="","",'02_投資成本_CAPEX'!$O17)</f>
        <v>6</v>
      </c>
      <c r="F16" s="126" t="n">
        <f aca="false">IF('02_投資成本_CAPEX'!$C17="",0,'02_投資成本_CAPEX'!$L17*(1-'02_投資成本_CAPEX'!$P17)*'01_專案設定_Setup'!$B$30)</f>
        <v>2970.308</v>
      </c>
      <c r="G16" s="127" t="n">
        <f aca="false">IF(OR('02_投資成本_CAPEX'!$C17="",'02_投資成本_CAPEX'!$N17=0),0,IF(AND(1&gt;=1,1&lt;='02_投資成本_CAPEX'!$N17),$F16/'02_投資成本_CAPEX'!$N17,0)+IF(AND('02_投資成本_CAPEX'!$O17&gt;0,1&gt;='02_投資成本_CAPEX'!$O17,1&lt;='02_投資成本_CAPEX'!$O17+'02_投資成本_CAPEX'!$N17-1),$F16/'02_投資成本_CAPEX'!$N17,0))</f>
        <v>594.0616</v>
      </c>
      <c r="H16" s="127" t="n">
        <f aca="false">IF(OR('02_投資成本_CAPEX'!$C17="",'02_投資成本_CAPEX'!$N17=0),0,IF(AND(2&gt;=1,2&lt;='02_投資成本_CAPEX'!$N17),$F16/'02_投資成本_CAPEX'!$N17,0)+IF(AND('02_投資成本_CAPEX'!$O17&gt;0,2&gt;='02_投資成本_CAPEX'!$O17,2&lt;='02_投資成本_CAPEX'!$O17+'02_投資成本_CAPEX'!$N17-1),$F16/'02_投資成本_CAPEX'!$N17,0))</f>
        <v>594.0616</v>
      </c>
      <c r="I16" s="127" t="n">
        <f aca="false">IF(OR('02_投資成本_CAPEX'!$C17="",'02_投資成本_CAPEX'!$N17=0),0,IF(AND(3&gt;=1,3&lt;='02_投資成本_CAPEX'!$N17),$F16/'02_投資成本_CAPEX'!$N17,0)+IF(AND('02_投資成本_CAPEX'!$O17&gt;0,3&gt;='02_投資成本_CAPEX'!$O17,3&lt;='02_投資成本_CAPEX'!$O17+'02_投資成本_CAPEX'!$N17-1),$F16/'02_投資成本_CAPEX'!$N17,0))</f>
        <v>594.0616</v>
      </c>
      <c r="J16" s="127" t="n">
        <f aca="false">IF(OR('02_投資成本_CAPEX'!$C17="",'02_投資成本_CAPEX'!$N17=0),0,IF(AND(4&gt;=1,4&lt;='02_投資成本_CAPEX'!$N17),$F16/'02_投資成本_CAPEX'!$N17,0)+IF(AND('02_投資成本_CAPEX'!$O17&gt;0,4&gt;='02_投資成本_CAPEX'!$O17,4&lt;='02_投資成本_CAPEX'!$O17+'02_投資成本_CAPEX'!$N17-1),$F16/'02_投資成本_CAPEX'!$N17,0))</f>
        <v>594.0616</v>
      </c>
      <c r="K16" s="127" t="n">
        <f aca="false">IF(OR('02_投資成本_CAPEX'!$C17="",'02_投資成本_CAPEX'!$N17=0),0,IF(AND(5&gt;=1,5&lt;='02_投資成本_CAPEX'!$N17),$F16/'02_投資成本_CAPEX'!$N17,0)+IF(AND('02_投資成本_CAPEX'!$O17&gt;0,5&gt;='02_投資成本_CAPEX'!$O17,5&lt;='02_投資成本_CAPEX'!$O17+'02_投資成本_CAPEX'!$N17-1),$F16/'02_投資成本_CAPEX'!$N17,0))</f>
        <v>594.0616</v>
      </c>
      <c r="L16" s="127" t="n">
        <f aca="false">IF(OR('02_投資成本_CAPEX'!$C17="",'02_投資成本_CAPEX'!$N17=0),0,IF(AND(6&gt;=1,6&lt;='02_投資成本_CAPEX'!$N17),$F16/'02_投資成本_CAPEX'!$N17,0)+IF(AND('02_投資成本_CAPEX'!$O17&gt;0,6&gt;='02_投資成本_CAPEX'!$O17,6&lt;='02_投資成本_CAPEX'!$O17+'02_投資成本_CAPEX'!$N17-1),$F16/'02_投資成本_CAPEX'!$N17,0))</f>
        <v>594.0616</v>
      </c>
      <c r="M16" s="127" t="n">
        <f aca="false">IF(OR('02_投資成本_CAPEX'!$C17="",'02_投資成本_CAPEX'!$N17=0),0,IF(AND(7&gt;=1,7&lt;='02_投資成本_CAPEX'!$N17),$F16/'02_投資成本_CAPEX'!$N17,0)+IF(AND('02_投資成本_CAPEX'!$O17&gt;0,7&gt;='02_投資成本_CAPEX'!$O17,7&lt;='02_投資成本_CAPEX'!$O17+'02_投資成本_CAPEX'!$N17-1),$F16/'02_投資成本_CAPEX'!$N17,0))</f>
        <v>594.0616</v>
      </c>
      <c r="N16" s="127" t="n">
        <f aca="false">IF(OR('02_投資成本_CAPEX'!$C17="",'02_投資成本_CAPEX'!$N17=0),0,IF(AND(8&gt;=1,8&lt;='02_投資成本_CAPEX'!$N17),$F16/'02_投資成本_CAPEX'!$N17,0)+IF(AND('02_投資成本_CAPEX'!$O17&gt;0,8&gt;='02_投資成本_CAPEX'!$O17,8&lt;='02_投資成本_CAPEX'!$O17+'02_投資成本_CAPEX'!$N17-1),$F16/'02_投資成本_CAPEX'!$N17,0))</f>
        <v>594.0616</v>
      </c>
      <c r="O16" s="127" t="n">
        <f aca="false">IF(OR('02_投資成本_CAPEX'!$C17="",'02_投資成本_CAPEX'!$N17=0),0,IF(AND(9&gt;=1,9&lt;='02_投資成本_CAPEX'!$N17),$F16/'02_投資成本_CAPEX'!$N17,0)+IF(AND('02_投資成本_CAPEX'!$O17&gt;0,9&gt;='02_投資成本_CAPEX'!$O17,9&lt;='02_投資成本_CAPEX'!$O17+'02_投資成本_CAPEX'!$N17-1),$F16/'02_投資成本_CAPEX'!$N17,0))</f>
        <v>594.0616</v>
      </c>
      <c r="P16" s="127" t="n">
        <f aca="false">IF(OR('02_投資成本_CAPEX'!$C17="",'02_投資成本_CAPEX'!$N17=0),0,IF(AND(10&gt;=1,10&lt;='02_投資成本_CAPEX'!$N17),$F16/'02_投資成本_CAPEX'!$N17,0)+IF(AND('02_投資成本_CAPEX'!$O17&gt;0,10&gt;='02_投資成本_CAPEX'!$O17,10&lt;='02_投資成本_CAPEX'!$O17+'02_投資成本_CAPEX'!$N17-1),$F16/'02_投資成本_CAPEX'!$N17,0))</f>
        <v>594.0616</v>
      </c>
    </row>
    <row r="17" customFormat="false" ht="15.75" hidden="false" customHeight="true" outlineLevel="0" collapsed="false">
      <c r="A17" s="123" t="n">
        <f aca="false">IF('02_投資成本_CAPEX'!$C18="","",'02_投資成本_CAPEX'!$A18)</f>
        <v>13</v>
      </c>
      <c r="B17" s="124" t="str">
        <f aca="false">IF('02_投資成本_CAPEX'!$C18="","",'02_投資成本_CAPEX'!$C18)</f>
        <v>電子簽章 PKI 憑證與生物辨識模組</v>
      </c>
      <c r="C17" s="124" t="str">
        <f aca="false">IF('02_投資成本_CAPEX'!$C18="","",'02_投資成本_CAPEX'!$M18)</f>
        <v>軟體與無形 Software</v>
      </c>
      <c r="D17" s="125" t="n">
        <f aca="false">IF('02_投資成本_CAPEX'!$C18="","",'02_投資成本_CAPEX'!$N18)</f>
        <v>5</v>
      </c>
      <c r="E17" s="125" t="n">
        <f aca="false">IF('02_投資成本_CAPEX'!$C18="","",'02_投資成本_CAPEX'!$O18)</f>
        <v>5</v>
      </c>
      <c r="F17" s="126" t="n">
        <f aca="false">IF('02_投資成本_CAPEX'!$C18="",0,'02_投資成本_CAPEX'!$L18*(1-'02_投資成本_CAPEX'!$P18)*'01_專案設定_Setup'!$B$30)</f>
        <v>1208.02</v>
      </c>
      <c r="G17" s="127" t="n">
        <f aca="false">IF(OR('02_投資成本_CAPEX'!$C18="",'02_投資成本_CAPEX'!$N18=0),0,IF(AND(1&gt;=1,1&lt;='02_投資成本_CAPEX'!$N18),$F17/'02_投資成本_CAPEX'!$N18,0)+IF(AND('02_投資成本_CAPEX'!$O18&gt;0,1&gt;='02_投資成本_CAPEX'!$O18,1&lt;='02_投資成本_CAPEX'!$O18+'02_投資成本_CAPEX'!$N18-1),$F17/'02_投資成本_CAPEX'!$N18,0))</f>
        <v>241.604</v>
      </c>
      <c r="H17" s="127" t="n">
        <f aca="false">IF(OR('02_投資成本_CAPEX'!$C18="",'02_投資成本_CAPEX'!$N18=0),0,IF(AND(2&gt;=1,2&lt;='02_投資成本_CAPEX'!$N18),$F17/'02_投資成本_CAPEX'!$N18,0)+IF(AND('02_投資成本_CAPEX'!$O18&gt;0,2&gt;='02_投資成本_CAPEX'!$O18,2&lt;='02_投資成本_CAPEX'!$O18+'02_投資成本_CAPEX'!$N18-1),$F17/'02_投資成本_CAPEX'!$N18,0))</f>
        <v>241.604</v>
      </c>
      <c r="I17" s="127" t="n">
        <f aca="false">IF(OR('02_投資成本_CAPEX'!$C18="",'02_投資成本_CAPEX'!$N18=0),0,IF(AND(3&gt;=1,3&lt;='02_投資成本_CAPEX'!$N18),$F17/'02_投資成本_CAPEX'!$N18,0)+IF(AND('02_投資成本_CAPEX'!$O18&gt;0,3&gt;='02_投資成本_CAPEX'!$O18,3&lt;='02_投資成本_CAPEX'!$O18+'02_投資成本_CAPEX'!$N18-1),$F17/'02_投資成本_CAPEX'!$N18,0))</f>
        <v>241.604</v>
      </c>
      <c r="J17" s="127" t="n">
        <f aca="false">IF(OR('02_投資成本_CAPEX'!$C18="",'02_投資成本_CAPEX'!$N18=0),0,IF(AND(4&gt;=1,4&lt;='02_投資成本_CAPEX'!$N18),$F17/'02_投資成本_CAPEX'!$N18,0)+IF(AND('02_投資成本_CAPEX'!$O18&gt;0,4&gt;='02_投資成本_CAPEX'!$O18,4&lt;='02_投資成本_CAPEX'!$O18+'02_投資成本_CAPEX'!$N18-1),$F17/'02_投資成本_CAPEX'!$N18,0))</f>
        <v>241.604</v>
      </c>
      <c r="K17" s="127" t="n">
        <f aca="false">IF(OR('02_投資成本_CAPEX'!$C18="",'02_投資成本_CAPEX'!$N18=0),0,IF(AND(5&gt;=1,5&lt;='02_投資成本_CAPEX'!$N18),$F17/'02_投資成本_CAPEX'!$N18,0)+IF(AND('02_投資成本_CAPEX'!$O18&gt;0,5&gt;='02_投資成本_CAPEX'!$O18,5&lt;='02_投資成本_CAPEX'!$O18+'02_投資成本_CAPEX'!$N18-1),$F17/'02_投資成本_CAPEX'!$N18,0))</f>
        <v>483.208</v>
      </c>
      <c r="L17" s="127" t="n">
        <f aca="false">IF(OR('02_投資成本_CAPEX'!$C18="",'02_投資成本_CAPEX'!$N18=0),0,IF(AND(6&gt;=1,6&lt;='02_投資成本_CAPEX'!$N18),$F17/'02_投資成本_CAPEX'!$N18,0)+IF(AND('02_投資成本_CAPEX'!$O18&gt;0,6&gt;='02_投資成本_CAPEX'!$O18,6&lt;='02_投資成本_CAPEX'!$O18+'02_投資成本_CAPEX'!$N18-1),$F17/'02_投資成本_CAPEX'!$N18,0))</f>
        <v>241.604</v>
      </c>
      <c r="M17" s="127" t="n">
        <f aca="false">IF(OR('02_投資成本_CAPEX'!$C18="",'02_投資成本_CAPEX'!$N18=0),0,IF(AND(7&gt;=1,7&lt;='02_投資成本_CAPEX'!$N18),$F17/'02_投資成本_CAPEX'!$N18,0)+IF(AND('02_投資成本_CAPEX'!$O18&gt;0,7&gt;='02_投資成本_CAPEX'!$O18,7&lt;='02_投資成本_CAPEX'!$O18+'02_投資成本_CAPEX'!$N18-1),$F17/'02_投資成本_CAPEX'!$N18,0))</f>
        <v>241.604</v>
      </c>
      <c r="N17" s="127" t="n">
        <f aca="false">IF(OR('02_投資成本_CAPEX'!$C18="",'02_投資成本_CAPEX'!$N18=0),0,IF(AND(8&gt;=1,8&lt;='02_投資成本_CAPEX'!$N18),$F17/'02_投資成本_CAPEX'!$N18,0)+IF(AND('02_投資成本_CAPEX'!$O18&gt;0,8&gt;='02_投資成本_CAPEX'!$O18,8&lt;='02_投資成本_CAPEX'!$O18+'02_投資成本_CAPEX'!$N18-1),$F17/'02_投資成本_CAPEX'!$N18,0))</f>
        <v>241.604</v>
      </c>
      <c r="O17" s="127" t="n">
        <f aca="false">IF(OR('02_投資成本_CAPEX'!$C18="",'02_投資成本_CAPEX'!$N18=0),0,IF(AND(9&gt;=1,9&lt;='02_投資成本_CAPEX'!$N18),$F17/'02_投資成本_CAPEX'!$N18,0)+IF(AND('02_投資成本_CAPEX'!$O18&gt;0,9&gt;='02_投資成本_CAPEX'!$O18,9&lt;='02_投資成本_CAPEX'!$O18+'02_投資成本_CAPEX'!$N18-1),$F17/'02_投資成本_CAPEX'!$N18,0))</f>
        <v>241.604</v>
      </c>
      <c r="P17" s="127" t="n">
        <f aca="false">IF(OR('02_投資成本_CAPEX'!$C18="",'02_投資成本_CAPEX'!$N18=0),0,IF(AND(10&gt;=1,10&lt;='02_投資成本_CAPEX'!$N18),$F17/'02_投資成本_CAPEX'!$N18,0)+IF(AND('02_投資成本_CAPEX'!$O18&gt;0,10&gt;='02_投資成本_CAPEX'!$O18,10&lt;='02_投資成本_CAPEX'!$O18+'02_投資成本_CAPEX'!$N18-1),$F17/'02_投資成本_CAPEX'!$N18,0))</f>
        <v>0</v>
      </c>
    </row>
    <row r="18" customFormat="false" ht="15.75" hidden="false" customHeight="true" outlineLevel="0" collapsed="false">
      <c r="A18" s="123" t="n">
        <f aca="false">IF('02_投資成本_CAPEX'!$C19="","",'02_投資成本_CAPEX'!$A19)</f>
        <v>14</v>
      </c>
      <c r="B18" s="124" t="str">
        <f aca="false">IF('02_投資成本_CAPEX'!$C19="","",'02_投資成本_CAPEX'!$C19)</f>
        <v>資安與個資合規建置（PDPL 91/2025）</v>
      </c>
      <c r="C18" s="124" t="str">
        <f aca="false">IF('02_投資成本_CAPEX'!$C19="","",'02_投資成本_CAPEX'!$M19)</f>
        <v>費用化 Expensed</v>
      </c>
      <c r="D18" s="125" t="n">
        <f aca="false">IF('02_投資成本_CAPEX'!$C19="","",'02_投資成本_CAPEX'!$N19)</f>
        <v>0</v>
      </c>
      <c r="E18" s="125" t="n">
        <f aca="false">IF('02_投資成本_CAPEX'!$C19="","",'02_投資成本_CAPEX'!$O19)</f>
        <v>0</v>
      </c>
      <c r="F18" s="126" t="n">
        <f aca="false">IF('02_投資成本_CAPEX'!$C19="",0,'02_投資成本_CAPEX'!$L19*(1-'02_投資成本_CAPEX'!$P19)*'01_專案設定_Setup'!$B$30)</f>
        <v>1604.664</v>
      </c>
      <c r="G18" s="127" t="n">
        <f aca="false">IF(OR('02_投資成本_CAPEX'!$C19="",'02_投資成本_CAPEX'!$N19=0),0,IF(AND(1&gt;=1,1&lt;='02_投資成本_CAPEX'!$N19),$F18/'02_投資成本_CAPEX'!$N19,0)+IF(AND('02_投資成本_CAPEX'!$O19&gt;0,1&gt;='02_投資成本_CAPEX'!$O19,1&lt;='02_投資成本_CAPEX'!$O19+'02_投資成本_CAPEX'!$N19-1),$F18/'02_投資成本_CAPEX'!$N19,0))</f>
        <v>0</v>
      </c>
      <c r="H18" s="127" t="n">
        <f aca="false">IF(OR('02_投資成本_CAPEX'!$C19="",'02_投資成本_CAPEX'!$N19=0),0,IF(AND(2&gt;=1,2&lt;='02_投資成本_CAPEX'!$N19),$F18/'02_投資成本_CAPEX'!$N19,0)+IF(AND('02_投資成本_CAPEX'!$O19&gt;0,2&gt;='02_投資成本_CAPEX'!$O19,2&lt;='02_投資成本_CAPEX'!$O19+'02_投資成本_CAPEX'!$N19-1),$F18/'02_投資成本_CAPEX'!$N19,0))</f>
        <v>0</v>
      </c>
      <c r="I18" s="127" t="n">
        <f aca="false">IF(OR('02_投資成本_CAPEX'!$C19="",'02_投資成本_CAPEX'!$N19=0),0,IF(AND(3&gt;=1,3&lt;='02_投資成本_CAPEX'!$N19),$F18/'02_投資成本_CAPEX'!$N19,0)+IF(AND('02_投資成本_CAPEX'!$O19&gt;0,3&gt;='02_投資成本_CAPEX'!$O19,3&lt;='02_投資成本_CAPEX'!$O19+'02_投資成本_CAPEX'!$N19-1),$F18/'02_投資成本_CAPEX'!$N19,0))</f>
        <v>0</v>
      </c>
      <c r="J18" s="127" t="n">
        <f aca="false">IF(OR('02_投資成本_CAPEX'!$C19="",'02_投資成本_CAPEX'!$N19=0),0,IF(AND(4&gt;=1,4&lt;='02_投資成本_CAPEX'!$N19),$F18/'02_投資成本_CAPEX'!$N19,0)+IF(AND('02_投資成本_CAPEX'!$O19&gt;0,4&gt;='02_投資成本_CAPEX'!$O19,4&lt;='02_投資成本_CAPEX'!$O19+'02_投資成本_CAPEX'!$N19-1),$F18/'02_投資成本_CAPEX'!$N19,0))</f>
        <v>0</v>
      </c>
      <c r="K18" s="127" t="n">
        <f aca="false">IF(OR('02_投資成本_CAPEX'!$C19="",'02_投資成本_CAPEX'!$N19=0),0,IF(AND(5&gt;=1,5&lt;='02_投資成本_CAPEX'!$N19),$F18/'02_投資成本_CAPEX'!$N19,0)+IF(AND('02_投資成本_CAPEX'!$O19&gt;0,5&gt;='02_投資成本_CAPEX'!$O19,5&lt;='02_投資成本_CAPEX'!$O19+'02_投資成本_CAPEX'!$N19-1),$F18/'02_投資成本_CAPEX'!$N19,0))</f>
        <v>0</v>
      </c>
      <c r="L18" s="127" t="n">
        <f aca="false">IF(OR('02_投資成本_CAPEX'!$C19="",'02_投資成本_CAPEX'!$N19=0),0,IF(AND(6&gt;=1,6&lt;='02_投資成本_CAPEX'!$N19),$F18/'02_投資成本_CAPEX'!$N19,0)+IF(AND('02_投資成本_CAPEX'!$O19&gt;0,6&gt;='02_投資成本_CAPEX'!$O19,6&lt;='02_投資成本_CAPEX'!$O19+'02_投資成本_CAPEX'!$N19-1),$F18/'02_投資成本_CAPEX'!$N19,0))</f>
        <v>0</v>
      </c>
      <c r="M18" s="127" t="n">
        <f aca="false">IF(OR('02_投資成本_CAPEX'!$C19="",'02_投資成本_CAPEX'!$N19=0),0,IF(AND(7&gt;=1,7&lt;='02_投資成本_CAPEX'!$N19),$F18/'02_投資成本_CAPEX'!$N19,0)+IF(AND('02_投資成本_CAPEX'!$O19&gt;0,7&gt;='02_投資成本_CAPEX'!$O19,7&lt;='02_投資成本_CAPEX'!$O19+'02_投資成本_CAPEX'!$N19-1),$F18/'02_投資成本_CAPEX'!$N19,0))</f>
        <v>0</v>
      </c>
      <c r="N18" s="127" t="n">
        <f aca="false">IF(OR('02_投資成本_CAPEX'!$C19="",'02_投資成本_CAPEX'!$N19=0),0,IF(AND(8&gt;=1,8&lt;='02_投資成本_CAPEX'!$N19),$F18/'02_投資成本_CAPEX'!$N19,0)+IF(AND('02_投資成本_CAPEX'!$O19&gt;0,8&gt;='02_投資成本_CAPEX'!$O19,8&lt;='02_投資成本_CAPEX'!$O19+'02_投資成本_CAPEX'!$N19-1),$F18/'02_投資成本_CAPEX'!$N19,0))</f>
        <v>0</v>
      </c>
      <c r="O18" s="127" t="n">
        <f aca="false">IF(OR('02_投資成本_CAPEX'!$C19="",'02_投資成本_CAPEX'!$N19=0),0,IF(AND(9&gt;=1,9&lt;='02_投資成本_CAPEX'!$N19),$F18/'02_投資成本_CAPEX'!$N19,0)+IF(AND('02_投資成本_CAPEX'!$O19&gt;0,9&gt;='02_投資成本_CAPEX'!$O19,9&lt;='02_投資成本_CAPEX'!$O19+'02_投資成本_CAPEX'!$N19-1),$F18/'02_投資成本_CAPEX'!$N19,0))</f>
        <v>0</v>
      </c>
      <c r="P18" s="127" t="n">
        <f aca="false">IF(OR('02_投資成本_CAPEX'!$C19="",'02_投資成本_CAPEX'!$N19=0),0,IF(AND(10&gt;=1,10&lt;='02_投資成本_CAPEX'!$N19),$F18/'02_投資成本_CAPEX'!$N19,0)+IF(AND('02_投資成本_CAPEX'!$O19&gt;0,10&gt;='02_投資成本_CAPEX'!$O19,10&lt;='02_投資成本_CAPEX'!$O19+'02_投資成本_CAPEX'!$N19-1),$F18/'02_投資成本_CAPEX'!$N19,0))</f>
        <v>0</v>
      </c>
    </row>
    <row r="19" customFormat="false" ht="15.75" hidden="false" customHeight="true" outlineLevel="0" collapsed="false">
      <c r="A19" s="123" t="n">
        <f aca="false">IF('02_投資成本_CAPEX'!$C20="","",'02_投資成本_CAPEX'!$A20)</f>
        <v>15</v>
      </c>
      <c r="B19" s="124" t="str">
        <f aca="false">IF('02_投資成本_CAPEX'!$C20="","",'02_投資成本_CAPEX'!$C20)</f>
        <v>專案管理與 EMR 分級驗收顧問</v>
      </c>
      <c r="C19" s="124" t="str">
        <f aca="false">IF('02_投資成本_CAPEX'!$C20="","",'02_投資成本_CAPEX'!$M20)</f>
        <v>費用化 Expensed</v>
      </c>
      <c r="D19" s="125" t="n">
        <f aca="false">IF('02_投資成本_CAPEX'!$C20="","",'02_投資成本_CAPEX'!$N20)</f>
        <v>0</v>
      </c>
      <c r="E19" s="125" t="n">
        <f aca="false">IF('02_投資成本_CAPEX'!$C20="","",'02_投資成本_CAPEX'!$O20)</f>
        <v>0</v>
      </c>
      <c r="F19" s="126" t="n">
        <f aca="false">IF('02_投資成本_CAPEX'!$C20="",0,'02_投資成本_CAPEX'!$L20*(1-'02_投資成本_CAPEX'!$P20)*'01_專案設定_Setup'!$B$30)</f>
        <v>1813.968</v>
      </c>
      <c r="G19" s="127" t="n">
        <f aca="false">IF(OR('02_投資成本_CAPEX'!$C20="",'02_投資成本_CAPEX'!$N20=0),0,IF(AND(1&gt;=1,1&lt;='02_投資成本_CAPEX'!$N20),$F19/'02_投資成本_CAPEX'!$N20,0)+IF(AND('02_投資成本_CAPEX'!$O20&gt;0,1&gt;='02_投資成本_CAPEX'!$O20,1&lt;='02_投資成本_CAPEX'!$O20+'02_投資成本_CAPEX'!$N20-1),$F19/'02_投資成本_CAPEX'!$N20,0))</f>
        <v>0</v>
      </c>
      <c r="H19" s="127" t="n">
        <f aca="false">IF(OR('02_投資成本_CAPEX'!$C20="",'02_投資成本_CAPEX'!$N20=0),0,IF(AND(2&gt;=1,2&lt;='02_投資成本_CAPEX'!$N20),$F19/'02_投資成本_CAPEX'!$N20,0)+IF(AND('02_投資成本_CAPEX'!$O20&gt;0,2&gt;='02_投資成本_CAPEX'!$O20,2&lt;='02_投資成本_CAPEX'!$O20+'02_投資成本_CAPEX'!$N20-1),$F19/'02_投資成本_CAPEX'!$N20,0))</f>
        <v>0</v>
      </c>
      <c r="I19" s="127" t="n">
        <f aca="false">IF(OR('02_投資成本_CAPEX'!$C20="",'02_投資成本_CAPEX'!$N20=0),0,IF(AND(3&gt;=1,3&lt;='02_投資成本_CAPEX'!$N20),$F19/'02_投資成本_CAPEX'!$N20,0)+IF(AND('02_投資成本_CAPEX'!$O20&gt;0,3&gt;='02_投資成本_CAPEX'!$O20,3&lt;='02_投資成本_CAPEX'!$O20+'02_投資成本_CAPEX'!$N20-1),$F19/'02_投資成本_CAPEX'!$N20,0))</f>
        <v>0</v>
      </c>
      <c r="J19" s="127" t="n">
        <f aca="false">IF(OR('02_投資成本_CAPEX'!$C20="",'02_投資成本_CAPEX'!$N20=0),0,IF(AND(4&gt;=1,4&lt;='02_投資成本_CAPEX'!$N20),$F19/'02_投資成本_CAPEX'!$N20,0)+IF(AND('02_投資成本_CAPEX'!$O20&gt;0,4&gt;='02_投資成本_CAPEX'!$O20,4&lt;='02_投資成本_CAPEX'!$O20+'02_投資成本_CAPEX'!$N20-1),$F19/'02_投資成本_CAPEX'!$N20,0))</f>
        <v>0</v>
      </c>
      <c r="K19" s="127" t="n">
        <f aca="false">IF(OR('02_投資成本_CAPEX'!$C20="",'02_投資成本_CAPEX'!$N20=0),0,IF(AND(5&gt;=1,5&lt;='02_投資成本_CAPEX'!$N20),$F19/'02_投資成本_CAPEX'!$N20,0)+IF(AND('02_投資成本_CAPEX'!$O20&gt;0,5&gt;='02_投資成本_CAPEX'!$O20,5&lt;='02_投資成本_CAPEX'!$O20+'02_投資成本_CAPEX'!$N20-1),$F19/'02_投資成本_CAPEX'!$N20,0))</f>
        <v>0</v>
      </c>
      <c r="L19" s="127" t="n">
        <f aca="false">IF(OR('02_投資成本_CAPEX'!$C20="",'02_投資成本_CAPEX'!$N20=0),0,IF(AND(6&gt;=1,6&lt;='02_投資成本_CAPEX'!$N20),$F19/'02_投資成本_CAPEX'!$N20,0)+IF(AND('02_投資成本_CAPEX'!$O20&gt;0,6&gt;='02_投資成本_CAPEX'!$O20,6&lt;='02_投資成本_CAPEX'!$O20+'02_投資成本_CAPEX'!$N20-1),$F19/'02_投資成本_CAPEX'!$N20,0))</f>
        <v>0</v>
      </c>
      <c r="M19" s="127" t="n">
        <f aca="false">IF(OR('02_投資成本_CAPEX'!$C20="",'02_投資成本_CAPEX'!$N20=0),0,IF(AND(7&gt;=1,7&lt;='02_投資成本_CAPEX'!$N20),$F19/'02_投資成本_CAPEX'!$N20,0)+IF(AND('02_投資成本_CAPEX'!$O20&gt;0,7&gt;='02_投資成本_CAPEX'!$O20,7&lt;='02_投資成本_CAPEX'!$O20+'02_投資成本_CAPEX'!$N20-1),$F19/'02_投資成本_CAPEX'!$N20,0))</f>
        <v>0</v>
      </c>
      <c r="N19" s="127" t="n">
        <f aca="false">IF(OR('02_投資成本_CAPEX'!$C20="",'02_投資成本_CAPEX'!$N20=0),0,IF(AND(8&gt;=1,8&lt;='02_投資成本_CAPEX'!$N20),$F19/'02_投資成本_CAPEX'!$N20,0)+IF(AND('02_投資成本_CAPEX'!$O20&gt;0,8&gt;='02_投資成本_CAPEX'!$O20,8&lt;='02_投資成本_CAPEX'!$O20+'02_投資成本_CAPEX'!$N20-1),$F19/'02_投資成本_CAPEX'!$N20,0))</f>
        <v>0</v>
      </c>
      <c r="O19" s="127" t="n">
        <f aca="false">IF(OR('02_投資成本_CAPEX'!$C20="",'02_投資成本_CAPEX'!$N20=0),0,IF(AND(9&gt;=1,9&lt;='02_投資成本_CAPEX'!$N20),$F19/'02_投資成本_CAPEX'!$N20,0)+IF(AND('02_投資成本_CAPEX'!$O20&gt;0,9&gt;='02_投資成本_CAPEX'!$O20,9&lt;='02_投資成本_CAPEX'!$O20+'02_投資成本_CAPEX'!$N20-1),$F19/'02_投資成本_CAPEX'!$N20,0))</f>
        <v>0</v>
      </c>
      <c r="P19" s="127" t="n">
        <f aca="false">IF(OR('02_投資成本_CAPEX'!$C20="",'02_投資成本_CAPEX'!$N20=0),0,IF(AND(10&gt;=1,10&lt;='02_投資成本_CAPEX'!$N20),$F19/'02_投資成本_CAPEX'!$N20,0)+IF(AND('02_投資成本_CAPEX'!$O20&gt;0,10&gt;='02_投資成本_CAPEX'!$O20,10&lt;='02_投資成本_CAPEX'!$O20+'02_投資成本_CAPEX'!$N20-1),$F19/'02_投資成本_CAPEX'!$N20,0))</f>
        <v>0</v>
      </c>
    </row>
    <row r="20" customFormat="false" ht="15.75" hidden="false" customHeight="true" outlineLevel="0" collapsed="false">
      <c r="A20" s="123" t="n">
        <f aca="false">IF('02_投資成本_CAPEX'!$C21="","",'02_投資成本_CAPEX'!$A21)</f>
        <v>16</v>
      </c>
      <c r="B20" s="124" t="str">
        <f aca="false">IF('02_投資成本_CAPEX'!$C21="","",'02_投資成本_CAPEX'!$C21)</f>
        <v>不可預見費 Contingency</v>
      </c>
      <c r="C20" s="124" t="str">
        <f aca="false">IF('02_投資成本_CAPEX'!$C21="","",'02_投資成本_CAPEX'!$M21)</f>
        <v>費用化 Expensed</v>
      </c>
      <c r="D20" s="125" t="n">
        <f aca="false">IF('02_投資成本_CAPEX'!$C21="","",'02_投資成本_CAPEX'!$N21)</f>
        <v>0</v>
      </c>
      <c r="E20" s="125" t="n">
        <f aca="false">IF('02_投資成本_CAPEX'!$C21="","",'02_投資成本_CAPEX'!$O21)</f>
        <v>0</v>
      </c>
      <c r="F20" s="126" t="n">
        <f aca="false">IF('02_投資成本_CAPEX'!$C21="",0,'02_投資成本_CAPEX'!$L21*(1-'02_投資成本_CAPEX'!$P21)*'01_專案設定_Setup'!$B$30)</f>
        <v>2268</v>
      </c>
      <c r="G20" s="127" t="n">
        <f aca="false">IF(OR('02_投資成本_CAPEX'!$C21="",'02_投資成本_CAPEX'!$N21=0),0,IF(AND(1&gt;=1,1&lt;='02_投資成本_CAPEX'!$N21),$F20/'02_投資成本_CAPEX'!$N21,0)+IF(AND('02_投資成本_CAPEX'!$O21&gt;0,1&gt;='02_投資成本_CAPEX'!$O21,1&lt;='02_投資成本_CAPEX'!$O21+'02_投資成本_CAPEX'!$N21-1),$F20/'02_投資成本_CAPEX'!$N21,0))</f>
        <v>0</v>
      </c>
      <c r="H20" s="127" t="n">
        <f aca="false">IF(OR('02_投資成本_CAPEX'!$C21="",'02_投資成本_CAPEX'!$N21=0),0,IF(AND(2&gt;=1,2&lt;='02_投資成本_CAPEX'!$N21),$F20/'02_投資成本_CAPEX'!$N21,0)+IF(AND('02_投資成本_CAPEX'!$O21&gt;0,2&gt;='02_投資成本_CAPEX'!$O21,2&lt;='02_投資成本_CAPEX'!$O21+'02_投資成本_CAPEX'!$N21-1),$F20/'02_投資成本_CAPEX'!$N21,0))</f>
        <v>0</v>
      </c>
      <c r="I20" s="127" t="n">
        <f aca="false">IF(OR('02_投資成本_CAPEX'!$C21="",'02_投資成本_CAPEX'!$N21=0),0,IF(AND(3&gt;=1,3&lt;='02_投資成本_CAPEX'!$N21),$F20/'02_投資成本_CAPEX'!$N21,0)+IF(AND('02_投資成本_CAPEX'!$O21&gt;0,3&gt;='02_投資成本_CAPEX'!$O21,3&lt;='02_投資成本_CAPEX'!$O21+'02_投資成本_CAPEX'!$N21-1),$F20/'02_投資成本_CAPEX'!$N21,0))</f>
        <v>0</v>
      </c>
      <c r="J20" s="127" t="n">
        <f aca="false">IF(OR('02_投資成本_CAPEX'!$C21="",'02_投資成本_CAPEX'!$N21=0),0,IF(AND(4&gt;=1,4&lt;='02_投資成本_CAPEX'!$N21),$F20/'02_投資成本_CAPEX'!$N21,0)+IF(AND('02_投資成本_CAPEX'!$O21&gt;0,4&gt;='02_投資成本_CAPEX'!$O21,4&lt;='02_投資成本_CAPEX'!$O21+'02_投資成本_CAPEX'!$N21-1),$F20/'02_投資成本_CAPEX'!$N21,0))</f>
        <v>0</v>
      </c>
      <c r="K20" s="127" t="n">
        <f aca="false">IF(OR('02_投資成本_CAPEX'!$C21="",'02_投資成本_CAPEX'!$N21=0),0,IF(AND(5&gt;=1,5&lt;='02_投資成本_CAPEX'!$N21),$F20/'02_投資成本_CAPEX'!$N21,0)+IF(AND('02_投資成本_CAPEX'!$O21&gt;0,5&gt;='02_投資成本_CAPEX'!$O21,5&lt;='02_投資成本_CAPEX'!$O21+'02_投資成本_CAPEX'!$N21-1),$F20/'02_投資成本_CAPEX'!$N21,0))</f>
        <v>0</v>
      </c>
      <c r="L20" s="127" t="n">
        <f aca="false">IF(OR('02_投資成本_CAPEX'!$C21="",'02_投資成本_CAPEX'!$N21=0),0,IF(AND(6&gt;=1,6&lt;='02_投資成本_CAPEX'!$N21),$F20/'02_投資成本_CAPEX'!$N21,0)+IF(AND('02_投資成本_CAPEX'!$O21&gt;0,6&gt;='02_投資成本_CAPEX'!$O21,6&lt;='02_投資成本_CAPEX'!$O21+'02_投資成本_CAPEX'!$N21-1),$F20/'02_投資成本_CAPEX'!$N21,0))</f>
        <v>0</v>
      </c>
      <c r="M20" s="127" t="n">
        <f aca="false">IF(OR('02_投資成本_CAPEX'!$C21="",'02_投資成本_CAPEX'!$N21=0),0,IF(AND(7&gt;=1,7&lt;='02_投資成本_CAPEX'!$N21),$F20/'02_投資成本_CAPEX'!$N21,0)+IF(AND('02_投資成本_CAPEX'!$O21&gt;0,7&gt;='02_投資成本_CAPEX'!$O21,7&lt;='02_投資成本_CAPEX'!$O21+'02_投資成本_CAPEX'!$N21-1),$F20/'02_投資成本_CAPEX'!$N21,0))</f>
        <v>0</v>
      </c>
      <c r="N20" s="127" t="n">
        <f aca="false">IF(OR('02_投資成本_CAPEX'!$C21="",'02_投資成本_CAPEX'!$N21=0),0,IF(AND(8&gt;=1,8&lt;='02_投資成本_CAPEX'!$N21),$F20/'02_投資成本_CAPEX'!$N21,0)+IF(AND('02_投資成本_CAPEX'!$O21&gt;0,8&gt;='02_投資成本_CAPEX'!$O21,8&lt;='02_投資成本_CAPEX'!$O21+'02_投資成本_CAPEX'!$N21-1),$F20/'02_投資成本_CAPEX'!$N21,0))</f>
        <v>0</v>
      </c>
      <c r="O20" s="127" t="n">
        <f aca="false">IF(OR('02_投資成本_CAPEX'!$C21="",'02_投資成本_CAPEX'!$N21=0),0,IF(AND(9&gt;=1,9&lt;='02_投資成本_CAPEX'!$N21),$F20/'02_投資成本_CAPEX'!$N21,0)+IF(AND('02_投資成本_CAPEX'!$O21&gt;0,9&gt;='02_投資成本_CAPEX'!$O21,9&lt;='02_投資成本_CAPEX'!$O21+'02_投資成本_CAPEX'!$N21-1),$F20/'02_投資成本_CAPEX'!$N21,0))</f>
        <v>0</v>
      </c>
      <c r="P20" s="127" t="n">
        <f aca="false">IF(OR('02_投資成本_CAPEX'!$C21="",'02_投資成本_CAPEX'!$N21=0),0,IF(AND(10&gt;=1,10&lt;='02_投資成本_CAPEX'!$N21),$F20/'02_投資成本_CAPEX'!$N21,0)+IF(AND('02_投資成本_CAPEX'!$O21&gt;0,10&gt;='02_投資成本_CAPEX'!$O21,10&lt;='02_投資成本_CAPEX'!$O21+'02_投資成本_CAPEX'!$N21-1),$F20/'02_投資成本_CAPEX'!$N21,0))</f>
        <v>0</v>
      </c>
    </row>
    <row r="21" customFormat="false" ht="15.75" hidden="false" customHeight="true" outlineLevel="0" collapsed="false">
      <c r="A21" s="123" t="str">
        <f aca="false">IF('02_投資成本_CAPEX'!$C22="","",'02_投資成本_CAPEX'!$A22)</f>
        <v/>
      </c>
      <c r="B21" s="124" t="str">
        <f aca="false">IF('02_投資成本_CAPEX'!$C22="","",'02_投資成本_CAPEX'!$C22)</f>
        <v/>
      </c>
      <c r="C21" s="124" t="str">
        <f aca="false">IF('02_投資成本_CAPEX'!$C22="","",'02_投資成本_CAPEX'!$M22)</f>
        <v/>
      </c>
      <c r="D21" s="124" t="str">
        <f aca="false">IF('02_投資成本_CAPEX'!$C22="","",'02_投資成本_CAPEX'!$N22)</f>
        <v/>
      </c>
      <c r="E21" s="124" t="str">
        <f aca="false">IF('02_投資成本_CAPEX'!$C22="","",'02_投資成本_CAPEX'!$O22)</f>
        <v/>
      </c>
      <c r="F21" s="126" t="n">
        <f aca="false">IF('02_投資成本_CAPEX'!$C22="",0,'02_投資成本_CAPEX'!$L22*(1-'02_投資成本_CAPEX'!$P22)*'01_專案設定_Setup'!$B$30)</f>
        <v>0</v>
      </c>
      <c r="G21" s="127" t="n">
        <f aca="false">IF(OR('02_投資成本_CAPEX'!$C22="",'02_投資成本_CAPEX'!$N22=0),0,IF(AND(1&gt;=1,1&lt;='02_投資成本_CAPEX'!$N22),$F21/'02_投資成本_CAPEX'!$N22,0)+IF(AND('02_投資成本_CAPEX'!$O22&gt;0,1&gt;='02_投資成本_CAPEX'!$O22,1&lt;='02_投資成本_CAPEX'!$O22+'02_投資成本_CAPEX'!$N22-1),$F21/'02_投資成本_CAPEX'!$N22,0))</f>
        <v>0</v>
      </c>
      <c r="H21" s="127" t="n">
        <f aca="false">IF(OR('02_投資成本_CAPEX'!$C22="",'02_投資成本_CAPEX'!$N22=0),0,IF(AND(2&gt;=1,2&lt;='02_投資成本_CAPEX'!$N22),$F21/'02_投資成本_CAPEX'!$N22,0)+IF(AND('02_投資成本_CAPEX'!$O22&gt;0,2&gt;='02_投資成本_CAPEX'!$O22,2&lt;='02_投資成本_CAPEX'!$O22+'02_投資成本_CAPEX'!$N22-1),$F21/'02_投資成本_CAPEX'!$N22,0))</f>
        <v>0</v>
      </c>
      <c r="I21" s="127" t="n">
        <f aca="false">IF(OR('02_投資成本_CAPEX'!$C22="",'02_投資成本_CAPEX'!$N22=0),0,IF(AND(3&gt;=1,3&lt;='02_投資成本_CAPEX'!$N22),$F21/'02_投資成本_CAPEX'!$N22,0)+IF(AND('02_投資成本_CAPEX'!$O22&gt;0,3&gt;='02_投資成本_CAPEX'!$O22,3&lt;='02_投資成本_CAPEX'!$O22+'02_投資成本_CAPEX'!$N22-1),$F21/'02_投資成本_CAPEX'!$N22,0))</f>
        <v>0</v>
      </c>
      <c r="J21" s="127" t="n">
        <f aca="false">IF(OR('02_投資成本_CAPEX'!$C22="",'02_投資成本_CAPEX'!$N22=0),0,IF(AND(4&gt;=1,4&lt;='02_投資成本_CAPEX'!$N22),$F21/'02_投資成本_CAPEX'!$N22,0)+IF(AND('02_投資成本_CAPEX'!$O22&gt;0,4&gt;='02_投資成本_CAPEX'!$O22,4&lt;='02_投資成本_CAPEX'!$O22+'02_投資成本_CAPEX'!$N22-1),$F21/'02_投資成本_CAPEX'!$N22,0))</f>
        <v>0</v>
      </c>
      <c r="K21" s="127" t="n">
        <f aca="false">IF(OR('02_投資成本_CAPEX'!$C22="",'02_投資成本_CAPEX'!$N22=0),0,IF(AND(5&gt;=1,5&lt;='02_投資成本_CAPEX'!$N22),$F21/'02_投資成本_CAPEX'!$N22,0)+IF(AND('02_投資成本_CAPEX'!$O22&gt;0,5&gt;='02_投資成本_CAPEX'!$O22,5&lt;='02_投資成本_CAPEX'!$O22+'02_投資成本_CAPEX'!$N22-1),$F21/'02_投資成本_CAPEX'!$N22,0))</f>
        <v>0</v>
      </c>
      <c r="L21" s="127" t="n">
        <f aca="false">IF(OR('02_投資成本_CAPEX'!$C22="",'02_投資成本_CAPEX'!$N22=0),0,IF(AND(6&gt;=1,6&lt;='02_投資成本_CAPEX'!$N22),$F21/'02_投資成本_CAPEX'!$N22,0)+IF(AND('02_投資成本_CAPEX'!$O22&gt;0,6&gt;='02_投資成本_CAPEX'!$O22,6&lt;='02_投資成本_CAPEX'!$O22+'02_投資成本_CAPEX'!$N22-1),$F21/'02_投資成本_CAPEX'!$N22,0))</f>
        <v>0</v>
      </c>
      <c r="M21" s="127" t="n">
        <f aca="false">IF(OR('02_投資成本_CAPEX'!$C22="",'02_投資成本_CAPEX'!$N22=0),0,IF(AND(7&gt;=1,7&lt;='02_投資成本_CAPEX'!$N22),$F21/'02_投資成本_CAPEX'!$N22,0)+IF(AND('02_投資成本_CAPEX'!$O22&gt;0,7&gt;='02_投資成本_CAPEX'!$O22,7&lt;='02_投資成本_CAPEX'!$O22+'02_投資成本_CAPEX'!$N22-1),$F21/'02_投資成本_CAPEX'!$N22,0))</f>
        <v>0</v>
      </c>
      <c r="N21" s="127" t="n">
        <f aca="false">IF(OR('02_投資成本_CAPEX'!$C22="",'02_投資成本_CAPEX'!$N22=0),0,IF(AND(8&gt;=1,8&lt;='02_投資成本_CAPEX'!$N22),$F21/'02_投資成本_CAPEX'!$N22,0)+IF(AND('02_投資成本_CAPEX'!$O22&gt;0,8&gt;='02_投資成本_CAPEX'!$O22,8&lt;='02_投資成本_CAPEX'!$O22+'02_投資成本_CAPEX'!$N22-1),$F21/'02_投資成本_CAPEX'!$N22,0))</f>
        <v>0</v>
      </c>
      <c r="O21" s="127" t="n">
        <f aca="false">IF(OR('02_投資成本_CAPEX'!$C22="",'02_投資成本_CAPEX'!$N22=0),0,IF(AND(9&gt;=1,9&lt;='02_投資成本_CAPEX'!$N22),$F21/'02_投資成本_CAPEX'!$N22,0)+IF(AND('02_投資成本_CAPEX'!$O22&gt;0,9&gt;='02_投資成本_CAPEX'!$O22,9&lt;='02_投資成本_CAPEX'!$O22+'02_投資成本_CAPEX'!$N22-1),$F21/'02_投資成本_CAPEX'!$N22,0))</f>
        <v>0</v>
      </c>
      <c r="P21" s="127" t="n">
        <f aca="false">IF(OR('02_投資成本_CAPEX'!$C22="",'02_投資成本_CAPEX'!$N22=0),0,IF(AND(10&gt;=1,10&lt;='02_投資成本_CAPEX'!$N22),$F21/'02_投資成本_CAPEX'!$N22,0)+IF(AND('02_投資成本_CAPEX'!$O22&gt;0,10&gt;='02_投資成本_CAPEX'!$O22,10&lt;='02_投資成本_CAPEX'!$O22+'02_投資成本_CAPEX'!$N22-1),$F21/'02_投資成本_CAPEX'!$N22,0))</f>
        <v>0</v>
      </c>
    </row>
    <row r="22" customFormat="false" ht="15.75" hidden="false" customHeight="true" outlineLevel="0" collapsed="false">
      <c r="A22" s="123" t="str">
        <f aca="false">IF('02_投資成本_CAPEX'!$C23="","",'02_投資成本_CAPEX'!$A23)</f>
        <v/>
      </c>
      <c r="B22" s="124" t="str">
        <f aca="false">IF('02_投資成本_CAPEX'!$C23="","",'02_投資成本_CAPEX'!$C23)</f>
        <v/>
      </c>
      <c r="C22" s="124" t="str">
        <f aca="false">IF('02_投資成本_CAPEX'!$C23="","",'02_投資成本_CAPEX'!$M23)</f>
        <v/>
      </c>
      <c r="D22" s="124" t="str">
        <f aca="false">IF('02_投資成本_CAPEX'!$C23="","",'02_投資成本_CAPEX'!$N23)</f>
        <v/>
      </c>
      <c r="E22" s="124" t="str">
        <f aca="false">IF('02_投資成本_CAPEX'!$C23="","",'02_投資成本_CAPEX'!$O23)</f>
        <v/>
      </c>
      <c r="F22" s="126" t="n">
        <f aca="false">IF('02_投資成本_CAPEX'!$C23="",0,'02_投資成本_CAPEX'!$L23*(1-'02_投資成本_CAPEX'!$P23)*'01_專案設定_Setup'!$B$30)</f>
        <v>0</v>
      </c>
      <c r="G22" s="127" t="n">
        <f aca="false">IF(OR('02_投資成本_CAPEX'!$C23="",'02_投資成本_CAPEX'!$N23=0),0,IF(AND(1&gt;=1,1&lt;='02_投資成本_CAPEX'!$N23),$F22/'02_投資成本_CAPEX'!$N23,0)+IF(AND('02_投資成本_CAPEX'!$O23&gt;0,1&gt;='02_投資成本_CAPEX'!$O23,1&lt;='02_投資成本_CAPEX'!$O23+'02_投資成本_CAPEX'!$N23-1),$F22/'02_投資成本_CAPEX'!$N23,0))</f>
        <v>0</v>
      </c>
      <c r="H22" s="127" t="n">
        <f aca="false">IF(OR('02_投資成本_CAPEX'!$C23="",'02_投資成本_CAPEX'!$N23=0),0,IF(AND(2&gt;=1,2&lt;='02_投資成本_CAPEX'!$N23),$F22/'02_投資成本_CAPEX'!$N23,0)+IF(AND('02_投資成本_CAPEX'!$O23&gt;0,2&gt;='02_投資成本_CAPEX'!$O23,2&lt;='02_投資成本_CAPEX'!$O23+'02_投資成本_CAPEX'!$N23-1),$F22/'02_投資成本_CAPEX'!$N23,0))</f>
        <v>0</v>
      </c>
      <c r="I22" s="127" t="n">
        <f aca="false">IF(OR('02_投資成本_CAPEX'!$C23="",'02_投資成本_CAPEX'!$N23=0),0,IF(AND(3&gt;=1,3&lt;='02_投資成本_CAPEX'!$N23),$F22/'02_投資成本_CAPEX'!$N23,0)+IF(AND('02_投資成本_CAPEX'!$O23&gt;0,3&gt;='02_投資成本_CAPEX'!$O23,3&lt;='02_投資成本_CAPEX'!$O23+'02_投資成本_CAPEX'!$N23-1),$F22/'02_投資成本_CAPEX'!$N23,0))</f>
        <v>0</v>
      </c>
      <c r="J22" s="127" t="n">
        <f aca="false">IF(OR('02_投資成本_CAPEX'!$C23="",'02_投資成本_CAPEX'!$N23=0),0,IF(AND(4&gt;=1,4&lt;='02_投資成本_CAPEX'!$N23),$F22/'02_投資成本_CAPEX'!$N23,0)+IF(AND('02_投資成本_CAPEX'!$O23&gt;0,4&gt;='02_投資成本_CAPEX'!$O23,4&lt;='02_投資成本_CAPEX'!$O23+'02_投資成本_CAPEX'!$N23-1),$F22/'02_投資成本_CAPEX'!$N23,0))</f>
        <v>0</v>
      </c>
      <c r="K22" s="127" t="n">
        <f aca="false">IF(OR('02_投資成本_CAPEX'!$C23="",'02_投資成本_CAPEX'!$N23=0),0,IF(AND(5&gt;=1,5&lt;='02_投資成本_CAPEX'!$N23),$F22/'02_投資成本_CAPEX'!$N23,0)+IF(AND('02_投資成本_CAPEX'!$O23&gt;0,5&gt;='02_投資成本_CAPEX'!$O23,5&lt;='02_投資成本_CAPEX'!$O23+'02_投資成本_CAPEX'!$N23-1),$F22/'02_投資成本_CAPEX'!$N23,0))</f>
        <v>0</v>
      </c>
      <c r="L22" s="127" t="n">
        <f aca="false">IF(OR('02_投資成本_CAPEX'!$C23="",'02_投資成本_CAPEX'!$N23=0),0,IF(AND(6&gt;=1,6&lt;='02_投資成本_CAPEX'!$N23),$F22/'02_投資成本_CAPEX'!$N23,0)+IF(AND('02_投資成本_CAPEX'!$O23&gt;0,6&gt;='02_投資成本_CAPEX'!$O23,6&lt;='02_投資成本_CAPEX'!$O23+'02_投資成本_CAPEX'!$N23-1),$F22/'02_投資成本_CAPEX'!$N23,0))</f>
        <v>0</v>
      </c>
      <c r="M22" s="127" t="n">
        <f aca="false">IF(OR('02_投資成本_CAPEX'!$C23="",'02_投資成本_CAPEX'!$N23=0),0,IF(AND(7&gt;=1,7&lt;='02_投資成本_CAPEX'!$N23),$F22/'02_投資成本_CAPEX'!$N23,0)+IF(AND('02_投資成本_CAPEX'!$O23&gt;0,7&gt;='02_投資成本_CAPEX'!$O23,7&lt;='02_投資成本_CAPEX'!$O23+'02_投資成本_CAPEX'!$N23-1),$F22/'02_投資成本_CAPEX'!$N23,0))</f>
        <v>0</v>
      </c>
      <c r="N22" s="127" t="n">
        <f aca="false">IF(OR('02_投資成本_CAPEX'!$C23="",'02_投資成本_CAPEX'!$N23=0),0,IF(AND(8&gt;=1,8&lt;='02_投資成本_CAPEX'!$N23),$F22/'02_投資成本_CAPEX'!$N23,0)+IF(AND('02_投資成本_CAPEX'!$O23&gt;0,8&gt;='02_投資成本_CAPEX'!$O23,8&lt;='02_投資成本_CAPEX'!$O23+'02_投資成本_CAPEX'!$N23-1),$F22/'02_投資成本_CAPEX'!$N23,0))</f>
        <v>0</v>
      </c>
      <c r="O22" s="127" t="n">
        <f aca="false">IF(OR('02_投資成本_CAPEX'!$C23="",'02_投資成本_CAPEX'!$N23=0),0,IF(AND(9&gt;=1,9&lt;='02_投資成本_CAPEX'!$N23),$F22/'02_投資成本_CAPEX'!$N23,0)+IF(AND('02_投資成本_CAPEX'!$O23&gt;0,9&gt;='02_投資成本_CAPEX'!$O23,9&lt;='02_投資成本_CAPEX'!$O23+'02_投資成本_CAPEX'!$N23-1),$F22/'02_投資成本_CAPEX'!$N23,0))</f>
        <v>0</v>
      </c>
      <c r="P22" s="127" t="n">
        <f aca="false">IF(OR('02_投資成本_CAPEX'!$C23="",'02_投資成本_CAPEX'!$N23=0),0,IF(AND(10&gt;=1,10&lt;='02_投資成本_CAPEX'!$N23),$F22/'02_投資成本_CAPEX'!$N23,0)+IF(AND('02_投資成本_CAPEX'!$O23&gt;0,10&gt;='02_投資成本_CAPEX'!$O23,10&lt;='02_投資成本_CAPEX'!$O23+'02_投資成本_CAPEX'!$N23-1),$F22/'02_投資成本_CAPEX'!$N23,0))</f>
        <v>0</v>
      </c>
    </row>
    <row r="23" customFormat="false" ht="15.75" hidden="false" customHeight="true" outlineLevel="0" collapsed="false">
      <c r="A23" s="123" t="str">
        <f aca="false">IF('02_投資成本_CAPEX'!$C24="","",'02_投資成本_CAPEX'!$A24)</f>
        <v/>
      </c>
      <c r="B23" s="124" t="str">
        <f aca="false">IF('02_投資成本_CAPEX'!$C24="","",'02_投資成本_CAPEX'!$C24)</f>
        <v/>
      </c>
      <c r="C23" s="124" t="str">
        <f aca="false">IF('02_投資成本_CAPEX'!$C24="","",'02_投資成本_CAPEX'!$M24)</f>
        <v/>
      </c>
      <c r="D23" s="124" t="str">
        <f aca="false">IF('02_投資成本_CAPEX'!$C24="","",'02_投資成本_CAPEX'!$N24)</f>
        <v/>
      </c>
      <c r="E23" s="124" t="str">
        <f aca="false">IF('02_投資成本_CAPEX'!$C24="","",'02_投資成本_CAPEX'!$O24)</f>
        <v/>
      </c>
      <c r="F23" s="126" t="n">
        <f aca="false">IF('02_投資成本_CAPEX'!$C24="",0,'02_投資成本_CAPEX'!$L24*(1-'02_投資成本_CAPEX'!$P24)*'01_專案設定_Setup'!$B$30)</f>
        <v>0</v>
      </c>
      <c r="G23" s="127" t="n">
        <f aca="false">IF(OR('02_投資成本_CAPEX'!$C24="",'02_投資成本_CAPEX'!$N24=0),0,IF(AND(1&gt;=1,1&lt;='02_投資成本_CAPEX'!$N24),$F23/'02_投資成本_CAPEX'!$N24,0)+IF(AND('02_投資成本_CAPEX'!$O24&gt;0,1&gt;='02_投資成本_CAPEX'!$O24,1&lt;='02_投資成本_CAPEX'!$O24+'02_投資成本_CAPEX'!$N24-1),$F23/'02_投資成本_CAPEX'!$N24,0))</f>
        <v>0</v>
      </c>
      <c r="H23" s="127" t="n">
        <f aca="false">IF(OR('02_投資成本_CAPEX'!$C24="",'02_投資成本_CAPEX'!$N24=0),0,IF(AND(2&gt;=1,2&lt;='02_投資成本_CAPEX'!$N24),$F23/'02_投資成本_CAPEX'!$N24,0)+IF(AND('02_投資成本_CAPEX'!$O24&gt;0,2&gt;='02_投資成本_CAPEX'!$O24,2&lt;='02_投資成本_CAPEX'!$O24+'02_投資成本_CAPEX'!$N24-1),$F23/'02_投資成本_CAPEX'!$N24,0))</f>
        <v>0</v>
      </c>
      <c r="I23" s="127" t="n">
        <f aca="false">IF(OR('02_投資成本_CAPEX'!$C24="",'02_投資成本_CAPEX'!$N24=0),0,IF(AND(3&gt;=1,3&lt;='02_投資成本_CAPEX'!$N24),$F23/'02_投資成本_CAPEX'!$N24,0)+IF(AND('02_投資成本_CAPEX'!$O24&gt;0,3&gt;='02_投資成本_CAPEX'!$O24,3&lt;='02_投資成本_CAPEX'!$O24+'02_投資成本_CAPEX'!$N24-1),$F23/'02_投資成本_CAPEX'!$N24,0))</f>
        <v>0</v>
      </c>
      <c r="J23" s="127" t="n">
        <f aca="false">IF(OR('02_投資成本_CAPEX'!$C24="",'02_投資成本_CAPEX'!$N24=0),0,IF(AND(4&gt;=1,4&lt;='02_投資成本_CAPEX'!$N24),$F23/'02_投資成本_CAPEX'!$N24,0)+IF(AND('02_投資成本_CAPEX'!$O24&gt;0,4&gt;='02_投資成本_CAPEX'!$O24,4&lt;='02_投資成本_CAPEX'!$O24+'02_投資成本_CAPEX'!$N24-1),$F23/'02_投資成本_CAPEX'!$N24,0))</f>
        <v>0</v>
      </c>
      <c r="K23" s="127" t="n">
        <f aca="false">IF(OR('02_投資成本_CAPEX'!$C24="",'02_投資成本_CAPEX'!$N24=0),0,IF(AND(5&gt;=1,5&lt;='02_投資成本_CAPEX'!$N24),$F23/'02_投資成本_CAPEX'!$N24,0)+IF(AND('02_投資成本_CAPEX'!$O24&gt;0,5&gt;='02_投資成本_CAPEX'!$O24,5&lt;='02_投資成本_CAPEX'!$O24+'02_投資成本_CAPEX'!$N24-1),$F23/'02_投資成本_CAPEX'!$N24,0))</f>
        <v>0</v>
      </c>
      <c r="L23" s="127" t="n">
        <f aca="false">IF(OR('02_投資成本_CAPEX'!$C24="",'02_投資成本_CAPEX'!$N24=0),0,IF(AND(6&gt;=1,6&lt;='02_投資成本_CAPEX'!$N24),$F23/'02_投資成本_CAPEX'!$N24,0)+IF(AND('02_投資成本_CAPEX'!$O24&gt;0,6&gt;='02_投資成本_CAPEX'!$O24,6&lt;='02_投資成本_CAPEX'!$O24+'02_投資成本_CAPEX'!$N24-1),$F23/'02_投資成本_CAPEX'!$N24,0))</f>
        <v>0</v>
      </c>
      <c r="M23" s="127" t="n">
        <f aca="false">IF(OR('02_投資成本_CAPEX'!$C24="",'02_投資成本_CAPEX'!$N24=0),0,IF(AND(7&gt;=1,7&lt;='02_投資成本_CAPEX'!$N24),$F23/'02_投資成本_CAPEX'!$N24,0)+IF(AND('02_投資成本_CAPEX'!$O24&gt;0,7&gt;='02_投資成本_CAPEX'!$O24,7&lt;='02_投資成本_CAPEX'!$O24+'02_投資成本_CAPEX'!$N24-1),$F23/'02_投資成本_CAPEX'!$N24,0))</f>
        <v>0</v>
      </c>
      <c r="N23" s="127" t="n">
        <f aca="false">IF(OR('02_投資成本_CAPEX'!$C24="",'02_投資成本_CAPEX'!$N24=0),0,IF(AND(8&gt;=1,8&lt;='02_投資成本_CAPEX'!$N24),$F23/'02_投資成本_CAPEX'!$N24,0)+IF(AND('02_投資成本_CAPEX'!$O24&gt;0,8&gt;='02_投資成本_CAPEX'!$O24,8&lt;='02_投資成本_CAPEX'!$O24+'02_投資成本_CAPEX'!$N24-1),$F23/'02_投資成本_CAPEX'!$N24,0))</f>
        <v>0</v>
      </c>
      <c r="O23" s="127" t="n">
        <f aca="false">IF(OR('02_投資成本_CAPEX'!$C24="",'02_投資成本_CAPEX'!$N24=0),0,IF(AND(9&gt;=1,9&lt;='02_投資成本_CAPEX'!$N24),$F23/'02_投資成本_CAPEX'!$N24,0)+IF(AND('02_投資成本_CAPEX'!$O24&gt;0,9&gt;='02_投資成本_CAPEX'!$O24,9&lt;='02_投資成本_CAPEX'!$O24+'02_投資成本_CAPEX'!$N24-1),$F23/'02_投資成本_CAPEX'!$N24,0))</f>
        <v>0</v>
      </c>
      <c r="P23" s="127" t="n">
        <f aca="false">IF(OR('02_投資成本_CAPEX'!$C24="",'02_投資成本_CAPEX'!$N24=0),0,IF(AND(10&gt;=1,10&lt;='02_投資成本_CAPEX'!$N24),$F23/'02_投資成本_CAPEX'!$N24,0)+IF(AND('02_投資成本_CAPEX'!$O24&gt;0,10&gt;='02_投資成本_CAPEX'!$O24,10&lt;='02_投資成本_CAPEX'!$O24+'02_投資成本_CAPEX'!$N24-1),$F23/'02_投資成本_CAPEX'!$N24,0))</f>
        <v>0</v>
      </c>
    </row>
    <row r="24" customFormat="false" ht="15.75" hidden="false" customHeight="true" outlineLevel="0" collapsed="false">
      <c r="A24" s="123" t="str">
        <f aca="false">IF('02_投資成本_CAPEX'!$C25="","",'02_投資成本_CAPEX'!$A25)</f>
        <v/>
      </c>
      <c r="B24" s="124" t="str">
        <f aca="false">IF('02_投資成本_CAPEX'!$C25="","",'02_投資成本_CAPEX'!$C25)</f>
        <v/>
      </c>
      <c r="C24" s="124" t="str">
        <f aca="false">IF('02_投資成本_CAPEX'!$C25="","",'02_投資成本_CAPEX'!$M25)</f>
        <v/>
      </c>
      <c r="D24" s="124" t="str">
        <f aca="false">IF('02_投資成本_CAPEX'!$C25="","",'02_投資成本_CAPEX'!$N25)</f>
        <v/>
      </c>
      <c r="E24" s="124" t="str">
        <f aca="false">IF('02_投資成本_CAPEX'!$C25="","",'02_投資成本_CAPEX'!$O25)</f>
        <v/>
      </c>
      <c r="F24" s="126" t="n">
        <f aca="false">IF('02_投資成本_CAPEX'!$C25="",0,'02_投資成本_CAPEX'!$L25*(1-'02_投資成本_CAPEX'!$P25)*'01_專案設定_Setup'!$B$30)</f>
        <v>0</v>
      </c>
      <c r="G24" s="127" t="n">
        <f aca="false">IF(OR('02_投資成本_CAPEX'!$C25="",'02_投資成本_CAPEX'!$N25=0),0,IF(AND(1&gt;=1,1&lt;='02_投資成本_CAPEX'!$N25),$F24/'02_投資成本_CAPEX'!$N25,0)+IF(AND('02_投資成本_CAPEX'!$O25&gt;0,1&gt;='02_投資成本_CAPEX'!$O25,1&lt;='02_投資成本_CAPEX'!$O25+'02_投資成本_CAPEX'!$N25-1),$F24/'02_投資成本_CAPEX'!$N25,0))</f>
        <v>0</v>
      </c>
      <c r="H24" s="127" t="n">
        <f aca="false">IF(OR('02_投資成本_CAPEX'!$C25="",'02_投資成本_CAPEX'!$N25=0),0,IF(AND(2&gt;=1,2&lt;='02_投資成本_CAPEX'!$N25),$F24/'02_投資成本_CAPEX'!$N25,0)+IF(AND('02_投資成本_CAPEX'!$O25&gt;0,2&gt;='02_投資成本_CAPEX'!$O25,2&lt;='02_投資成本_CAPEX'!$O25+'02_投資成本_CAPEX'!$N25-1),$F24/'02_投資成本_CAPEX'!$N25,0))</f>
        <v>0</v>
      </c>
      <c r="I24" s="127" t="n">
        <f aca="false">IF(OR('02_投資成本_CAPEX'!$C25="",'02_投資成本_CAPEX'!$N25=0),0,IF(AND(3&gt;=1,3&lt;='02_投資成本_CAPEX'!$N25),$F24/'02_投資成本_CAPEX'!$N25,0)+IF(AND('02_投資成本_CAPEX'!$O25&gt;0,3&gt;='02_投資成本_CAPEX'!$O25,3&lt;='02_投資成本_CAPEX'!$O25+'02_投資成本_CAPEX'!$N25-1),$F24/'02_投資成本_CAPEX'!$N25,0))</f>
        <v>0</v>
      </c>
      <c r="J24" s="127" t="n">
        <f aca="false">IF(OR('02_投資成本_CAPEX'!$C25="",'02_投資成本_CAPEX'!$N25=0),0,IF(AND(4&gt;=1,4&lt;='02_投資成本_CAPEX'!$N25),$F24/'02_投資成本_CAPEX'!$N25,0)+IF(AND('02_投資成本_CAPEX'!$O25&gt;0,4&gt;='02_投資成本_CAPEX'!$O25,4&lt;='02_投資成本_CAPEX'!$O25+'02_投資成本_CAPEX'!$N25-1),$F24/'02_投資成本_CAPEX'!$N25,0))</f>
        <v>0</v>
      </c>
      <c r="K24" s="127" t="n">
        <f aca="false">IF(OR('02_投資成本_CAPEX'!$C25="",'02_投資成本_CAPEX'!$N25=0),0,IF(AND(5&gt;=1,5&lt;='02_投資成本_CAPEX'!$N25),$F24/'02_投資成本_CAPEX'!$N25,0)+IF(AND('02_投資成本_CAPEX'!$O25&gt;0,5&gt;='02_投資成本_CAPEX'!$O25,5&lt;='02_投資成本_CAPEX'!$O25+'02_投資成本_CAPEX'!$N25-1),$F24/'02_投資成本_CAPEX'!$N25,0))</f>
        <v>0</v>
      </c>
      <c r="L24" s="127" t="n">
        <f aca="false">IF(OR('02_投資成本_CAPEX'!$C25="",'02_投資成本_CAPEX'!$N25=0),0,IF(AND(6&gt;=1,6&lt;='02_投資成本_CAPEX'!$N25),$F24/'02_投資成本_CAPEX'!$N25,0)+IF(AND('02_投資成本_CAPEX'!$O25&gt;0,6&gt;='02_投資成本_CAPEX'!$O25,6&lt;='02_投資成本_CAPEX'!$O25+'02_投資成本_CAPEX'!$N25-1),$F24/'02_投資成本_CAPEX'!$N25,0))</f>
        <v>0</v>
      </c>
      <c r="M24" s="127" t="n">
        <f aca="false">IF(OR('02_投資成本_CAPEX'!$C25="",'02_投資成本_CAPEX'!$N25=0),0,IF(AND(7&gt;=1,7&lt;='02_投資成本_CAPEX'!$N25),$F24/'02_投資成本_CAPEX'!$N25,0)+IF(AND('02_投資成本_CAPEX'!$O25&gt;0,7&gt;='02_投資成本_CAPEX'!$O25,7&lt;='02_投資成本_CAPEX'!$O25+'02_投資成本_CAPEX'!$N25-1),$F24/'02_投資成本_CAPEX'!$N25,0))</f>
        <v>0</v>
      </c>
      <c r="N24" s="127" t="n">
        <f aca="false">IF(OR('02_投資成本_CAPEX'!$C25="",'02_投資成本_CAPEX'!$N25=0),0,IF(AND(8&gt;=1,8&lt;='02_投資成本_CAPEX'!$N25),$F24/'02_投資成本_CAPEX'!$N25,0)+IF(AND('02_投資成本_CAPEX'!$O25&gt;0,8&gt;='02_投資成本_CAPEX'!$O25,8&lt;='02_投資成本_CAPEX'!$O25+'02_投資成本_CAPEX'!$N25-1),$F24/'02_投資成本_CAPEX'!$N25,0))</f>
        <v>0</v>
      </c>
      <c r="O24" s="127" t="n">
        <f aca="false">IF(OR('02_投資成本_CAPEX'!$C25="",'02_投資成本_CAPEX'!$N25=0),0,IF(AND(9&gt;=1,9&lt;='02_投資成本_CAPEX'!$N25),$F24/'02_投資成本_CAPEX'!$N25,0)+IF(AND('02_投資成本_CAPEX'!$O25&gt;0,9&gt;='02_投資成本_CAPEX'!$O25,9&lt;='02_投資成本_CAPEX'!$O25+'02_投資成本_CAPEX'!$N25-1),$F24/'02_投資成本_CAPEX'!$N25,0))</f>
        <v>0</v>
      </c>
      <c r="P24" s="127" t="n">
        <f aca="false">IF(OR('02_投資成本_CAPEX'!$C25="",'02_投資成本_CAPEX'!$N25=0),0,IF(AND(10&gt;=1,10&lt;='02_投資成本_CAPEX'!$N25),$F24/'02_投資成本_CAPEX'!$N25,0)+IF(AND('02_投資成本_CAPEX'!$O25&gt;0,10&gt;='02_投資成本_CAPEX'!$O25,10&lt;='02_投資成本_CAPEX'!$O25+'02_投資成本_CAPEX'!$N25-1),$F24/'02_投資成本_CAPEX'!$N25,0))</f>
        <v>0</v>
      </c>
    </row>
    <row r="25" customFormat="false" ht="15.75" hidden="false" customHeight="true" outlineLevel="0" collapsed="false">
      <c r="A25" s="123" t="str">
        <f aca="false">IF('02_投資成本_CAPEX'!$C26="","",'02_投資成本_CAPEX'!$A26)</f>
        <v/>
      </c>
      <c r="B25" s="124" t="str">
        <f aca="false">IF('02_投資成本_CAPEX'!$C26="","",'02_投資成本_CAPEX'!$C26)</f>
        <v/>
      </c>
      <c r="C25" s="124" t="str">
        <f aca="false">IF('02_投資成本_CAPEX'!$C26="","",'02_投資成本_CAPEX'!$M26)</f>
        <v/>
      </c>
      <c r="D25" s="124" t="str">
        <f aca="false">IF('02_投資成本_CAPEX'!$C26="","",'02_投資成本_CAPEX'!$N26)</f>
        <v/>
      </c>
      <c r="E25" s="124" t="str">
        <f aca="false">IF('02_投資成本_CAPEX'!$C26="","",'02_投資成本_CAPEX'!$O26)</f>
        <v/>
      </c>
      <c r="F25" s="126" t="n">
        <f aca="false">IF('02_投資成本_CAPEX'!$C26="",0,'02_投資成本_CAPEX'!$L26*(1-'02_投資成本_CAPEX'!$P26)*'01_專案設定_Setup'!$B$30)</f>
        <v>0</v>
      </c>
      <c r="G25" s="127" t="n">
        <f aca="false">IF(OR('02_投資成本_CAPEX'!$C26="",'02_投資成本_CAPEX'!$N26=0),0,IF(AND(1&gt;=1,1&lt;='02_投資成本_CAPEX'!$N26),$F25/'02_投資成本_CAPEX'!$N26,0)+IF(AND('02_投資成本_CAPEX'!$O26&gt;0,1&gt;='02_投資成本_CAPEX'!$O26,1&lt;='02_投資成本_CAPEX'!$O26+'02_投資成本_CAPEX'!$N26-1),$F25/'02_投資成本_CAPEX'!$N26,0))</f>
        <v>0</v>
      </c>
      <c r="H25" s="127" t="n">
        <f aca="false">IF(OR('02_投資成本_CAPEX'!$C26="",'02_投資成本_CAPEX'!$N26=0),0,IF(AND(2&gt;=1,2&lt;='02_投資成本_CAPEX'!$N26),$F25/'02_投資成本_CAPEX'!$N26,0)+IF(AND('02_投資成本_CAPEX'!$O26&gt;0,2&gt;='02_投資成本_CAPEX'!$O26,2&lt;='02_投資成本_CAPEX'!$O26+'02_投資成本_CAPEX'!$N26-1),$F25/'02_投資成本_CAPEX'!$N26,0))</f>
        <v>0</v>
      </c>
      <c r="I25" s="127" t="n">
        <f aca="false">IF(OR('02_投資成本_CAPEX'!$C26="",'02_投資成本_CAPEX'!$N26=0),0,IF(AND(3&gt;=1,3&lt;='02_投資成本_CAPEX'!$N26),$F25/'02_投資成本_CAPEX'!$N26,0)+IF(AND('02_投資成本_CAPEX'!$O26&gt;0,3&gt;='02_投資成本_CAPEX'!$O26,3&lt;='02_投資成本_CAPEX'!$O26+'02_投資成本_CAPEX'!$N26-1),$F25/'02_投資成本_CAPEX'!$N26,0))</f>
        <v>0</v>
      </c>
      <c r="J25" s="127" t="n">
        <f aca="false">IF(OR('02_投資成本_CAPEX'!$C26="",'02_投資成本_CAPEX'!$N26=0),0,IF(AND(4&gt;=1,4&lt;='02_投資成本_CAPEX'!$N26),$F25/'02_投資成本_CAPEX'!$N26,0)+IF(AND('02_投資成本_CAPEX'!$O26&gt;0,4&gt;='02_投資成本_CAPEX'!$O26,4&lt;='02_投資成本_CAPEX'!$O26+'02_投資成本_CAPEX'!$N26-1),$F25/'02_投資成本_CAPEX'!$N26,0))</f>
        <v>0</v>
      </c>
      <c r="K25" s="127" t="n">
        <f aca="false">IF(OR('02_投資成本_CAPEX'!$C26="",'02_投資成本_CAPEX'!$N26=0),0,IF(AND(5&gt;=1,5&lt;='02_投資成本_CAPEX'!$N26),$F25/'02_投資成本_CAPEX'!$N26,0)+IF(AND('02_投資成本_CAPEX'!$O26&gt;0,5&gt;='02_投資成本_CAPEX'!$O26,5&lt;='02_投資成本_CAPEX'!$O26+'02_投資成本_CAPEX'!$N26-1),$F25/'02_投資成本_CAPEX'!$N26,0))</f>
        <v>0</v>
      </c>
      <c r="L25" s="127" t="n">
        <f aca="false">IF(OR('02_投資成本_CAPEX'!$C26="",'02_投資成本_CAPEX'!$N26=0),0,IF(AND(6&gt;=1,6&lt;='02_投資成本_CAPEX'!$N26),$F25/'02_投資成本_CAPEX'!$N26,0)+IF(AND('02_投資成本_CAPEX'!$O26&gt;0,6&gt;='02_投資成本_CAPEX'!$O26,6&lt;='02_投資成本_CAPEX'!$O26+'02_投資成本_CAPEX'!$N26-1),$F25/'02_投資成本_CAPEX'!$N26,0))</f>
        <v>0</v>
      </c>
      <c r="M25" s="127" t="n">
        <f aca="false">IF(OR('02_投資成本_CAPEX'!$C26="",'02_投資成本_CAPEX'!$N26=0),0,IF(AND(7&gt;=1,7&lt;='02_投資成本_CAPEX'!$N26),$F25/'02_投資成本_CAPEX'!$N26,0)+IF(AND('02_投資成本_CAPEX'!$O26&gt;0,7&gt;='02_投資成本_CAPEX'!$O26,7&lt;='02_投資成本_CAPEX'!$O26+'02_投資成本_CAPEX'!$N26-1),$F25/'02_投資成本_CAPEX'!$N26,0))</f>
        <v>0</v>
      </c>
      <c r="N25" s="127" t="n">
        <f aca="false">IF(OR('02_投資成本_CAPEX'!$C26="",'02_投資成本_CAPEX'!$N26=0),0,IF(AND(8&gt;=1,8&lt;='02_投資成本_CAPEX'!$N26),$F25/'02_投資成本_CAPEX'!$N26,0)+IF(AND('02_投資成本_CAPEX'!$O26&gt;0,8&gt;='02_投資成本_CAPEX'!$O26,8&lt;='02_投資成本_CAPEX'!$O26+'02_投資成本_CAPEX'!$N26-1),$F25/'02_投資成本_CAPEX'!$N26,0))</f>
        <v>0</v>
      </c>
      <c r="O25" s="127" t="n">
        <f aca="false">IF(OR('02_投資成本_CAPEX'!$C26="",'02_投資成本_CAPEX'!$N26=0),0,IF(AND(9&gt;=1,9&lt;='02_投資成本_CAPEX'!$N26),$F25/'02_投資成本_CAPEX'!$N26,0)+IF(AND('02_投資成本_CAPEX'!$O26&gt;0,9&gt;='02_投資成本_CAPEX'!$O26,9&lt;='02_投資成本_CAPEX'!$O26+'02_投資成本_CAPEX'!$N26-1),$F25/'02_投資成本_CAPEX'!$N26,0))</f>
        <v>0</v>
      </c>
      <c r="P25" s="127" t="n">
        <f aca="false">IF(OR('02_投資成本_CAPEX'!$C26="",'02_投資成本_CAPEX'!$N26=0),0,IF(AND(10&gt;=1,10&lt;='02_投資成本_CAPEX'!$N26),$F25/'02_投資成本_CAPEX'!$N26,0)+IF(AND('02_投資成本_CAPEX'!$O26&gt;0,10&gt;='02_投資成本_CAPEX'!$O26,10&lt;='02_投資成本_CAPEX'!$O26+'02_投資成本_CAPEX'!$N26-1),$F25/'02_投資成本_CAPEX'!$N26,0))</f>
        <v>0</v>
      </c>
    </row>
    <row r="26" customFormat="false" ht="15.75" hidden="false" customHeight="true" outlineLevel="0" collapsed="false">
      <c r="A26" s="123" t="str">
        <f aca="false">IF('02_投資成本_CAPEX'!$C27="","",'02_投資成本_CAPEX'!$A27)</f>
        <v/>
      </c>
      <c r="B26" s="124" t="str">
        <f aca="false">IF('02_投資成本_CAPEX'!$C27="","",'02_投資成本_CAPEX'!$C27)</f>
        <v/>
      </c>
      <c r="C26" s="124" t="str">
        <f aca="false">IF('02_投資成本_CAPEX'!$C27="","",'02_投資成本_CAPEX'!$M27)</f>
        <v/>
      </c>
      <c r="D26" s="124" t="str">
        <f aca="false">IF('02_投資成本_CAPEX'!$C27="","",'02_投資成本_CAPEX'!$N27)</f>
        <v/>
      </c>
      <c r="E26" s="124" t="str">
        <f aca="false">IF('02_投資成本_CAPEX'!$C27="","",'02_投資成本_CAPEX'!$O27)</f>
        <v/>
      </c>
      <c r="F26" s="126" t="n">
        <f aca="false">IF('02_投資成本_CAPEX'!$C27="",0,'02_投資成本_CAPEX'!$L27*(1-'02_投資成本_CAPEX'!$P27)*'01_專案設定_Setup'!$B$30)</f>
        <v>0</v>
      </c>
      <c r="G26" s="127" t="n">
        <f aca="false">IF(OR('02_投資成本_CAPEX'!$C27="",'02_投資成本_CAPEX'!$N27=0),0,IF(AND(1&gt;=1,1&lt;='02_投資成本_CAPEX'!$N27),$F26/'02_投資成本_CAPEX'!$N27,0)+IF(AND('02_投資成本_CAPEX'!$O27&gt;0,1&gt;='02_投資成本_CAPEX'!$O27,1&lt;='02_投資成本_CAPEX'!$O27+'02_投資成本_CAPEX'!$N27-1),$F26/'02_投資成本_CAPEX'!$N27,0))</f>
        <v>0</v>
      </c>
      <c r="H26" s="127" t="n">
        <f aca="false">IF(OR('02_投資成本_CAPEX'!$C27="",'02_投資成本_CAPEX'!$N27=0),0,IF(AND(2&gt;=1,2&lt;='02_投資成本_CAPEX'!$N27),$F26/'02_投資成本_CAPEX'!$N27,0)+IF(AND('02_投資成本_CAPEX'!$O27&gt;0,2&gt;='02_投資成本_CAPEX'!$O27,2&lt;='02_投資成本_CAPEX'!$O27+'02_投資成本_CAPEX'!$N27-1),$F26/'02_投資成本_CAPEX'!$N27,0))</f>
        <v>0</v>
      </c>
      <c r="I26" s="127" t="n">
        <f aca="false">IF(OR('02_投資成本_CAPEX'!$C27="",'02_投資成本_CAPEX'!$N27=0),0,IF(AND(3&gt;=1,3&lt;='02_投資成本_CAPEX'!$N27),$F26/'02_投資成本_CAPEX'!$N27,0)+IF(AND('02_投資成本_CAPEX'!$O27&gt;0,3&gt;='02_投資成本_CAPEX'!$O27,3&lt;='02_投資成本_CAPEX'!$O27+'02_投資成本_CAPEX'!$N27-1),$F26/'02_投資成本_CAPEX'!$N27,0))</f>
        <v>0</v>
      </c>
      <c r="J26" s="127" t="n">
        <f aca="false">IF(OR('02_投資成本_CAPEX'!$C27="",'02_投資成本_CAPEX'!$N27=0),0,IF(AND(4&gt;=1,4&lt;='02_投資成本_CAPEX'!$N27),$F26/'02_投資成本_CAPEX'!$N27,0)+IF(AND('02_投資成本_CAPEX'!$O27&gt;0,4&gt;='02_投資成本_CAPEX'!$O27,4&lt;='02_投資成本_CAPEX'!$O27+'02_投資成本_CAPEX'!$N27-1),$F26/'02_投資成本_CAPEX'!$N27,0))</f>
        <v>0</v>
      </c>
      <c r="K26" s="127" t="n">
        <f aca="false">IF(OR('02_投資成本_CAPEX'!$C27="",'02_投資成本_CAPEX'!$N27=0),0,IF(AND(5&gt;=1,5&lt;='02_投資成本_CAPEX'!$N27),$F26/'02_投資成本_CAPEX'!$N27,0)+IF(AND('02_投資成本_CAPEX'!$O27&gt;0,5&gt;='02_投資成本_CAPEX'!$O27,5&lt;='02_投資成本_CAPEX'!$O27+'02_投資成本_CAPEX'!$N27-1),$F26/'02_投資成本_CAPEX'!$N27,0))</f>
        <v>0</v>
      </c>
      <c r="L26" s="127" t="n">
        <f aca="false">IF(OR('02_投資成本_CAPEX'!$C27="",'02_投資成本_CAPEX'!$N27=0),0,IF(AND(6&gt;=1,6&lt;='02_投資成本_CAPEX'!$N27),$F26/'02_投資成本_CAPEX'!$N27,0)+IF(AND('02_投資成本_CAPEX'!$O27&gt;0,6&gt;='02_投資成本_CAPEX'!$O27,6&lt;='02_投資成本_CAPEX'!$O27+'02_投資成本_CAPEX'!$N27-1),$F26/'02_投資成本_CAPEX'!$N27,0))</f>
        <v>0</v>
      </c>
      <c r="M26" s="127" t="n">
        <f aca="false">IF(OR('02_投資成本_CAPEX'!$C27="",'02_投資成本_CAPEX'!$N27=0),0,IF(AND(7&gt;=1,7&lt;='02_投資成本_CAPEX'!$N27),$F26/'02_投資成本_CAPEX'!$N27,0)+IF(AND('02_投資成本_CAPEX'!$O27&gt;0,7&gt;='02_投資成本_CAPEX'!$O27,7&lt;='02_投資成本_CAPEX'!$O27+'02_投資成本_CAPEX'!$N27-1),$F26/'02_投資成本_CAPEX'!$N27,0))</f>
        <v>0</v>
      </c>
      <c r="N26" s="127" t="n">
        <f aca="false">IF(OR('02_投資成本_CAPEX'!$C27="",'02_投資成本_CAPEX'!$N27=0),0,IF(AND(8&gt;=1,8&lt;='02_投資成本_CAPEX'!$N27),$F26/'02_投資成本_CAPEX'!$N27,0)+IF(AND('02_投資成本_CAPEX'!$O27&gt;0,8&gt;='02_投資成本_CAPEX'!$O27,8&lt;='02_投資成本_CAPEX'!$O27+'02_投資成本_CAPEX'!$N27-1),$F26/'02_投資成本_CAPEX'!$N27,0))</f>
        <v>0</v>
      </c>
      <c r="O26" s="127" t="n">
        <f aca="false">IF(OR('02_投資成本_CAPEX'!$C27="",'02_投資成本_CAPEX'!$N27=0),0,IF(AND(9&gt;=1,9&lt;='02_投資成本_CAPEX'!$N27),$F26/'02_投資成本_CAPEX'!$N27,0)+IF(AND('02_投資成本_CAPEX'!$O27&gt;0,9&gt;='02_投資成本_CAPEX'!$O27,9&lt;='02_投資成本_CAPEX'!$O27+'02_投資成本_CAPEX'!$N27-1),$F26/'02_投資成本_CAPEX'!$N27,0))</f>
        <v>0</v>
      </c>
      <c r="P26" s="127" t="n">
        <f aca="false">IF(OR('02_投資成本_CAPEX'!$C27="",'02_投資成本_CAPEX'!$N27=0),0,IF(AND(10&gt;=1,10&lt;='02_投資成本_CAPEX'!$N27),$F26/'02_投資成本_CAPEX'!$N27,0)+IF(AND('02_投資成本_CAPEX'!$O27&gt;0,10&gt;='02_投資成本_CAPEX'!$O27,10&lt;='02_投資成本_CAPEX'!$O27+'02_投資成本_CAPEX'!$N27-1),$F26/'02_投資成本_CAPEX'!$N27,0))</f>
        <v>0</v>
      </c>
    </row>
    <row r="27" customFormat="false" ht="15.75" hidden="false" customHeight="true" outlineLevel="0" collapsed="false">
      <c r="A27" s="123" t="str">
        <f aca="false">IF('02_投資成本_CAPEX'!$C28="","",'02_投資成本_CAPEX'!$A28)</f>
        <v/>
      </c>
      <c r="B27" s="124" t="str">
        <f aca="false">IF('02_投資成本_CAPEX'!$C28="","",'02_投資成本_CAPEX'!$C28)</f>
        <v/>
      </c>
      <c r="C27" s="124" t="str">
        <f aca="false">IF('02_投資成本_CAPEX'!$C28="","",'02_投資成本_CAPEX'!$M28)</f>
        <v/>
      </c>
      <c r="D27" s="124" t="str">
        <f aca="false">IF('02_投資成本_CAPEX'!$C28="","",'02_投資成本_CAPEX'!$N28)</f>
        <v/>
      </c>
      <c r="E27" s="124" t="str">
        <f aca="false">IF('02_投資成本_CAPEX'!$C28="","",'02_投資成本_CAPEX'!$O28)</f>
        <v/>
      </c>
      <c r="F27" s="126" t="n">
        <f aca="false">IF('02_投資成本_CAPEX'!$C28="",0,'02_投資成本_CAPEX'!$L28*(1-'02_投資成本_CAPEX'!$P28)*'01_專案設定_Setup'!$B$30)</f>
        <v>0</v>
      </c>
      <c r="G27" s="127" t="n">
        <f aca="false">IF(OR('02_投資成本_CAPEX'!$C28="",'02_投資成本_CAPEX'!$N28=0),0,IF(AND(1&gt;=1,1&lt;='02_投資成本_CAPEX'!$N28),$F27/'02_投資成本_CAPEX'!$N28,0)+IF(AND('02_投資成本_CAPEX'!$O28&gt;0,1&gt;='02_投資成本_CAPEX'!$O28,1&lt;='02_投資成本_CAPEX'!$O28+'02_投資成本_CAPEX'!$N28-1),$F27/'02_投資成本_CAPEX'!$N28,0))</f>
        <v>0</v>
      </c>
      <c r="H27" s="127" t="n">
        <f aca="false">IF(OR('02_投資成本_CAPEX'!$C28="",'02_投資成本_CAPEX'!$N28=0),0,IF(AND(2&gt;=1,2&lt;='02_投資成本_CAPEX'!$N28),$F27/'02_投資成本_CAPEX'!$N28,0)+IF(AND('02_投資成本_CAPEX'!$O28&gt;0,2&gt;='02_投資成本_CAPEX'!$O28,2&lt;='02_投資成本_CAPEX'!$O28+'02_投資成本_CAPEX'!$N28-1),$F27/'02_投資成本_CAPEX'!$N28,0))</f>
        <v>0</v>
      </c>
      <c r="I27" s="127" t="n">
        <f aca="false">IF(OR('02_投資成本_CAPEX'!$C28="",'02_投資成本_CAPEX'!$N28=0),0,IF(AND(3&gt;=1,3&lt;='02_投資成本_CAPEX'!$N28),$F27/'02_投資成本_CAPEX'!$N28,0)+IF(AND('02_投資成本_CAPEX'!$O28&gt;0,3&gt;='02_投資成本_CAPEX'!$O28,3&lt;='02_投資成本_CAPEX'!$O28+'02_投資成本_CAPEX'!$N28-1),$F27/'02_投資成本_CAPEX'!$N28,0))</f>
        <v>0</v>
      </c>
      <c r="J27" s="127" t="n">
        <f aca="false">IF(OR('02_投資成本_CAPEX'!$C28="",'02_投資成本_CAPEX'!$N28=0),0,IF(AND(4&gt;=1,4&lt;='02_投資成本_CAPEX'!$N28),$F27/'02_投資成本_CAPEX'!$N28,0)+IF(AND('02_投資成本_CAPEX'!$O28&gt;0,4&gt;='02_投資成本_CAPEX'!$O28,4&lt;='02_投資成本_CAPEX'!$O28+'02_投資成本_CAPEX'!$N28-1),$F27/'02_投資成本_CAPEX'!$N28,0))</f>
        <v>0</v>
      </c>
      <c r="K27" s="127" t="n">
        <f aca="false">IF(OR('02_投資成本_CAPEX'!$C28="",'02_投資成本_CAPEX'!$N28=0),0,IF(AND(5&gt;=1,5&lt;='02_投資成本_CAPEX'!$N28),$F27/'02_投資成本_CAPEX'!$N28,0)+IF(AND('02_投資成本_CAPEX'!$O28&gt;0,5&gt;='02_投資成本_CAPEX'!$O28,5&lt;='02_投資成本_CAPEX'!$O28+'02_投資成本_CAPEX'!$N28-1),$F27/'02_投資成本_CAPEX'!$N28,0))</f>
        <v>0</v>
      </c>
      <c r="L27" s="127" t="n">
        <f aca="false">IF(OR('02_投資成本_CAPEX'!$C28="",'02_投資成本_CAPEX'!$N28=0),0,IF(AND(6&gt;=1,6&lt;='02_投資成本_CAPEX'!$N28),$F27/'02_投資成本_CAPEX'!$N28,0)+IF(AND('02_投資成本_CAPEX'!$O28&gt;0,6&gt;='02_投資成本_CAPEX'!$O28,6&lt;='02_投資成本_CAPEX'!$O28+'02_投資成本_CAPEX'!$N28-1),$F27/'02_投資成本_CAPEX'!$N28,0))</f>
        <v>0</v>
      </c>
      <c r="M27" s="127" t="n">
        <f aca="false">IF(OR('02_投資成本_CAPEX'!$C28="",'02_投資成本_CAPEX'!$N28=0),0,IF(AND(7&gt;=1,7&lt;='02_投資成本_CAPEX'!$N28),$F27/'02_投資成本_CAPEX'!$N28,0)+IF(AND('02_投資成本_CAPEX'!$O28&gt;0,7&gt;='02_投資成本_CAPEX'!$O28,7&lt;='02_投資成本_CAPEX'!$O28+'02_投資成本_CAPEX'!$N28-1),$F27/'02_投資成本_CAPEX'!$N28,0))</f>
        <v>0</v>
      </c>
      <c r="N27" s="127" t="n">
        <f aca="false">IF(OR('02_投資成本_CAPEX'!$C28="",'02_投資成本_CAPEX'!$N28=0),0,IF(AND(8&gt;=1,8&lt;='02_投資成本_CAPEX'!$N28),$F27/'02_投資成本_CAPEX'!$N28,0)+IF(AND('02_投資成本_CAPEX'!$O28&gt;0,8&gt;='02_投資成本_CAPEX'!$O28,8&lt;='02_投資成本_CAPEX'!$O28+'02_投資成本_CAPEX'!$N28-1),$F27/'02_投資成本_CAPEX'!$N28,0))</f>
        <v>0</v>
      </c>
      <c r="O27" s="127" t="n">
        <f aca="false">IF(OR('02_投資成本_CAPEX'!$C28="",'02_投資成本_CAPEX'!$N28=0),0,IF(AND(9&gt;=1,9&lt;='02_投資成本_CAPEX'!$N28),$F27/'02_投資成本_CAPEX'!$N28,0)+IF(AND('02_投資成本_CAPEX'!$O28&gt;0,9&gt;='02_投資成本_CAPEX'!$O28,9&lt;='02_投資成本_CAPEX'!$O28+'02_投資成本_CAPEX'!$N28-1),$F27/'02_投資成本_CAPEX'!$N28,0))</f>
        <v>0</v>
      </c>
      <c r="P27" s="127" t="n">
        <f aca="false">IF(OR('02_投資成本_CAPEX'!$C28="",'02_投資成本_CAPEX'!$N28=0),0,IF(AND(10&gt;=1,10&lt;='02_投資成本_CAPEX'!$N28),$F27/'02_投資成本_CAPEX'!$N28,0)+IF(AND('02_投資成本_CAPEX'!$O28&gt;0,10&gt;='02_投資成本_CAPEX'!$O28,10&lt;='02_投資成本_CAPEX'!$O28+'02_投資成本_CAPEX'!$N28-1),$F27/'02_投資成本_CAPEX'!$N28,0))</f>
        <v>0</v>
      </c>
    </row>
    <row r="28" customFormat="false" ht="15.75" hidden="false" customHeight="true" outlineLevel="0" collapsed="false">
      <c r="A28" s="123" t="str">
        <f aca="false">IF('02_投資成本_CAPEX'!$C29="","",'02_投資成本_CAPEX'!$A29)</f>
        <v/>
      </c>
      <c r="B28" s="124" t="str">
        <f aca="false">IF('02_投資成本_CAPEX'!$C29="","",'02_投資成本_CAPEX'!$C29)</f>
        <v/>
      </c>
      <c r="C28" s="124" t="str">
        <f aca="false">IF('02_投資成本_CAPEX'!$C29="","",'02_投資成本_CAPEX'!$M29)</f>
        <v/>
      </c>
      <c r="D28" s="124" t="str">
        <f aca="false">IF('02_投資成本_CAPEX'!$C29="","",'02_投資成本_CAPEX'!$N29)</f>
        <v/>
      </c>
      <c r="E28" s="124" t="str">
        <f aca="false">IF('02_投資成本_CAPEX'!$C29="","",'02_投資成本_CAPEX'!$O29)</f>
        <v/>
      </c>
      <c r="F28" s="126" t="n">
        <f aca="false">IF('02_投資成本_CAPEX'!$C29="",0,'02_投資成本_CAPEX'!$L29*(1-'02_投資成本_CAPEX'!$P29)*'01_專案設定_Setup'!$B$30)</f>
        <v>0</v>
      </c>
      <c r="G28" s="127" t="n">
        <f aca="false">IF(OR('02_投資成本_CAPEX'!$C29="",'02_投資成本_CAPEX'!$N29=0),0,IF(AND(1&gt;=1,1&lt;='02_投資成本_CAPEX'!$N29),$F28/'02_投資成本_CAPEX'!$N29,0)+IF(AND('02_投資成本_CAPEX'!$O29&gt;0,1&gt;='02_投資成本_CAPEX'!$O29,1&lt;='02_投資成本_CAPEX'!$O29+'02_投資成本_CAPEX'!$N29-1),$F28/'02_投資成本_CAPEX'!$N29,0))</f>
        <v>0</v>
      </c>
      <c r="H28" s="127" t="n">
        <f aca="false">IF(OR('02_投資成本_CAPEX'!$C29="",'02_投資成本_CAPEX'!$N29=0),0,IF(AND(2&gt;=1,2&lt;='02_投資成本_CAPEX'!$N29),$F28/'02_投資成本_CAPEX'!$N29,0)+IF(AND('02_投資成本_CAPEX'!$O29&gt;0,2&gt;='02_投資成本_CAPEX'!$O29,2&lt;='02_投資成本_CAPEX'!$O29+'02_投資成本_CAPEX'!$N29-1),$F28/'02_投資成本_CAPEX'!$N29,0))</f>
        <v>0</v>
      </c>
      <c r="I28" s="127" t="n">
        <f aca="false">IF(OR('02_投資成本_CAPEX'!$C29="",'02_投資成本_CAPEX'!$N29=0),0,IF(AND(3&gt;=1,3&lt;='02_投資成本_CAPEX'!$N29),$F28/'02_投資成本_CAPEX'!$N29,0)+IF(AND('02_投資成本_CAPEX'!$O29&gt;0,3&gt;='02_投資成本_CAPEX'!$O29,3&lt;='02_投資成本_CAPEX'!$O29+'02_投資成本_CAPEX'!$N29-1),$F28/'02_投資成本_CAPEX'!$N29,0))</f>
        <v>0</v>
      </c>
      <c r="J28" s="127" t="n">
        <f aca="false">IF(OR('02_投資成本_CAPEX'!$C29="",'02_投資成本_CAPEX'!$N29=0),0,IF(AND(4&gt;=1,4&lt;='02_投資成本_CAPEX'!$N29),$F28/'02_投資成本_CAPEX'!$N29,0)+IF(AND('02_投資成本_CAPEX'!$O29&gt;0,4&gt;='02_投資成本_CAPEX'!$O29,4&lt;='02_投資成本_CAPEX'!$O29+'02_投資成本_CAPEX'!$N29-1),$F28/'02_投資成本_CAPEX'!$N29,0))</f>
        <v>0</v>
      </c>
      <c r="K28" s="127" t="n">
        <f aca="false">IF(OR('02_投資成本_CAPEX'!$C29="",'02_投資成本_CAPEX'!$N29=0),0,IF(AND(5&gt;=1,5&lt;='02_投資成本_CAPEX'!$N29),$F28/'02_投資成本_CAPEX'!$N29,0)+IF(AND('02_投資成本_CAPEX'!$O29&gt;0,5&gt;='02_投資成本_CAPEX'!$O29,5&lt;='02_投資成本_CAPEX'!$O29+'02_投資成本_CAPEX'!$N29-1),$F28/'02_投資成本_CAPEX'!$N29,0))</f>
        <v>0</v>
      </c>
      <c r="L28" s="127" t="n">
        <f aca="false">IF(OR('02_投資成本_CAPEX'!$C29="",'02_投資成本_CAPEX'!$N29=0),0,IF(AND(6&gt;=1,6&lt;='02_投資成本_CAPEX'!$N29),$F28/'02_投資成本_CAPEX'!$N29,0)+IF(AND('02_投資成本_CAPEX'!$O29&gt;0,6&gt;='02_投資成本_CAPEX'!$O29,6&lt;='02_投資成本_CAPEX'!$O29+'02_投資成本_CAPEX'!$N29-1),$F28/'02_投資成本_CAPEX'!$N29,0))</f>
        <v>0</v>
      </c>
      <c r="M28" s="127" t="n">
        <f aca="false">IF(OR('02_投資成本_CAPEX'!$C29="",'02_投資成本_CAPEX'!$N29=0),0,IF(AND(7&gt;=1,7&lt;='02_投資成本_CAPEX'!$N29),$F28/'02_投資成本_CAPEX'!$N29,0)+IF(AND('02_投資成本_CAPEX'!$O29&gt;0,7&gt;='02_投資成本_CAPEX'!$O29,7&lt;='02_投資成本_CAPEX'!$O29+'02_投資成本_CAPEX'!$N29-1),$F28/'02_投資成本_CAPEX'!$N29,0))</f>
        <v>0</v>
      </c>
      <c r="N28" s="127" t="n">
        <f aca="false">IF(OR('02_投資成本_CAPEX'!$C29="",'02_投資成本_CAPEX'!$N29=0),0,IF(AND(8&gt;=1,8&lt;='02_投資成本_CAPEX'!$N29),$F28/'02_投資成本_CAPEX'!$N29,0)+IF(AND('02_投資成本_CAPEX'!$O29&gt;0,8&gt;='02_投資成本_CAPEX'!$O29,8&lt;='02_投資成本_CAPEX'!$O29+'02_投資成本_CAPEX'!$N29-1),$F28/'02_投資成本_CAPEX'!$N29,0))</f>
        <v>0</v>
      </c>
      <c r="O28" s="127" t="n">
        <f aca="false">IF(OR('02_投資成本_CAPEX'!$C29="",'02_投資成本_CAPEX'!$N29=0),0,IF(AND(9&gt;=1,9&lt;='02_投資成本_CAPEX'!$N29),$F28/'02_投資成本_CAPEX'!$N29,0)+IF(AND('02_投資成本_CAPEX'!$O29&gt;0,9&gt;='02_投資成本_CAPEX'!$O29,9&lt;='02_投資成本_CAPEX'!$O29+'02_投資成本_CAPEX'!$N29-1),$F28/'02_投資成本_CAPEX'!$N29,0))</f>
        <v>0</v>
      </c>
      <c r="P28" s="127" t="n">
        <f aca="false">IF(OR('02_投資成本_CAPEX'!$C29="",'02_投資成本_CAPEX'!$N29=0),0,IF(AND(10&gt;=1,10&lt;='02_投資成本_CAPEX'!$N29),$F28/'02_投資成本_CAPEX'!$N29,0)+IF(AND('02_投資成本_CAPEX'!$O29&gt;0,10&gt;='02_投資成本_CAPEX'!$O29,10&lt;='02_投資成本_CAPEX'!$O29+'02_投資成本_CAPEX'!$N29-1),$F28/'02_投資成本_CAPEX'!$N29,0))</f>
        <v>0</v>
      </c>
    </row>
    <row r="29" customFormat="false" ht="15.75" hidden="false" customHeight="true" outlineLevel="0" collapsed="false">
      <c r="A29" s="123" t="str">
        <f aca="false">IF('02_投資成本_CAPEX'!$C30="","",'02_投資成本_CAPEX'!$A30)</f>
        <v/>
      </c>
      <c r="B29" s="124" t="str">
        <f aca="false">IF('02_投資成本_CAPEX'!$C30="","",'02_投資成本_CAPEX'!$C30)</f>
        <v/>
      </c>
      <c r="C29" s="124" t="str">
        <f aca="false">IF('02_投資成本_CAPEX'!$C30="","",'02_投資成本_CAPEX'!$M30)</f>
        <v/>
      </c>
      <c r="D29" s="124" t="str">
        <f aca="false">IF('02_投資成本_CAPEX'!$C30="","",'02_投資成本_CAPEX'!$N30)</f>
        <v/>
      </c>
      <c r="E29" s="124" t="str">
        <f aca="false">IF('02_投資成本_CAPEX'!$C30="","",'02_投資成本_CAPEX'!$O30)</f>
        <v/>
      </c>
      <c r="F29" s="126" t="n">
        <f aca="false">IF('02_投資成本_CAPEX'!$C30="",0,'02_投資成本_CAPEX'!$L30*(1-'02_投資成本_CAPEX'!$P30)*'01_專案設定_Setup'!$B$30)</f>
        <v>0</v>
      </c>
      <c r="G29" s="127" t="n">
        <f aca="false">IF(OR('02_投資成本_CAPEX'!$C30="",'02_投資成本_CAPEX'!$N30=0),0,IF(AND(1&gt;=1,1&lt;='02_投資成本_CAPEX'!$N30),$F29/'02_投資成本_CAPEX'!$N30,0)+IF(AND('02_投資成本_CAPEX'!$O30&gt;0,1&gt;='02_投資成本_CAPEX'!$O30,1&lt;='02_投資成本_CAPEX'!$O30+'02_投資成本_CAPEX'!$N30-1),$F29/'02_投資成本_CAPEX'!$N30,0))</f>
        <v>0</v>
      </c>
      <c r="H29" s="127" t="n">
        <f aca="false">IF(OR('02_投資成本_CAPEX'!$C30="",'02_投資成本_CAPEX'!$N30=0),0,IF(AND(2&gt;=1,2&lt;='02_投資成本_CAPEX'!$N30),$F29/'02_投資成本_CAPEX'!$N30,0)+IF(AND('02_投資成本_CAPEX'!$O30&gt;0,2&gt;='02_投資成本_CAPEX'!$O30,2&lt;='02_投資成本_CAPEX'!$O30+'02_投資成本_CAPEX'!$N30-1),$F29/'02_投資成本_CAPEX'!$N30,0))</f>
        <v>0</v>
      </c>
      <c r="I29" s="127" t="n">
        <f aca="false">IF(OR('02_投資成本_CAPEX'!$C30="",'02_投資成本_CAPEX'!$N30=0),0,IF(AND(3&gt;=1,3&lt;='02_投資成本_CAPEX'!$N30),$F29/'02_投資成本_CAPEX'!$N30,0)+IF(AND('02_投資成本_CAPEX'!$O30&gt;0,3&gt;='02_投資成本_CAPEX'!$O30,3&lt;='02_投資成本_CAPEX'!$O30+'02_投資成本_CAPEX'!$N30-1),$F29/'02_投資成本_CAPEX'!$N30,0))</f>
        <v>0</v>
      </c>
      <c r="J29" s="127" t="n">
        <f aca="false">IF(OR('02_投資成本_CAPEX'!$C30="",'02_投資成本_CAPEX'!$N30=0),0,IF(AND(4&gt;=1,4&lt;='02_投資成本_CAPEX'!$N30),$F29/'02_投資成本_CAPEX'!$N30,0)+IF(AND('02_投資成本_CAPEX'!$O30&gt;0,4&gt;='02_投資成本_CAPEX'!$O30,4&lt;='02_投資成本_CAPEX'!$O30+'02_投資成本_CAPEX'!$N30-1),$F29/'02_投資成本_CAPEX'!$N30,0))</f>
        <v>0</v>
      </c>
      <c r="K29" s="127" t="n">
        <f aca="false">IF(OR('02_投資成本_CAPEX'!$C30="",'02_投資成本_CAPEX'!$N30=0),0,IF(AND(5&gt;=1,5&lt;='02_投資成本_CAPEX'!$N30),$F29/'02_投資成本_CAPEX'!$N30,0)+IF(AND('02_投資成本_CAPEX'!$O30&gt;0,5&gt;='02_投資成本_CAPEX'!$O30,5&lt;='02_投資成本_CAPEX'!$O30+'02_投資成本_CAPEX'!$N30-1),$F29/'02_投資成本_CAPEX'!$N30,0))</f>
        <v>0</v>
      </c>
      <c r="L29" s="127" t="n">
        <f aca="false">IF(OR('02_投資成本_CAPEX'!$C30="",'02_投資成本_CAPEX'!$N30=0),0,IF(AND(6&gt;=1,6&lt;='02_投資成本_CAPEX'!$N30),$F29/'02_投資成本_CAPEX'!$N30,0)+IF(AND('02_投資成本_CAPEX'!$O30&gt;0,6&gt;='02_投資成本_CAPEX'!$O30,6&lt;='02_投資成本_CAPEX'!$O30+'02_投資成本_CAPEX'!$N30-1),$F29/'02_投資成本_CAPEX'!$N30,0))</f>
        <v>0</v>
      </c>
      <c r="M29" s="127" t="n">
        <f aca="false">IF(OR('02_投資成本_CAPEX'!$C30="",'02_投資成本_CAPEX'!$N30=0),0,IF(AND(7&gt;=1,7&lt;='02_投資成本_CAPEX'!$N30),$F29/'02_投資成本_CAPEX'!$N30,0)+IF(AND('02_投資成本_CAPEX'!$O30&gt;0,7&gt;='02_投資成本_CAPEX'!$O30,7&lt;='02_投資成本_CAPEX'!$O30+'02_投資成本_CAPEX'!$N30-1),$F29/'02_投資成本_CAPEX'!$N30,0))</f>
        <v>0</v>
      </c>
      <c r="N29" s="127" t="n">
        <f aca="false">IF(OR('02_投資成本_CAPEX'!$C30="",'02_投資成本_CAPEX'!$N30=0),0,IF(AND(8&gt;=1,8&lt;='02_投資成本_CAPEX'!$N30),$F29/'02_投資成本_CAPEX'!$N30,0)+IF(AND('02_投資成本_CAPEX'!$O30&gt;0,8&gt;='02_投資成本_CAPEX'!$O30,8&lt;='02_投資成本_CAPEX'!$O30+'02_投資成本_CAPEX'!$N30-1),$F29/'02_投資成本_CAPEX'!$N30,0))</f>
        <v>0</v>
      </c>
      <c r="O29" s="127" t="n">
        <f aca="false">IF(OR('02_投資成本_CAPEX'!$C30="",'02_投資成本_CAPEX'!$N30=0),0,IF(AND(9&gt;=1,9&lt;='02_投資成本_CAPEX'!$N30),$F29/'02_投資成本_CAPEX'!$N30,0)+IF(AND('02_投資成本_CAPEX'!$O30&gt;0,9&gt;='02_投資成本_CAPEX'!$O30,9&lt;='02_投資成本_CAPEX'!$O30+'02_投資成本_CAPEX'!$N30-1),$F29/'02_投資成本_CAPEX'!$N30,0))</f>
        <v>0</v>
      </c>
      <c r="P29" s="127" t="n">
        <f aca="false">IF(OR('02_投資成本_CAPEX'!$C30="",'02_投資成本_CAPEX'!$N30=0),0,IF(AND(10&gt;=1,10&lt;='02_投資成本_CAPEX'!$N30),$F29/'02_投資成本_CAPEX'!$N30,0)+IF(AND('02_投資成本_CAPEX'!$O30&gt;0,10&gt;='02_投資成本_CAPEX'!$O30,10&lt;='02_投資成本_CAPEX'!$O30+'02_投資成本_CAPEX'!$N30-1),$F29/'02_投資成本_CAPEX'!$N30,0))</f>
        <v>0</v>
      </c>
    </row>
    <row r="30" customFormat="false" ht="15.75" hidden="false" customHeight="true" outlineLevel="0" collapsed="false">
      <c r="A30" s="123" t="str">
        <f aca="false">IF('02_投資成本_CAPEX'!$C31="","",'02_投資成本_CAPEX'!$A31)</f>
        <v/>
      </c>
      <c r="B30" s="124" t="str">
        <f aca="false">IF('02_投資成本_CAPEX'!$C31="","",'02_投資成本_CAPEX'!$C31)</f>
        <v/>
      </c>
      <c r="C30" s="124" t="str">
        <f aca="false">IF('02_投資成本_CAPEX'!$C31="","",'02_投資成本_CAPEX'!$M31)</f>
        <v/>
      </c>
      <c r="D30" s="124" t="str">
        <f aca="false">IF('02_投資成本_CAPEX'!$C31="","",'02_投資成本_CAPEX'!$N31)</f>
        <v/>
      </c>
      <c r="E30" s="124" t="str">
        <f aca="false">IF('02_投資成本_CAPEX'!$C31="","",'02_投資成本_CAPEX'!$O31)</f>
        <v/>
      </c>
      <c r="F30" s="126" t="n">
        <f aca="false">IF('02_投資成本_CAPEX'!$C31="",0,'02_投資成本_CAPEX'!$L31*(1-'02_投資成本_CAPEX'!$P31)*'01_專案設定_Setup'!$B$30)</f>
        <v>0</v>
      </c>
      <c r="G30" s="127" t="n">
        <f aca="false">IF(OR('02_投資成本_CAPEX'!$C31="",'02_投資成本_CAPEX'!$N31=0),0,IF(AND(1&gt;=1,1&lt;='02_投資成本_CAPEX'!$N31),$F30/'02_投資成本_CAPEX'!$N31,0)+IF(AND('02_投資成本_CAPEX'!$O31&gt;0,1&gt;='02_投資成本_CAPEX'!$O31,1&lt;='02_投資成本_CAPEX'!$O31+'02_投資成本_CAPEX'!$N31-1),$F30/'02_投資成本_CAPEX'!$N31,0))</f>
        <v>0</v>
      </c>
      <c r="H30" s="127" t="n">
        <f aca="false">IF(OR('02_投資成本_CAPEX'!$C31="",'02_投資成本_CAPEX'!$N31=0),0,IF(AND(2&gt;=1,2&lt;='02_投資成本_CAPEX'!$N31),$F30/'02_投資成本_CAPEX'!$N31,0)+IF(AND('02_投資成本_CAPEX'!$O31&gt;0,2&gt;='02_投資成本_CAPEX'!$O31,2&lt;='02_投資成本_CAPEX'!$O31+'02_投資成本_CAPEX'!$N31-1),$F30/'02_投資成本_CAPEX'!$N31,0))</f>
        <v>0</v>
      </c>
      <c r="I30" s="127" t="n">
        <f aca="false">IF(OR('02_投資成本_CAPEX'!$C31="",'02_投資成本_CAPEX'!$N31=0),0,IF(AND(3&gt;=1,3&lt;='02_投資成本_CAPEX'!$N31),$F30/'02_投資成本_CAPEX'!$N31,0)+IF(AND('02_投資成本_CAPEX'!$O31&gt;0,3&gt;='02_投資成本_CAPEX'!$O31,3&lt;='02_投資成本_CAPEX'!$O31+'02_投資成本_CAPEX'!$N31-1),$F30/'02_投資成本_CAPEX'!$N31,0))</f>
        <v>0</v>
      </c>
      <c r="J30" s="127" t="n">
        <f aca="false">IF(OR('02_投資成本_CAPEX'!$C31="",'02_投資成本_CAPEX'!$N31=0),0,IF(AND(4&gt;=1,4&lt;='02_投資成本_CAPEX'!$N31),$F30/'02_投資成本_CAPEX'!$N31,0)+IF(AND('02_投資成本_CAPEX'!$O31&gt;0,4&gt;='02_投資成本_CAPEX'!$O31,4&lt;='02_投資成本_CAPEX'!$O31+'02_投資成本_CAPEX'!$N31-1),$F30/'02_投資成本_CAPEX'!$N31,0))</f>
        <v>0</v>
      </c>
      <c r="K30" s="127" t="n">
        <f aca="false">IF(OR('02_投資成本_CAPEX'!$C31="",'02_投資成本_CAPEX'!$N31=0),0,IF(AND(5&gt;=1,5&lt;='02_投資成本_CAPEX'!$N31),$F30/'02_投資成本_CAPEX'!$N31,0)+IF(AND('02_投資成本_CAPEX'!$O31&gt;0,5&gt;='02_投資成本_CAPEX'!$O31,5&lt;='02_投資成本_CAPEX'!$O31+'02_投資成本_CAPEX'!$N31-1),$F30/'02_投資成本_CAPEX'!$N31,0))</f>
        <v>0</v>
      </c>
      <c r="L30" s="127" t="n">
        <f aca="false">IF(OR('02_投資成本_CAPEX'!$C31="",'02_投資成本_CAPEX'!$N31=0),0,IF(AND(6&gt;=1,6&lt;='02_投資成本_CAPEX'!$N31),$F30/'02_投資成本_CAPEX'!$N31,0)+IF(AND('02_投資成本_CAPEX'!$O31&gt;0,6&gt;='02_投資成本_CAPEX'!$O31,6&lt;='02_投資成本_CAPEX'!$O31+'02_投資成本_CAPEX'!$N31-1),$F30/'02_投資成本_CAPEX'!$N31,0))</f>
        <v>0</v>
      </c>
      <c r="M30" s="127" t="n">
        <f aca="false">IF(OR('02_投資成本_CAPEX'!$C31="",'02_投資成本_CAPEX'!$N31=0),0,IF(AND(7&gt;=1,7&lt;='02_投資成本_CAPEX'!$N31),$F30/'02_投資成本_CAPEX'!$N31,0)+IF(AND('02_投資成本_CAPEX'!$O31&gt;0,7&gt;='02_投資成本_CAPEX'!$O31,7&lt;='02_投資成本_CAPEX'!$O31+'02_投資成本_CAPEX'!$N31-1),$F30/'02_投資成本_CAPEX'!$N31,0))</f>
        <v>0</v>
      </c>
      <c r="N30" s="127" t="n">
        <f aca="false">IF(OR('02_投資成本_CAPEX'!$C31="",'02_投資成本_CAPEX'!$N31=0),0,IF(AND(8&gt;=1,8&lt;='02_投資成本_CAPEX'!$N31),$F30/'02_投資成本_CAPEX'!$N31,0)+IF(AND('02_投資成本_CAPEX'!$O31&gt;0,8&gt;='02_投資成本_CAPEX'!$O31,8&lt;='02_投資成本_CAPEX'!$O31+'02_投資成本_CAPEX'!$N31-1),$F30/'02_投資成本_CAPEX'!$N31,0))</f>
        <v>0</v>
      </c>
      <c r="O30" s="127" t="n">
        <f aca="false">IF(OR('02_投資成本_CAPEX'!$C31="",'02_投資成本_CAPEX'!$N31=0),0,IF(AND(9&gt;=1,9&lt;='02_投資成本_CAPEX'!$N31),$F30/'02_投資成本_CAPEX'!$N31,0)+IF(AND('02_投資成本_CAPEX'!$O31&gt;0,9&gt;='02_投資成本_CAPEX'!$O31,9&lt;='02_投資成本_CAPEX'!$O31+'02_投資成本_CAPEX'!$N31-1),$F30/'02_投資成本_CAPEX'!$N31,0))</f>
        <v>0</v>
      </c>
      <c r="P30" s="127" t="n">
        <f aca="false">IF(OR('02_投資成本_CAPEX'!$C31="",'02_投資成本_CAPEX'!$N31=0),0,IF(AND(10&gt;=1,10&lt;='02_投資成本_CAPEX'!$N31),$F30/'02_投資成本_CAPEX'!$N31,0)+IF(AND('02_投資成本_CAPEX'!$O31&gt;0,10&gt;='02_投資成本_CAPEX'!$O31,10&lt;='02_投資成本_CAPEX'!$O31+'02_投資成本_CAPEX'!$N31-1),$F30/'02_投資成本_CAPEX'!$N31,0))</f>
        <v>0</v>
      </c>
    </row>
    <row r="31" customFormat="false" ht="15.75" hidden="false" customHeight="true" outlineLevel="0" collapsed="false">
      <c r="A31" s="123" t="str">
        <f aca="false">IF('02_投資成本_CAPEX'!$C32="","",'02_投資成本_CAPEX'!$A32)</f>
        <v/>
      </c>
      <c r="B31" s="124" t="str">
        <f aca="false">IF('02_投資成本_CAPEX'!$C32="","",'02_投資成本_CAPEX'!$C32)</f>
        <v/>
      </c>
      <c r="C31" s="124" t="str">
        <f aca="false">IF('02_投資成本_CAPEX'!$C32="","",'02_投資成本_CAPEX'!$M32)</f>
        <v/>
      </c>
      <c r="D31" s="124" t="str">
        <f aca="false">IF('02_投資成本_CAPEX'!$C32="","",'02_投資成本_CAPEX'!$N32)</f>
        <v/>
      </c>
      <c r="E31" s="124" t="str">
        <f aca="false">IF('02_投資成本_CAPEX'!$C32="","",'02_投資成本_CAPEX'!$O32)</f>
        <v/>
      </c>
      <c r="F31" s="126" t="n">
        <f aca="false">IF('02_投資成本_CAPEX'!$C32="",0,'02_投資成本_CAPEX'!$L32*(1-'02_投資成本_CAPEX'!$P32)*'01_專案設定_Setup'!$B$30)</f>
        <v>0</v>
      </c>
      <c r="G31" s="127" t="n">
        <f aca="false">IF(OR('02_投資成本_CAPEX'!$C32="",'02_投資成本_CAPEX'!$N32=0),0,IF(AND(1&gt;=1,1&lt;='02_投資成本_CAPEX'!$N32),$F31/'02_投資成本_CAPEX'!$N32,0)+IF(AND('02_投資成本_CAPEX'!$O32&gt;0,1&gt;='02_投資成本_CAPEX'!$O32,1&lt;='02_投資成本_CAPEX'!$O32+'02_投資成本_CAPEX'!$N32-1),$F31/'02_投資成本_CAPEX'!$N32,0))</f>
        <v>0</v>
      </c>
      <c r="H31" s="127" t="n">
        <f aca="false">IF(OR('02_投資成本_CAPEX'!$C32="",'02_投資成本_CAPEX'!$N32=0),0,IF(AND(2&gt;=1,2&lt;='02_投資成本_CAPEX'!$N32),$F31/'02_投資成本_CAPEX'!$N32,0)+IF(AND('02_投資成本_CAPEX'!$O32&gt;0,2&gt;='02_投資成本_CAPEX'!$O32,2&lt;='02_投資成本_CAPEX'!$O32+'02_投資成本_CAPEX'!$N32-1),$F31/'02_投資成本_CAPEX'!$N32,0))</f>
        <v>0</v>
      </c>
      <c r="I31" s="127" t="n">
        <f aca="false">IF(OR('02_投資成本_CAPEX'!$C32="",'02_投資成本_CAPEX'!$N32=0),0,IF(AND(3&gt;=1,3&lt;='02_投資成本_CAPEX'!$N32),$F31/'02_投資成本_CAPEX'!$N32,0)+IF(AND('02_投資成本_CAPEX'!$O32&gt;0,3&gt;='02_投資成本_CAPEX'!$O32,3&lt;='02_投資成本_CAPEX'!$O32+'02_投資成本_CAPEX'!$N32-1),$F31/'02_投資成本_CAPEX'!$N32,0))</f>
        <v>0</v>
      </c>
      <c r="J31" s="127" t="n">
        <f aca="false">IF(OR('02_投資成本_CAPEX'!$C32="",'02_投資成本_CAPEX'!$N32=0),0,IF(AND(4&gt;=1,4&lt;='02_投資成本_CAPEX'!$N32),$F31/'02_投資成本_CAPEX'!$N32,0)+IF(AND('02_投資成本_CAPEX'!$O32&gt;0,4&gt;='02_投資成本_CAPEX'!$O32,4&lt;='02_投資成本_CAPEX'!$O32+'02_投資成本_CAPEX'!$N32-1),$F31/'02_投資成本_CAPEX'!$N32,0))</f>
        <v>0</v>
      </c>
      <c r="K31" s="127" t="n">
        <f aca="false">IF(OR('02_投資成本_CAPEX'!$C32="",'02_投資成本_CAPEX'!$N32=0),0,IF(AND(5&gt;=1,5&lt;='02_投資成本_CAPEX'!$N32),$F31/'02_投資成本_CAPEX'!$N32,0)+IF(AND('02_投資成本_CAPEX'!$O32&gt;0,5&gt;='02_投資成本_CAPEX'!$O32,5&lt;='02_投資成本_CAPEX'!$O32+'02_投資成本_CAPEX'!$N32-1),$F31/'02_投資成本_CAPEX'!$N32,0))</f>
        <v>0</v>
      </c>
      <c r="L31" s="127" t="n">
        <f aca="false">IF(OR('02_投資成本_CAPEX'!$C32="",'02_投資成本_CAPEX'!$N32=0),0,IF(AND(6&gt;=1,6&lt;='02_投資成本_CAPEX'!$N32),$F31/'02_投資成本_CAPEX'!$N32,0)+IF(AND('02_投資成本_CAPEX'!$O32&gt;0,6&gt;='02_投資成本_CAPEX'!$O32,6&lt;='02_投資成本_CAPEX'!$O32+'02_投資成本_CAPEX'!$N32-1),$F31/'02_投資成本_CAPEX'!$N32,0))</f>
        <v>0</v>
      </c>
      <c r="M31" s="127" t="n">
        <f aca="false">IF(OR('02_投資成本_CAPEX'!$C32="",'02_投資成本_CAPEX'!$N32=0),0,IF(AND(7&gt;=1,7&lt;='02_投資成本_CAPEX'!$N32),$F31/'02_投資成本_CAPEX'!$N32,0)+IF(AND('02_投資成本_CAPEX'!$O32&gt;0,7&gt;='02_投資成本_CAPEX'!$O32,7&lt;='02_投資成本_CAPEX'!$O32+'02_投資成本_CAPEX'!$N32-1),$F31/'02_投資成本_CAPEX'!$N32,0))</f>
        <v>0</v>
      </c>
      <c r="N31" s="127" t="n">
        <f aca="false">IF(OR('02_投資成本_CAPEX'!$C32="",'02_投資成本_CAPEX'!$N32=0),0,IF(AND(8&gt;=1,8&lt;='02_投資成本_CAPEX'!$N32),$F31/'02_投資成本_CAPEX'!$N32,0)+IF(AND('02_投資成本_CAPEX'!$O32&gt;0,8&gt;='02_投資成本_CAPEX'!$O32,8&lt;='02_投資成本_CAPEX'!$O32+'02_投資成本_CAPEX'!$N32-1),$F31/'02_投資成本_CAPEX'!$N32,0))</f>
        <v>0</v>
      </c>
      <c r="O31" s="127" t="n">
        <f aca="false">IF(OR('02_投資成本_CAPEX'!$C32="",'02_投資成本_CAPEX'!$N32=0),0,IF(AND(9&gt;=1,9&lt;='02_投資成本_CAPEX'!$N32),$F31/'02_投資成本_CAPEX'!$N32,0)+IF(AND('02_投資成本_CAPEX'!$O32&gt;0,9&gt;='02_投資成本_CAPEX'!$O32,9&lt;='02_投資成本_CAPEX'!$O32+'02_投資成本_CAPEX'!$N32-1),$F31/'02_投資成本_CAPEX'!$N32,0))</f>
        <v>0</v>
      </c>
      <c r="P31" s="127" t="n">
        <f aca="false">IF(OR('02_投資成本_CAPEX'!$C32="",'02_投資成本_CAPEX'!$N32=0),0,IF(AND(10&gt;=1,10&lt;='02_投資成本_CAPEX'!$N32),$F31/'02_投資成本_CAPEX'!$N32,0)+IF(AND('02_投資成本_CAPEX'!$O32&gt;0,10&gt;='02_投資成本_CAPEX'!$O32,10&lt;='02_投資成本_CAPEX'!$O32+'02_投資成本_CAPEX'!$N32-1),$F31/'02_投資成本_CAPEX'!$N32,0))</f>
        <v>0</v>
      </c>
    </row>
    <row r="32" customFormat="false" ht="15.75" hidden="false" customHeight="true" outlineLevel="0" collapsed="false">
      <c r="A32" s="123" t="str">
        <f aca="false">IF('02_投資成本_CAPEX'!$C33="","",'02_投資成本_CAPEX'!$A33)</f>
        <v/>
      </c>
      <c r="B32" s="124" t="str">
        <f aca="false">IF('02_投資成本_CAPEX'!$C33="","",'02_投資成本_CAPEX'!$C33)</f>
        <v/>
      </c>
      <c r="C32" s="124" t="str">
        <f aca="false">IF('02_投資成本_CAPEX'!$C33="","",'02_投資成本_CAPEX'!$M33)</f>
        <v/>
      </c>
      <c r="D32" s="124" t="str">
        <f aca="false">IF('02_投資成本_CAPEX'!$C33="","",'02_投資成本_CAPEX'!$N33)</f>
        <v/>
      </c>
      <c r="E32" s="124" t="str">
        <f aca="false">IF('02_投資成本_CAPEX'!$C33="","",'02_投資成本_CAPEX'!$O33)</f>
        <v/>
      </c>
      <c r="F32" s="126" t="n">
        <f aca="false">IF('02_投資成本_CAPEX'!$C33="",0,'02_投資成本_CAPEX'!$L33*(1-'02_投資成本_CAPEX'!$P33)*'01_專案設定_Setup'!$B$30)</f>
        <v>0</v>
      </c>
      <c r="G32" s="127" t="n">
        <f aca="false">IF(OR('02_投資成本_CAPEX'!$C33="",'02_投資成本_CAPEX'!$N33=0),0,IF(AND(1&gt;=1,1&lt;='02_投資成本_CAPEX'!$N33),$F32/'02_投資成本_CAPEX'!$N33,0)+IF(AND('02_投資成本_CAPEX'!$O33&gt;0,1&gt;='02_投資成本_CAPEX'!$O33,1&lt;='02_投資成本_CAPEX'!$O33+'02_投資成本_CAPEX'!$N33-1),$F32/'02_投資成本_CAPEX'!$N33,0))</f>
        <v>0</v>
      </c>
      <c r="H32" s="127" t="n">
        <f aca="false">IF(OR('02_投資成本_CAPEX'!$C33="",'02_投資成本_CAPEX'!$N33=0),0,IF(AND(2&gt;=1,2&lt;='02_投資成本_CAPEX'!$N33),$F32/'02_投資成本_CAPEX'!$N33,0)+IF(AND('02_投資成本_CAPEX'!$O33&gt;0,2&gt;='02_投資成本_CAPEX'!$O33,2&lt;='02_投資成本_CAPEX'!$O33+'02_投資成本_CAPEX'!$N33-1),$F32/'02_投資成本_CAPEX'!$N33,0))</f>
        <v>0</v>
      </c>
      <c r="I32" s="127" t="n">
        <f aca="false">IF(OR('02_投資成本_CAPEX'!$C33="",'02_投資成本_CAPEX'!$N33=0),0,IF(AND(3&gt;=1,3&lt;='02_投資成本_CAPEX'!$N33),$F32/'02_投資成本_CAPEX'!$N33,0)+IF(AND('02_投資成本_CAPEX'!$O33&gt;0,3&gt;='02_投資成本_CAPEX'!$O33,3&lt;='02_投資成本_CAPEX'!$O33+'02_投資成本_CAPEX'!$N33-1),$F32/'02_投資成本_CAPEX'!$N33,0))</f>
        <v>0</v>
      </c>
      <c r="J32" s="127" t="n">
        <f aca="false">IF(OR('02_投資成本_CAPEX'!$C33="",'02_投資成本_CAPEX'!$N33=0),0,IF(AND(4&gt;=1,4&lt;='02_投資成本_CAPEX'!$N33),$F32/'02_投資成本_CAPEX'!$N33,0)+IF(AND('02_投資成本_CAPEX'!$O33&gt;0,4&gt;='02_投資成本_CAPEX'!$O33,4&lt;='02_投資成本_CAPEX'!$O33+'02_投資成本_CAPEX'!$N33-1),$F32/'02_投資成本_CAPEX'!$N33,0))</f>
        <v>0</v>
      </c>
      <c r="K32" s="127" t="n">
        <f aca="false">IF(OR('02_投資成本_CAPEX'!$C33="",'02_投資成本_CAPEX'!$N33=0),0,IF(AND(5&gt;=1,5&lt;='02_投資成本_CAPEX'!$N33),$F32/'02_投資成本_CAPEX'!$N33,0)+IF(AND('02_投資成本_CAPEX'!$O33&gt;0,5&gt;='02_投資成本_CAPEX'!$O33,5&lt;='02_投資成本_CAPEX'!$O33+'02_投資成本_CAPEX'!$N33-1),$F32/'02_投資成本_CAPEX'!$N33,0))</f>
        <v>0</v>
      </c>
      <c r="L32" s="127" t="n">
        <f aca="false">IF(OR('02_投資成本_CAPEX'!$C33="",'02_投資成本_CAPEX'!$N33=0),0,IF(AND(6&gt;=1,6&lt;='02_投資成本_CAPEX'!$N33),$F32/'02_投資成本_CAPEX'!$N33,0)+IF(AND('02_投資成本_CAPEX'!$O33&gt;0,6&gt;='02_投資成本_CAPEX'!$O33,6&lt;='02_投資成本_CAPEX'!$O33+'02_投資成本_CAPEX'!$N33-1),$F32/'02_投資成本_CAPEX'!$N33,0))</f>
        <v>0</v>
      </c>
      <c r="M32" s="127" t="n">
        <f aca="false">IF(OR('02_投資成本_CAPEX'!$C33="",'02_投資成本_CAPEX'!$N33=0),0,IF(AND(7&gt;=1,7&lt;='02_投資成本_CAPEX'!$N33),$F32/'02_投資成本_CAPEX'!$N33,0)+IF(AND('02_投資成本_CAPEX'!$O33&gt;0,7&gt;='02_投資成本_CAPEX'!$O33,7&lt;='02_投資成本_CAPEX'!$O33+'02_投資成本_CAPEX'!$N33-1),$F32/'02_投資成本_CAPEX'!$N33,0))</f>
        <v>0</v>
      </c>
      <c r="N32" s="127" t="n">
        <f aca="false">IF(OR('02_投資成本_CAPEX'!$C33="",'02_投資成本_CAPEX'!$N33=0),0,IF(AND(8&gt;=1,8&lt;='02_投資成本_CAPEX'!$N33),$F32/'02_投資成本_CAPEX'!$N33,0)+IF(AND('02_投資成本_CAPEX'!$O33&gt;0,8&gt;='02_投資成本_CAPEX'!$O33,8&lt;='02_投資成本_CAPEX'!$O33+'02_投資成本_CAPEX'!$N33-1),$F32/'02_投資成本_CAPEX'!$N33,0))</f>
        <v>0</v>
      </c>
      <c r="O32" s="127" t="n">
        <f aca="false">IF(OR('02_投資成本_CAPEX'!$C33="",'02_投資成本_CAPEX'!$N33=0),0,IF(AND(9&gt;=1,9&lt;='02_投資成本_CAPEX'!$N33),$F32/'02_投資成本_CAPEX'!$N33,0)+IF(AND('02_投資成本_CAPEX'!$O33&gt;0,9&gt;='02_投資成本_CAPEX'!$O33,9&lt;='02_投資成本_CAPEX'!$O33+'02_投資成本_CAPEX'!$N33-1),$F32/'02_投資成本_CAPEX'!$N33,0))</f>
        <v>0</v>
      </c>
      <c r="P32" s="127" t="n">
        <f aca="false">IF(OR('02_投資成本_CAPEX'!$C33="",'02_投資成本_CAPEX'!$N33=0),0,IF(AND(10&gt;=1,10&lt;='02_投資成本_CAPEX'!$N33),$F32/'02_投資成本_CAPEX'!$N33,0)+IF(AND('02_投資成本_CAPEX'!$O33&gt;0,10&gt;='02_投資成本_CAPEX'!$O33,10&lt;='02_投資成本_CAPEX'!$O33+'02_投資成本_CAPEX'!$N33-1),$F32/'02_投資成本_CAPEX'!$N33,0))</f>
        <v>0</v>
      </c>
    </row>
    <row r="33" customFormat="false" ht="15.75" hidden="false" customHeight="true" outlineLevel="0" collapsed="false">
      <c r="A33" s="123" t="str">
        <f aca="false">IF('02_投資成本_CAPEX'!$C34="","",'02_投資成本_CAPEX'!$A34)</f>
        <v/>
      </c>
      <c r="B33" s="124" t="str">
        <f aca="false">IF('02_投資成本_CAPEX'!$C34="","",'02_投資成本_CAPEX'!$C34)</f>
        <v/>
      </c>
      <c r="C33" s="124" t="str">
        <f aca="false">IF('02_投資成本_CAPEX'!$C34="","",'02_投資成本_CAPEX'!$M34)</f>
        <v/>
      </c>
      <c r="D33" s="124" t="str">
        <f aca="false">IF('02_投資成本_CAPEX'!$C34="","",'02_投資成本_CAPEX'!$N34)</f>
        <v/>
      </c>
      <c r="E33" s="124" t="str">
        <f aca="false">IF('02_投資成本_CAPEX'!$C34="","",'02_投資成本_CAPEX'!$O34)</f>
        <v/>
      </c>
      <c r="F33" s="126" t="n">
        <f aca="false">IF('02_投資成本_CAPEX'!$C34="",0,'02_投資成本_CAPEX'!$L34*(1-'02_投資成本_CAPEX'!$P34)*'01_專案設定_Setup'!$B$30)</f>
        <v>0</v>
      </c>
      <c r="G33" s="127" t="n">
        <f aca="false">IF(OR('02_投資成本_CAPEX'!$C34="",'02_投資成本_CAPEX'!$N34=0),0,IF(AND(1&gt;=1,1&lt;='02_投資成本_CAPEX'!$N34),$F33/'02_投資成本_CAPEX'!$N34,0)+IF(AND('02_投資成本_CAPEX'!$O34&gt;0,1&gt;='02_投資成本_CAPEX'!$O34,1&lt;='02_投資成本_CAPEX'!$O34+'02_投資成本_CAPEX'!$N34-1),$F33/'02_投資成本_CAPEX'!$N34,0))</f>
        <v>0</v>
      </c>
      <c r="H33" s="127" t="n">
        <f aca="false">IF(OR('02_投資成本_CAPEX'!$C34="",'02_投資成本_CAPEX'!$N34=0),0,IF(AND(2&gt;=1,2&lt;='02_投資成本_CAPEX'!$N34),$F33/'02_投資成本_CAPEX'!$N34,0)+IF(AND('02_投資成本_CAPEX'!$O34&gt;0,2&gt;='02_投資成本_CAPEX'!$O34,2&lt;='02_投資成本_CAPEX'!$O34+'02_投資成本_CAPEX'!$N34-1),$F33/'02_投資成本_CAPEX'!$N34,0))</f>
        <v>0</v>
      </c>
      <c r="I33" s="127" t="n">
        <f aca="false">IF(OR('02_投資成本_CAPEX'!$C34="",'02_投資成本_CAPEX'!$N34=0),0,IF(AND(3&gt;=1,3&lt;='02_投資成本_CAPEX'!$N34),$F33/'02_投資成本_CAPEX'!$N34,0)+IF(AND('02_投資成本_CAPEX'!$O34&gt;0,3&gt;='02_投資成本_CAPEX'!$O34,3&lt;='02_投資成本_CAPEX'!$O34+'02_投資成本_CAPEX'!$N34-1),$F33/'02_投資成本_CAPEX'!$N34,0))</f>
        <v>0</v>
      </c>
      <c r="J33" s="127" t="n">
        <f aca="false">IF(OR('02_投資成本_CAPEX'!$C34="",'02_投資成本_CAPEX'!$N34=0),0,IF(AND(4&gt;=1,4&lt;='02_投資成本_CAPEX'!$N34),$F33/'02_投資成本_CAPEX'!$N34,0)+IF(AND('02_投資成本_CAPEX'!$O34&gt;0,4&gt;='02_投資成本_CAPEX'!$O34,4&lt;='02_投資成本_CAPEX'!$O34+'02_投資成本_CAPEX'!$N34-1),$F33/'02_投資成本_CAPEX'!$N34,0))</f>
        <v>0</v>
      </c>
      <c r="K33" s="127" t="n">
        <f aca="false">IF(OR('02_投資成本_CAPEX'!$C34="",'02_投資成本_CAPEX'!$N34=0),0,IF(AND(5&gt;=1,5&lt;='02_投資成本_CAPEX'!$N34),$F33/'02_投資成本_CAPEX'!$N34,0)+IF(AND('02_投資成本_CAPEX'!$O34&gt;0,5&gt;='02_投資成本_CAPEX'!$O34,5&lt;='02_投資成本_CAPEX'!$O34+'02_投資成本_CAPEX'!$N34-1),$F33/'02_投資成本_CAPEX'!$N34,0))</f>
        <v>0</v>
      </c>
      <c r="L33" s="127" t="n">
        <f aca="false">IF(OR('02_投資成本_CAPEX'!$C34="",'02_投資成本_CAPEX'!$N34=0),0,IF(AND(6&gt;=1,6&lt;='02_投資成本_CAPEX'!$N34),$F33/'02_投資成本_CAPEX'!$N34,0)+IF(AND('02_投資成本_CAPEX'!$O34&gt;0,6&gt;='02_投資成本_CAPEX'!$O34,6&lt;='02_投資成本_CAPEX'!$O34+'02_投資成本_CAPEX'!$N34-1),$F33/'02_投資成本_CAPEX'!$N34,0))</f>
        <v>0</v>
      </c>
      <c r="M33" s="127" t="n">
        <f aca="false">IF(OR('02_投資成本_CAPEX'!$C34="",'02_投資成本_CAPEX'!$N34=0),0,IF(AND(7&gt;=1,7&lt;='02_投資成本_CAPEX'!$N34),$F33/'02_投資成本_CAPEX'!$N34,0)+IF(AND('02_投資成本_CAPEX'!$O34&gt;0,7&gt;='02_投資成本_CAPEX'!$O34,7&lt;='02_投資成本_CAPEX'!$O34+'02_投資成本_CAPEX'!$N34-1),$F33/'02_投資成本_CAPEX'!$N34,0))</f>
        <v>0</v>
      </c>
      <c r="N33" s="127" t="n">
        <f aca="false">IF(OR('02_投資成本_CAPEX'!$C34="",'02_投資成本_CAPEX'!$N34=0),0,IF(AND(8&gt;=1,8&lt;='02_投資成本_CAPEX'!$N34),$F33/'02_投資成本_CAPEX'!$N34,0)+IF(AND('02_投資成本_CAPEX'!$O34&gt;0,8&gt;='02_投資成本_CAPEX'!$O34,8&lt;='02_投資成本_CAPEX'!$O34+'02_投資成本_CAPEX'!$N34-1),$F33/'02_投資成本_CAPEX'!$N34,0))</f>
        <v>0</v>
      </c>
      <c r="O33" s="127" t="n">
        <f aca="false">IF(OR('02_投資成本_CAPEX'!$C34="",'02_投資成本_CAPEX'!$N34=0),0,IF(AND(9&gt;=1,9&lt;='02_投資成本_CAPEX'!$N34),$F33/'02_投資成本_CAPEX'!$N34,0)+IF(AND('02_投資成本_CAPEX'!$O34&gt;0,9&gt;='02_投資成本_CAPEX'!$O34,9&lt;='02_投資成本_CAPEX'!$O34+'02_投資成本_CAPEX'!$N34-1),$F33/'02_投資成本_CAPEX'!$N34,0))</f>
        <v>0</v>
      </c>
      <c r="P33" s="127" t="n">
        <f aca="false">IF(OR('02_投資成本_CAPEX'!$C34="",'02_投資成本_CAPEX'!$N34=0),0,IF(AND(10&gt;=1,10&lt;='02_投資成本_CAPEX'!$N34),$F33/'02_投資成本_CAPEX'!$N34,0)+IF(AND('02_投資成本_CAPEX'!$O34&gt;0,10&gt;='02_投資成本_CAPEX'!$O34,10&lt;='02_投資成本_CAPEX'!$O34+'02_投資成本_CAPEX'!$N34-1),$F33/'02_投資成本_CAPEX'!$N34,0))</f>
        <v>0</v>
      </c>
    </row>
    <row r="34" customFormat="false" ht="15.75" hidden="false" customHeight="true" outlineLevel="0" collapsed="false">
      <c r="A34" s="123" t="str">
        <f aca="false">IF('02_投資成本_CAPEX'!$C35="","",'02_投資成本_CAPEX'!$A35)</f>
        <v/>
      </c>
      <c r="B34" s="124" t="str">
        <f aca="false">IF('02_投資成本_CAPEX'!$C35="","",'02_投資成本_CAPEX'!$C35)</f>
        <v/>
      </c>
      <c r="C34" s="124" t="str">
        <f aca="false">IF('02_投資成本_CAPEX'!$C35="","",'02_投資成本_CAPEX'!$M35)</f>
        <v/>
      </c>
      <c r="D34" s="124" t="str">
        <f aca="false">IF('02_投資成本_CAPEX'!$C35="","",'02_投資成本_CAPEX'!$N35)</f>
        <v/>
      </c>
      <c r="E34" s="124" t="str">
        <f aca="false">IF('02_投資成本_CAPEX'!$C35="","",'02_投資成本_CAPEX'!$O35)</f>
        <v/>
      </c>
      <c r="F34" s="126" t="n">
        <f aca="false">IF('02_投資成本_CAPEX'!$C35="",0,'02_投資成本_CAPEX'!$L35*(1-'02_投資成本_CAPEX'!$P35)*'01_專案設定_Setup'!$B$30)</f>
        <v>0</v>
      </c>
      <c r="G34" s="127" t="n">
        <f aca="false">IF(OR('02_投資成本_CAPEX'!$C35="",'02_投資成本_CAPEX'!$N35=0),0,IF(AND(1&gt;=1,1&lt;='02_投資成本_CAPEX'!$N35),$F34/'02_投資成本_CAPEX'!$N35,0)+IF(AND('02_投資成本_CAPEX'!$O35&gt;0,1&gt;='02_投資成本_CAPEX'!$O35,1&lt;='02_投資成本_CAPEX'!$O35+'02_投資成本_CAPEX'!$N35-1),$F34/'02_投資成本_CAPEX'!$N35,0))</f>
        <v>0</v>
      </c>
      <c r="H34" s="127" t="n">
        <f aca="false">IF(OR('02_投資成本_CAPEX'!$C35="",'02_投資成本_CAPEX'!$N35=0),0,IF(AND(2&gt;=1,2&lt;='02_投資成本_CAPEX'!$N35),$F34/'02_投資成本_CAPEX'!$N35,0)+IF(AND('02_投資成本_CAPEX'!$O35&gt;0,2&gt;='02_投資成本_CAPEX'!$O35,2&lt;='02_投資成本_CAPEX'!$O35+'02_投資成本_CAPEX'!$N35-1),$F34/'02_投資成本_CAPEX'!$N35,0))</f>
        <v>0</v>
      </c>
      <c r="I34" s="127" t="n">
        <f aca="false">IF(OR('02_投資成本_CAPEX'!$C35="",'02_投資成本_CAPEX'!$N35=0),0,IF(AND(3&gt;=1,3&lt;='02_投資成本_CAPEX'!$N35),$F34/'02_投資成本_CAPEX'!$N35,0)+IF(AND('02_投資成本_CAPEX'!$O35&gt;0,3&gt;='02_投資成本_CAPEX'!$O35,3&lt;='02_投資成本_CAPEX'!$O35+'02_投資成本_CAPEX'!$N35-1),$F34/'02_投資成本_CAPEX'!$N35,0))</f>
        <v>0</v>
      </c>
      <c r="J34" s="127" t="n">
        <f aca="false">IF(OR('02_投資成本_CAPEX'!$C35="",'02_投資成本_CAPEX'!$N35=0),0,IF(AND(4&gt;=1,4&lt;='02_投資成本_CAPEX'!$N35),$F34/'02_投資成本_CAPEX'!$N35,0)+IF(AND('02_投資成本_CAPEX'!$O35&gt;0,4&gt;='02_投資成本_CAPEX'!$O35,4&lt;='02_投資成本_CAPEX'!$O35+'02_投資成本_CAPEX'!$N35-1),$F34/'02_投資成本_CAPEX'!$N35,0))</f>
        <v>0</v>
      </c>
      <c r="K34" s="127" t="n">
        <f aca="false">IF(OR('02_投資成本_CAPEX'!$C35="",'02_投資成本_CAPEX'!$N35=0),0,IF(AND(5&gt;=1,5&lt;='02_投資成本_CAPEX'!$N35),$F34/'02_投資成本_CAPEX'!$N35,0)+IF(AND('02_投資成本_CAPEX'!$O35&gt;0,5&gt;='02_投資成本_CAPEX'!$O35,5&lt;='02_投資成本_CAPEX'!$O35+'02_投資成本_CAPEX'!$N35-1),$F34/'02_投資成本_CAPEX'!$N35,0))</f>
        <v>0</v>
      </c>
      <c r="L34" s="127" t="n">
        <f aca="false">IF(OR('02_投資成本_CAPEX'!$C35="",'02_投資成本_CAPEX'!$N35=0),0,IF(AND(6&gt;=1,6&lt;='02_投資成本_CAPEX'!$N35),$F34/'02_投資成本_CAPEX'!$N35,0)+IF(AND('02_投資成本_CAPEX'!$O35&gt;0,6&gt;='02_投資成本_CAPEX'!$O35,6&lt;='02_投資成本_CAPEX'!$O35+'02_投資成本_CAPEX'!$N35-1),$F34/'02_投資成本_CAPEX'!$N35,0))</f>
        <v>0</v>
      </c>
      <c r="M34" s="127" t="n">
        <f aca="false">IF(OR('02_投資成本_CAPEX'!$C35="",'02_投資成本_CAPEX'!$N35=0),0,IF(AND(7&gt;=1,7&lt;='02_投資成本_CAPEX'!$N35),$F34/'02_投資成本_CAPEX'!$N35,0)+IF(AND('02_投資成本_CAPEX'!$O35&gt;0,7&gt;='02_投資成本_CAPEX'!$O35,7&lt;='02_投資成本_CAPEX'!$O35+'02_投資成本_CAPEX'!$N35-1),$F34/'02_投資成本_CAPEX'!$N35,0))</f>
        <v>0</v>
      </c>
      <c r="N34" s="127" t="n">
        <f aca="false">IF(OR('02_投資成本_CAPEX'!$C35="",'02_投資成本_CAPEX'!$N35=0),0,IF(AND(8&gt;=1,8&lt;='02_投資成本_CAPEX'!$N35),$F34/'02_投資成本_CAPEX'!$N35,0)+IF(AND('02_投資成本_CAPEX'!$O35&gt;0,8&gt;='02_投資成本_CAPEX'!$O35,8&lt;='02_投資成本_CAPEX'!$O35+'02_投資成本_CAPEX'!$N35-1),$F34/'02_投資成本_CAPEX'!$N35,0))</f>
        <v>0</v>
      </c>
      <c r="O34" s="127" t="n">
        <f aca="false">IF(OR('02_投資成本_CAPEX'!$C35="",'02_投資成本_CAPEX'!$N35=0),0,IF(AND(9&gt;=1,9&lt;='02_投資成本_CAPEX'!$N35),$F34/'02_投資成本_CAPEX'!$N35,0)+IF(AND('02_投資成本_CAPEX'!$O35&gt;0,9&gt;='02_投資成本_CAPEX'!$O35,9&lt;='02_投資成本_CAPEX'!$O35+'02_投資成本_CAPEX'!$N35-1),$F34/'02_投資成本_CAPEX'!$N35,0))</f>
        <v>0</v>
      </c>
      <c r="P34" s="127" t="n">
        <f aca="false">IF(OR('02_投資成本_CAPEX'!$C35="",'02_投資成本_CAPEX'!$N35=0),0,IF(AND(10&gt;=1,10&lt;='02_投資成本_CAPEX'!$N35),$F34/'02_投資成本_CAPEX'!$N35,0)+IF(AND('02_投資成本_CAPEX'!$O35&gt;0,10&gt;='02_投資成本_CAPEX'!$O35,10&lt;='02_投資成本_CAPEX'!$O35+'02_投資成本_CAPEX'!$N35-1),$F34/'02_投資成本_CAPEX'!$N35,0))</f>
        <v>0</v>
      </c>
    </row>
    <row r="35" customFormat="false" ht="15.75" hidden="false" customHeight="true" outlineLevel="0" collapsed="false">
      <c r="A35" s="123" t="str">
        <f aca="false">IF('02_投資成本_CAPEX'!$C36="","",'02_投資成本_CAPEX'!$A36)</f>
        <v/>
      </c>
      <c r="B35" s="124" t="str">
        <f aca="false">IF('02_投資成本_CAPEX'!$C36="","",'02_投資成本_CAPEX'!$C36)</f>
        <v/>
      </c>
      <c r="C35" s="124" t="str">
        <f aca="false">IF('02_投資成本_CAPEX'!$C36="","",'02_投資成本_CAPEX'!$M36)</f>
        <v/>
      </c>
      <c r="D35" s="124" t="str">
        <f aca="false">IF('02_投資成本_CAPEX'!$C36="","",'02_投資成本_CAPEX'!$N36)</f>
        <v/>
      </c>
      <c r="E35" s="124" t="str">
        <f aca="false">IF('02_投資成本_CAPEX'!$C36="","",'02_投資成本_CAPEX'!$O36)</f>
        <v/>
      </c>
      <c r="F35" s="126" t="n">
        <f aca="false">IF('02_投資成本_CAPEX'!$C36="",0,'02_投資成本_CAPEX'!$L36*(1-'02_投資成本_CAPEX'!$P36)*'01_專案設定_Setup'!$B$30)</f>
        <v>0</v>
      </c>
      <c r="G35" s="127" t="n">
        <f aca="false">IF(OR('02_投資成本_CAPEX'!$C36="",'02_投資成本_CAPEX'!$N36=0),0,IF(AND(1&gt;=1,1&lt;='02_投資成本_CAPEX'!$N36),$F35/'02_投資成本_CAPEX'!$N36,0)+IF(AND('02_投資成本_CAPEX'!$O36&gt;0,1&gt;='02_投資成本_CAPEX'!$O36,1&lt;='02_投資成本_CAPEX'!$O36+'02_投資成本_CAPEX'!$N36-1),$F35/'02_投資成本_CAPEX'!$N36,0))</f>
        <v>0</v>
      </c>
      <c r="H35" s="127" t="n">
        <f aca="false">IF(OR('02_投資成本_CAPEX'!$C36="",'02_投資成本_CAPEX'!$N36=0),0,IF(AND(2&gt;=1,2&lt;='02_投資成本_CAPEX'!$N36),$F35/'02_投資成本_CAPEX'!$N36,0)+IF(AND('02_投資成本_CAPEX'!$O36&gt;0,2&gt;='02_投資成本_CAPEX'!$O36,2&lt;='02_投資成本_CAPEX'!$O36+'02_投資成本_CAPEX'!$N36-1),$F35/'02_投資成本_CAPEX'!$N36,0))</f>
        <v>0</v>
      </c>
      <c r="I35" s="127" t="n">
        <f aca="false">IF(OR('02_投資成本_CAPEX'!$C36="",'02_投資成本_CAPEX'!$N36=0),0,IF(AND(3&gt;=1,3&lt;='02_投資成本_CAPEX'!$N36),$F35/'02_投資成本_CAPEX'!$N36,0)+IF(AND('02_投資成本_CAPEX'!$O36&gt;0,3&gt;='02_投資成本_CAPEX'!$O36,3&lt;='02_投資成本_CAPEX'!$O36+'02_投資成本_CAPEX'!$N36-1),$F35/'02_投資成本_CAPEX'!$N36,0))</f>
        <v>0</v>
      </c>
      <c r="J35" s="127" t="n">
        <f aca="false">IF(OR('02_投資成本_CAPEX'!$C36="",'02_投資成本_CAPEX'!$N36=0),0,IF(AND(4&gt;=1,4&lt;='02_投資成本_CAPEX'!$N36),$F35/'02_投資成本_CAPEX'!$N36,0)+IF(AND('02_投資成本_CAPEX'!$O36&gt;0,4&gt;='02_投資成本_CAPEX'!$O36,4&lt;='02_投資成本_CAPEX'!$O36+'02_投資成本_CAPEX'!$N36-1),$F35/'02_投資成本_CAPEX'!$N36,0))</f>
        <v>0</v>
      </c>
      <c r="K35" s="127" t="n">
        <f aca="false">IF(OR('02_投資成本_CAPEX'!$C36="",'02_投資成本_CAPEX'!$N36=0),0,IF(AND(5&gt;=1,5&lt;='02_投資成本_CAPEX'!$N36),$F35/'02_投資成本_CAPEX'!$N36,0)+IF(AND('02_投資成本_CAPEX'!$O36&gt;0,5&gt;='02_投資成本_CAPEX'!$O36,5&lt;='02_投資成本_CAPEX'!$O36+'02_投資成本_CAPEX'!$N36-1),$F35/'02_投資成本_CAPEX'!$N36,0))</f>
        <v>0</v>
      </c>
      <c r="L35" s="127" t="n">
        <f aca="false">IF(OR('02_投資成本_CAPEX'!$C36="",'02_投資成本_CAPEX'!$N36=0),0,IF(AND(6&gt;=1,6&lt;='02_投資成本_CAPEX'!$N36),$F35/'02_投資成本_CAPEX'!$N36,0)+IF(AND('02_投資成本_CAPEX'!$O36&gt;0,6&gt;='02_投資成本_CAPEX'!$O36,6&lt;='02_投資成本_CAPEX'!$O36+'02_投資成本_CAPEX'!$N36-1),$F35/'02_投資成本_CAPEX'!$N36,0))</f>
        <v>0</v>
      </c>
      <c r="M35" s="127" t="n">
        <f aca="false">IF(OR('02_投資成本_CAPEX'!$C36="",'02_投資成本_CAPEX'!$N36=0),0,IF(AND(7&gt;=1,7&lt;='02_投資成本_CAPEX'!$N36),$F35/'02_投資成本_CAPEX'!$N36,0)+IF(AND('02_投資成本_CAPEX'!$O36&gt;0,7&gt;='02_投資成本_CAPEX'!$O36,7&lt;='02_投資成本_CAPEX'!$O36+'02_投資成本_CAPEX'!$N36-1),$F35/'02_投資成本_CAPEX'!$N36,0))</f>
        <v>0</v>
      </c>
      <c r="N35" s="127" t="n">
        <f aca="false">IF(OR('02_投資成本_CAPEX'!$C36="",'02_投資成本_CAPEX'!$N36=0),0,IF(AND(8&gt;=1,8&lt;='02_投資成本_CAPEX'!$N36),$F35/'02_投資成本_CAPEX'!$N36,0)+IF(AND('02_投資成本_CAPEX'!$O36&gt;0,8&gt;='02_投資成本_CAPEX'!$O36,8&lt;='02_投資成本_CAPEX'!$O36+'02_投資成本_CAPEX'!$N36-1),$F35/'02_投資成本_CAPEX'!$N36,0))</f>
        <v>0</v>
      </c>
      <c r="O35" s="127" t="n">
        <f aca="false">IF(OR('02_投資成本_CAPEX'!$C36="",'02_投資成本_CAPEX'!$N36=0),0,IF(AND(9&gt;=1,9&lt;='02_投資成本_CAPEX'!$N36),$F35/'02_投資成本_CAPEX'!$N36,0)+IF(AND('02_投資成本_CAPEX'!$O36&gt;0,9&gt;='02_投資成本_CAPEX'!$O36,9&lt;='02_投資成本_CAPEX'!$O36+'02_投資成本_CAPEX'!$N36-1),$F35/'02_投資成本_CAPEX'!$N36,0))</f>
        <v>0</v>
      </c>
      <c r="P35" s="127" t="n">
        <f aca="false">IF(OR('02_投資成本_CAPEX'!$C36="",'02_投資成本_CAPEX'!$N36=0),0,IF(AND(10&gt;=1,10&lt;='02_投資成本_CAPEX'!$N36),$F35/'02_投資成本_CAPEX'!$N36,0)+IF(AND('02_投資成本_CAPEX'!$O36&gt;0,10&gt;='02_投資成本_CAPEX'!$O36,10&lt;='02_投資成本_CAPEX'!$O36+'02_投資成本_CAPEX'!$N36-1),$F35/'02_投資成本_CAPEX'!$N36,0))</f>
        <v>0</v>
      </c>
    </row>
    <row r="36" customFormat="false" ht="15.75" hidden="false" customHeight="true" outlineLevel="0" collapsed="false">
      <c r="A36" s="123" t="str">
        <f aca="false">IF('02_投資成本_CAPEX'!$C37="","",'02_投資成本_CAPEX'!$A37)</f>
        <v/>
      </c>
      <c r="B36" s="124" t="str">
        <f aca="false">IF('02_投資成本_CAPEX'!$C37="","",'02_投資成本_CAPEX'!$C37)</f>
        <v/>
      </c>
      <c r="C36" s="124" t="str">
        <f aca="false">IF('02_投資成本_CAPEX'!$C37="","",'02_投資成本_CAPEX'!$M37)</f>
        <v/>
      </c>
      <c r="D36" s="124" t="str">
        <f aca="false">IF('02_投資成本_CAPEX'!$C37="","",'02_投資成本_CAPEX'!$N37)</f>
        <v/>
      </c>
      <c r="E36" s="124" t="str">
        <f aca="false">IF('02_投資成本_CAPEX'!$C37="","",'02_投資成本_CAPEX'!$O37)</f>
        <v/>
      </c>
      <c r="F36" s="126" t="n">
        <f aca="false">IF('02_投資成本_CAPEX'!$C37="",0,'02_投資成本_CAPEX'!$L37*(1-'02_投資成本_CAPEX'!$P37)*'01_專案設定_Setup'!$B$30)</f>
        <v>0</v>
      </c>
      <c r="G36" s="127" t="n">
        <f aca="false">IF(OR('02_投資成本_CAPEX'!$C37="",'02_投資成本_CAPEX'!$N37=0),0,IF(AND(1&gt;=1,1&lt;='02_投資成本_CAPEX'!$N37),$F36/'02_投資成本_CAPEX'!$N37,0)+IF(AND('02_投資成本_CAPEX'!$O37&gt;0,1&gt;='02_投資成本_CAPEX'!$O37,1&lt;='02_投資成本_CAPEX'!$O37+'02_投資成本_CAPEX'!$N37-1),$F36/'02_投資成本_CAPEX'!$N37,0))</f>
        <v>0</v>
      </c>
      <c r="H36" s="127" t="n">
        <f aca="false">IF(OR('02_投資成本_CAPEX'!$C37="",'02_投資成本_CAPEX'!$N37=0),0,IF(AND(2&gt;=1,2&lt;='02_投資成本_CAPEX'!$N37),$F36/'02_投資成本_CAPEX'!$N37,0)+IF(AND('02_投資成本_CAPEX'!$O37&gt;0,2&gt;='02_投資成本_CAPEX'!$O37,2&lt;='02_投資成本_CAPEX'!$O37+'02_投資成本_CAPEX'!$N37-1),$F36/'02_投資成本_CAPEX'!$N37,0))</f>
        <v>0</v>
      </c>
      <c r="I36" s="127" t="n">
        <f aca="false">IF(OR('02_投資成本_CAPEX'!$C37="",'02_投資成本_CAPEX'!$N37=0),0,IF(AND(3&gt;=1,3&lt;='02_投資成本_CAPEX'!$N37),$F36/'02_投資成本_CAPEX'!$N37,0)+IF(AND('02_投資成本_CAPEX'!$O37&gt;0,3&gt;='02_投資成本_CAPEX'!$O37,3&lt;='02_投資成本_CAPEX'!$O37+'02_投資成本_CAPEX'!$N37-1),$F36/'02_投資成本_CAPEX'!$N37,0))</f>
        <v>0</v>
      </c>
      <c r="J36" s="127" t="n">
        <f aca="false">IF(OR('02_投資成本_CAPEX'!$C37="",'02_投資成本_CAPEX'!$N37=0),0,IF(AND(4&gt;=1,4&lt;='02_投資成本_CAPEX'!$N37),$F36/'02_投資成本_CAPEX'!$N37,0)+IF(AND('02_投資成本_CAPEX'!$O37&gt;0,4&gt;='02_投資成本_CAPEX'!$O37,4&lt;='02_投資成本_CAPEX'!$O37+'02_投資成本_CAPEX'!$N37-1),$F36/'02_投資成本_CAPEX'!$N37,0))</f>
        <v>0</v>
      </c>
      <c r="K36" s="127" t="n">
        <f aca="false">IF(OR('02_投資成本_CAPEX'!$C37="",'02_投資成本_CAPEX'!$N37=0),0,IF(AND(5&gt;=1,5&lt;='02_投資成本_CAPEX'!$N37),$F36/'02_投資成本_CAPEX'!$N37,0)+IF(AND('02_投資成本_CAPEX'!$O37&gt;0,5&gt;='02_投資成本_CAPEX'!$O37,5&lt;='02_投資成本_CAPEX'!$O37+'02_投資成本_CAPEX'!$N37-1),$F36/'02_投資成本_CAPEX'!$N37,0))</f>
        <v>0</v>
      </c>
      <c r="L36" s="127" t="n">
        <f aca="false">IF(OR('02_投資成本_CAPEX'!$C37="",'02_投資成本_CAPEX'!$N37=0),0,IF(AND(6&gt;=1,6&lt;='02_投資成本_CAPEX'!$N37),$F36/'02_投資成本_CAPEX'!$N37,0)+IF(AND('02_投資成本_CAPEX'!$O37&gt;0,6&gt;='02_投資成本_CAPEX'!$O37,6&lt;='02_投資成本_CAPEX'!$O37+'02_投資成本_CAPEX'!$N37-1),$F36/'02_投資成本_CAPEX'!$N37,0))</f>
        <v>0</v>
      </c>
      <c r="M36" s="127" t="n">
        <f aca="false">IF(OR('02_投資成本_CAPEX'!$C37="",'02_投資成本_CAPEX'!$N37=0),0,IF(AND(7&gt;=1,7&lt;='02_投資成本_CAPEX'!$N37),$F36/'02_投資成本_CAPEX'!$N37,0)+IF(AND('02_投資成本_CAPEX'!$O37&gt;0,7&gt;='02_投資成本_CAPEX'!$O37,7&lt;='02_投資成本_CAPEX'!$O37+'02_投資成本_CAPEX'!$N37-1),$F36/'02_投資成本_CAPEX'!$N37,0))</f>
        <v>0</v>
      </c>
      <c r="N36" s="127" t="n">
        <f aca="false">IF(OR('02_投資成本_CAPEX'!$C37="",'02_投資成本_CAPEX'!$N37=0),0,IF(AND(8&gt;=1,8&lt;='02_投資成本_CAPEX'!$N37),$F36/'02_投資成本_CAPEX'!$N37,0)+IF(AND('02_投資成本_CAPEX'!$O37&gt;0,8&gt;='02_投資成本_CAPEX'!$O37,8&lt;='02_投資成本_CAPEX'!$O37+'02_投資成本_CAPEX'!$N37-1),$F36/'02_投資成本_CAPEX'!$N37,0))</f>
        <v>0</v>
      </c>
      <c r="O36" s="127" t="n">
        <f aca="false">IF(OR('02_投資成本_CAPEX'!$C37="",'02_投資成本_CAPEX'!$N37=0),0,IF(AND(9&gt;=1,9&lt;='02_投資成本_CAPEX'!$N37),$F36/'02_投資成本_CAPEX'!$N37,0)+IF(AND('02_投資成本_CAPEX'!$O37&gt;0,9&gt;='02_投資成本_CAPEX'!$O37,9&lt;='02_投資成本_CAPEX'!$O37+'02_投資成本_CAPEX'!$N37-1),$F36/'02_投資成本_CAPEX'!$N37,0))</f>
        <v>0</v>
      </c>
      <c r="P36" s="127" t="n">
        <f aca="false">IF(OR('02_投資成本_CAPEX'!$C37="",'02_投資成本_CAPEX'!$N37=0),0,IF(AND(10&gt;=1,10&lt;='02_投資成本_CAPEX'!$N37),$F36/'02_投資成本_CAPEX'!$N37,0)+IF(AND('02_投資成本_CAPEX'!$O37&gt;0,10&gt;='02_投資成本_CAPEX'!$O37,10&lt;='02_投資成本_CAPEX'!$O37+'02_投資成本_CAPEX'!$N37-1),$F36/'02_投資成本_CAPEX'!$N37,0))</f>
        <v>0</v>
      </c>
    </row>
    <row r="37" customFormat="false" ht="15.75" hidden="false" customHeight="true" outlineLevel="0" collapsed="false">
      <c r="A37" s="123" t="str">
        <f aca="false">IF('02_投資成本_CAPEX'!$C38="","",'02_投資成本_CAPEX'!$A38)</f>
        <v/>
      </c>
      <c r="B37" s="124" t="str">
        <f aca="false">IF('02_投資成本_CAPEX'!$C38="","",'02_投資成本_CAPEX'!$C38)</f>
        <v/>
      </c>
      <c r="C37" s="124" t="str">
        <f aca="false">IF('02_投資成本_CAPEX'!$C38="","",'02_投資成本_CAPEX'!$M38)</f>
        <v/>
      </c>
      <c r="D37" s="124" t="str">
        <f aca="false">IF('02_投資成本_CAPEX'!$C38="","",'02_投資成本_CAPEX'!$N38)</f>
        <v/>
      </c>
      <c r="E37" s="124" t="str">
        <f aca="false">IF('02_投資成本_CAPEX'!$C38="","",'02_投資成本_CAPEX'!$O38)</f>
        <v/>
      </c>
      <c r="F37" s="126" t="n">
        <f aca="false">IF('02_投資成本_CAPEX'!$C38="",0,'02_投資成本_CAPEX'!$L38*(1-'02_投資成本_CAPEX'!$P38)*'01_專案設定_Setup'!$B$30)</f>
        <v>0</v>
      </c>
      <c r="G37" s="127" t="n">
        <f aca="false">IF(OR('02_投資成本_CAPEX'!$C38="",'02_投資成本_CAPEX'!$N38=0),0,IF(AND(1&gt;=1,1&lt;='02_投資成本_CAPEX'!$N38),$F37/'02_投資成本_CAPEX'!$N38,0)+IF(AND('02_投資成本_CAPEX'!$O38&gt;0,1&gt;='02_投資成本_CAPEX'!$O38,1&lt;='02_投資成本_CAPEX'!$O38+'02_投資成本_CAPEX'!$N38-1),$F37/'02_投資成本_CAPEX'!$N38,0))</f>
        <v>0</v>
      </c>
      <c r="H37" s="127" t="n">
        <f aca="false">IF(OR('02_投資成本_CAPEX'!$C38="",'02_投資成本_CAPEX'!$N38=0),0,IF(AND(2&gt;=1,2&lt;='02_投資成本_CAPEX'!$N38),$F37/'02_投資成本_CAPEX'!$N38,0)+IF(AND('02_投資成本_CAPEX'!$O38&gt;0,2&gt;='02_投資成本_CAPEX'!$O38,2&lt;='02_投資成本_CAPEX'!$O38+'02_投資成本_CAPEX'!$N38-1),$F37/'02_投資成本_CAPEX'!$N38,0))</f>
        <v>0</v>
      </c>
      <c r="I37" s="127" t="n">
        <f aca="false">IF(OR('02_投資成本_CAPEX'!$C38="",'02_投資成本_CAPEX'!$N38=0),0,IF(AND(3&gt;=1,3&lt;='02_投資成本_CAPEX'!$N38),$F37/'02_投資成本_CAPEX'!$N38,0)+IF(AND('02_投資成本_CAPEX'!$O38&gt;0,3&gt;='02_投資成本_CAPEX'!$O38,3&lt;='02_投資成本_CAPEX'!$O38+'02_投資成本_CAPEX'!$N38-1),$F37/'02_投資成本_CAPEX'!$N38,0))</f>
        <v>0</v>
      </c>
      <c r="J37" s="127" t="n">
        <f aca="false">IF(OR('02_投資成本_CAPEX'!$C38="",'02_投資成本_CAPEX'!$N38=0),0,IF(AND(4&gt;=1,4&lt;='02_投資成本_CAPEX'!$N38),$F37/'02_投資成本_CAPEX'!$N38,0)+IF(AND('02_投資成本_CAPEX'!$O38&gt;0,4&gt;='02_投資成本_CAPEX'!$O38,4&lt;='02_投資成本_CAPEX'!$O38+'02_投資成本_CAPEX'!$N38-1),$F37/'02_投資成本_CAPEX'!$N38,0))</f>
        <v>0</v>
      </c>
      <c r="K37" s="127" t="n">
        <f aca="false">IF(OR('02_投資成本_CAPEX'!$C38="",'02_投資成本_CAPEX'!$N38=0),0,IF(AND(5&gt;=1,5&lt;='02_投資成本_CAPEX'!$N38),$F37/'02_投資成本_CAPEX'!$N38,0)+IF(AND('02_投資成本_CAPEX'!$O38&gt;0,5&gt;='02_投資成本_CAPEX'!$O38,5&lt;='02_投資成本_CAPEX'!$O38+'02_投資成本_CAPEX'!$N38-1),$F37/'02_投資成本_CAPEX'!$N38,0))</f>
        <v>0</v>
      </c>
      <c r="L37" s="127" t="n">
        <f aca="false">IF(OR('02_投資成本_CAPEX'!$C38="",'02_投資成本_CAPEX'!$N38=0),0,IF(AND(6&gt;=1,6&lt;='02_投資成本_CAPEX'!$N38),$F37/'02_投資成本_CAPEX'!$N38,0)+IF(AND('02_投資成本_CAPEX'!$O38&gt;0,6&gt;='02_投資成本_CAPEX'!$O38,6&lt;='02_投資成本_CAPEX'!$O38+'02_投資成本_CAPEX'!$N38-1),$F37/'02_投資成本_CAPEX'!$N38,0))</f>
        <v>0</v>
      </c>
      <c r="M37" s="127" t="n">
        <f aca="false">IF(OR('02_投資成本_CAPEX'!$C38="",'02_投資成本_CAPEX'!$N38=0),0,IF(AND(7&gt;=1,7&lt;='02_投資成本_CAPEX'!$N38),$F37/'02_投資成本_CAPEX'!$N38,0)+IF(AND('02_投資成本_CAPEX'!$O38&gt;0,7&gt;='02_投資成本_CAPEX'!$O38,7&lt;='02_投資成本_CAPEX'!$O38+'02_投資成本_CAPEX'!$N38-1),$F37/'02_投資成本_CAPEX'!$N38,0))</f>
        <v>0</v>
      </c>
      <c r="N37" s="127" t="n">
        <f aca="false">IF(OR('02_投資成本_CAPEX'!$C38="",'02_投資成本_CAPEX'!$N38=0),0,IF(AND(8&gt;=1,8&lt;='02_投資成本_CAPEX'!$N38),$F37/'02_投資成本_CAPEX'!$N38,0)+IF(AND('02_投資成本_CAPEX'!$O38&gt;0,8&gt;='02_投資成本_CAPEX'!$O38,8&lt;='02_投資成本_CAPEX'!$O38+'02_投資成本_CAPEX'!$N38-1),$F37/'02_投資成本_CAPEX'!$N38,0))</f>
        <v>0</v>
      </c>
      <c r="O37" s="127" t="n">
        <f aca="false">IF(OR('02_投資成本_CAPEX'!$C38="",'02_投資成本_CAPEX'!$N38=0),0,IF(AND(9&gt;=1,9&lt;='02_投資成本_CAPEX'!$N38),$F37/'02_投資成本_CAPEX'!$N38,0)+IF(AND('02_投資成本_CAPEX'!$O38&gt;0,9&gt;='02_投資成本_CAPEX'!$O38,9&lt;='02_投資成本_CAPEX'!$O38+'02_投資成本_CAPEX'!$N38-1),$F37/'02_投資成本_CAPEX'!$N38,0))</f>
        <v>0</v>
      </c>
      <c r="P37" s="127" t="n">
        <f aca="false">IF(OR('02_投資成本_CAPEX'!$C38="",'02_投資成本_CAPEX'!$N38=0),0,IF(AND(10&gt;=1,10&lt;='02_投資成本_CAPEX'!$N38),$F37/'02_投資成本_CAPEX'!$N38,0)+IF(AND('02_投資成本_CAPEX'!$O38&gt;0,10&gt;='02_投資成本_CAPEX'!$O38,10&lt;='02_投資成本_CAPEX'!$O38+'02_投資成本_CAPEX'!$N38-1),$F37/'02_投資成本_CAPEX'!$N38,0))</f>
        <v>0</v>
      </c>
    </row>
    <row r="38" customFormat="false" ht="15.75" hidden="false" customHeight="true" outlineLevel="0" collapsed="false">
      <c r="A38" s="123" t="str">
        <f aca="false">IF('02_投資成本_CAPEX'!$C39="","",'02_投資成本_CAPEX'!$A39)</f>
        <v/>
      </c>
      <c r="B38" s="124" t="str">
        <f aca="false">IF('02_投資成本_CAPEX'!$C39="","",'02_投資成本_CAPEX'!$C39)</f>
        <v/>
      </c>
      <c r="C38" s="124" t="str">
        <f aca="false">IF('02_投資成本_CAPEX'!$C39="","",'02_投資成本_CAPEX'!$M39)</f>
        <v/>
      </c>
      <c r="D38" s="124" t="str">
        <f aca="false">IF('02_投資成本_CAPEX'!$C39="","",'02_投資成本_CAPEX'!$N39)</f>
        <v/>
      </c>
      <c r="E38" s="124" t="str">
        <f aca="false">IF('02_投資成本_CAPEX'!$C39="","",'02_投資成本_CAPEX'!$O39)</f>
        <v/>
      </c>
      <c r="F38" s="126" t="n">
        <f aca="false">IF('02_投資成本_CAPEX'!$C39="",0,'02_投資成本_CAPEX'!$L39*(1-'02_投資成本_CAPEX'!$P39)*'01_專案設定_Setup'!$B$30)</f>
        <v>0</v>
      </c>
      <c r="G38" s="127" t="n">
        <f aca="false">IF(OR('02_投資成本_CAPEX'!$C39="",'02_投資成本_CAPEX'!$N39=0),0,IF(AND(1&gt;=1,1&lt;='02_投資成本_CAPEX'!$N39),$F38/'02_投資成本_CAPEX'!$N39,0)+IF(AND('02_投資成本_CAPEX'!$O39&gt;0,1&gt;='02_投資成本_CAPEX'!$O39,1&lt;='02_投資成本_CAPEX'!$O39+'02_投資成本_CAPEX'!$N39-1),$F38/'02_投資成本_CAPEX'!$N39,0))</f>
        <v>0</v>
      </c>
      <c r="H38" s="127" t="n">
        <f aca="false">IF(OR('02_投資成本_CAPEX'!$C39="",'02_投資成本_CAPEX'!$N39=0),0,IF(AND(2&gt;=1,2&lt;='02_投資成本_CAPEX'!$N39),$F38/'02_投資成本_CAPEX'!$N39,0)+IF(AND('02_投資成本_CAPEX'!$O39&gt;0,2&gt;='02_投資成本_CAPEX'!$O39,2&lt;='02_投資成本_CAPEX'!$O39+'02_投資成本_CAPEX'!$N39-1),$F38/'02_投資成本_CAPEX'!$N39,0))</f>
        <v>0</v>
      </c>
      <c r="I38" s="127" t="n">
        <f aca="false">IF(OR('02_投資成本_CAPEX'!$C39="",'02_投資成本_CAPEX'!$N39=0),0,IF(AND(3&gt;=1,3&lt;='02_投資成本_CAPEX'!$N39),$F38/'02_投資成本_CAPEX'!$N39,0)+IF(AND('02_投資成本_CAPEX'!$O39&gt;0,3&gt;='02_投資成本_CAPEX'!$O39,3&lt;='02_投資成本_CAPEX'!$O39+'02_投資成本_CAPEX'!$N39-1),$F38/'02_投資成本_CAPEX'!$N39,0))</f>
        <v>0</v>
      </c>
      <c r="J38" s="127" t="n">
        <f aca="false">IF(OR('02_投資成本_CAPEX'!$C39="",'02_投資成本_CAPEX'!$N39=0),0,IF(AND(4&gt;=1,4&lt;='02_投資成本_CAPEX'!$N39),$F38/'02_投資成本_CAPEX'!$N39,0)+IF(AND('02_投資成本_CAPEX'!$O39&gt;0,4&gt;='02_投資成本_CAPEX'!$O39,4&lt;='02_投資成本_CAPEX'!$O39+'02_投資成本_CAPEX'!$N39-1),$F38/'02_投資成本_CAPEX'!$N39,0))</f>
        <v>0</v>
      </c>
      <c r="K38" s="127" t="n">
        <f aca="false">IF(OR('02_投資成本_CAPEX'!$C39="",'02_投資成本_CAPEX'!$N39=0),0,IF(AND(5&gt;=1,5&lt;='02_投資成本_CAPEX'!$N39),$F38/'02_投資成本_CAPEX'!$N39,0)+IF(AND('02_投資成本_CAPEX'!$O39&gt;0,5&gt;='02_投資成本_CAPEX'!$O39,5&lt;='02_投資成本_CAPEX'!$O39+'02_投資成本_CAPEX'!$N39-1),$F38/'02_投資成本_CAPEX'!$N39,0))</f>
        <v>0</v>
      </c>
      <c r="L38" s="127" t="n">
        <f aca="false">IF(OR('02_投資成本_CAPEX'!$C39="",'02_投資成本_CAPEX'!$N39=0),0,IF(AND(6&gt;=1,6&lt;='02_投資成本_CAPEX'!$N39),$F38/'02_投資成本_CAPEX'!$N39,0)+IF(AND('02_投資成本_CAPEX'!$O39&gt;0,6&gt;='02_投資成本_CAPEX'!$O39,6&lt;='02_投資成本_CAPEX'!$O39+'02_投資成本_CAPEX'!$N39-1),$F38/'02_投資成本_CAPEX'!$N39,0))</f>
        <v>0</v>
      </c>
      <c r="M38" s="127" t="n">
        <f aca="false">IF(OR('02_投資成本_CAPEX'!$C39="",'02_投資成本_CAPEX'!$N39=0),0,IF(AND(7&gt;=1,7&lt;='02_投資成本_CAPEX'!$N39),$F38/'02_投資成本_CAPEX'!$N39,0)+IF(AND('02_投資成本_CAPEX'!$O39&gt;0,7&gt;='02_投資成本_CAPEX'!$O39,7&lt;='02_投資成本_CAPEX'!$O39+'02_投資成本_CAPEX'!$N39-1),$F38/'02_投資成本_CAPEX'!$N39,0))</f>
        <v>0</v>
      </c>
      <c r="N38" s="127" t="n">
        <f aca="false">IF(OR('02_投資成本_CAPEX'!$C39="",'02_投資成本_CAPEX'!$N39=0),0,IF(AND(8&gt;=1,8&lt;='02_投資成本_CAPEX'!$N39),$F38/'02_投資成本_CAPEX'!$N39,0)+IF(AND('02_投資成本_CAPEX'!$O39&gt;0,8&gt;='02_投資成本_CAPEX'!$O39,8&lt;='02_投資成本_CAPEX'!$O39+'02_投資成本_CAPEX'!$N39-1),$F38/'02_投資成本_CAPEX'!$N39,0))</f>
        <v>0</v>
      </c>
      <c r="O38" s="127" t="n">
        <f aca="false">IF(OR('02_投資成本_CAPEX'!$C39="",'02_投資成本_CAPEX'!$N39=0),0,IF(AND(9&gt;=1,9&lt;='02_投資成本_CAPEX'!$N39),$F38/'02_投資成本_CAPEX'!$N39,0)+IF(AND('02_投資成本_CAPEX'!$O39&gt;0,9&gt;='02_投資成本_CAPEX'!$O39,9&lt;='02_投資成本_CAPEX'!$O39+'02_投資成本_CAPEX'!$N39-1),$F38/'02_投資成本_CAPEX'!$N39,0))</f>
        <v>0</v>
      </c>
      <c r="P38" s="127" t="n">
        <f aca="false">IF(OR('02_投資成本_CAPEX'!$C39="",'02_投資成本_CAPEX'!$N39=0),0,IF(AND(10&gt;=1,10&lt;='02_投資成本_CAPEX'!$N39),$F38/'02_投資成本_CAPEX'!$N39,0)+IF(AND('02_投資成本_CAPEX'!$O39&gt;0,10&gt;='02_投資成本_CAPEX'!$O39,10&lt;='02_投資成本_CAPEX'!$O39+'02_投資成本_CAPEX'!$N39-1),$F38/'02_投資成本_CAPEX'!$N39,0))</f>
        <v>0</v>
      </c>
    </row>
    <row r="39" customFormat="false" ht="15.75" hidden="false" customHeight="true" outlineLevel="0" collapsed="false">
      <c r="A39" s="123" t="str">
        <f aca="false">IF('02_投資成本_CAPEX'!$C40="","",'02_投資成本_CAPEX'!$A40)</f>
        <v/>
      </c>
      <c r="B39" s="124" t="str">
        <f aca="false">IF('02_投資成本_CAPEX'!$C40="","",'02_投資成本_CAPEX'!$C40)</f>
        <v/>
      </c>
      <c r="C39" s="124" t="str">
        <f aca="false">IF('02_投資成本_CAPEX'!$C40="","",'02_投資成本_CAPEX'!$M40)</f>
        <v/>
      </c>
      <c r="D39" s="124" t="str">
        <f aca="false">IF('02_投資成本_CAPEX'!$C40="","",'02_投資成本_CAPEX'!$N40)</f>
        <v/>
      </c>
      <c r="E39" s="124" t="str">
        <f aca="false">IF('02_投資成本_CAPEX'!$C40="","",'02_投資成本_CAPEX'!$O40)</f>
        <v/>
      </c>
      <c r="F39" s="126" t="n">
        <f aca="false">IF('02_投資成本_CAPEX'!$C40="",0,'02_投資成本_CAPEX'!$L40*(1-'02_投資成本_CAPEX'!$P40)*'01_專案設定_Setup'!$B$30)</f>
        <v>0</v>
      </c>
      <c r="G39" s="127" t="n">
        <f aca="false">IF(OR('02_投資成本_CAPEX'!$C40="",'02_投資成本_CAPEX'!$N40=0),0,IF(AND(1&gt;=1,1&lt;='02_投資成本_CAPEX'!$N40),$F39/'02_投資成本_CAPEX'!$N40,0)+IF(AND('02_投資成本_CAPEX'!$O40&gt;0,1&gt;='02_投資成本_CAPEX'!$O40,1&lt;='02_投資成本_CAPEX'!$O40+'02_投資成本_CAPEX'!$N40-1),$F39/'02_投資成本_CAPEX'!$N40,0))</f>
        <v>0</v>
      </c>
      <c r="H39" s="127" t="n">
        <f aca="false">IF(OR('02_投資成本_CAPEX'!$C40="",'02_投資成本_CAPEX'!$N40=0),0,IF(AND(2&gt;=1,2&lt;='02_投資成本_CAPEX'!$N40),$F39/'02_投資成本_CAPEX'!$N40,0)+IF(AND('02_投資成本_CAPEX'!$O40&gt;0,2&gt;='02_投資成本_CAPEX'!$O40,2&lt;='02_投資成本_CAPEX'!$O40+'02_投資成本_CAPEX'!$N40-1),$F39/'02_投資成本_CAPEX'!$N40,0))</f>
        <v>0</v>
      </c>
      <c r="I39" s="127" t="n">
        <f aca="false">IF(OR('02_投資成本_CAPEX'!$C40="",'02_投資成本_CAPEX'!$N40=0),0,IF(AND(3&gt;=1,3&lt;='02_投資成本_CAPEX'!$N40),$F39/'02_投資成本_CAPEX'!$N40,0)+IF(AND('02_投資成本_CAPEX'!$O40&gt;0,3&gt;='02_投資成本_CAPEX'!$O40,3&lt;='02_投資成本_CAPEX'!$O40+'02_投資成本_CAPEX'!$N40-1),$F39/'02_投資成本_CAPEX'!$N40,0))</f>
        <v>0</v>
      </c>
      <c r="J39" s="127" t="n">
        <f aca="false">IF(OR('02_投資成本_CAPEX'!$C40="",'02_投資成本_CAPEX'!$N40=0),0,IF(AND(4&gt;=1,4&lt;='02_投資成本_CAPEX'!$N40),$F39/'02_投資成本_CAPEX'!$N40,0)+IF(AND('02_投資成本_CAPEX'!$O40&gt;0,4&gt;='02_投資成本_CAPEX'!$O40,4&lt;='02_投資成本_CAPEX'!$O40+'02_投資成本_CAPEX'!$N40-1),$F39/'02_投資成本_CAPEX'!$N40,0))</f>
        <v>0</v>
      </c>
      <c r="K39" s="127" t="n">
        <f aca="false">IF(OR('02_投資成本_CAPEX'!$C40="",'02_投資成本_CAPEX'!$N40=0),0,IF(AND(5&gt;=1,5&lt;='02_投資成本_CAPEX'!$N40),$F39/'02_投資成本_CAPEX'!$N40,0)+IF(AND('02_投資成本_CAPEX'!$O40&gt;0,5&gt;='02_投資成本_CAPEX'!$O40,5&lt;='02_投資成本_CAPEX'!$O40+'02_投資成本_CAPEX'!$N40-1),$F39/'02_投資成本_CAPEX'!$N40,0))</f>
        <v>0</v>
      </c>
      <c r="L39" s="127" t="n">
        <f aca="false">IF(OR('02_投資成本_CAPEX'!$C40="",'02_投資成本_CAPEX'!$N40=0),0,IF(AND(6&gt;=1,6&lt;='02_投資成本_CAPEX'!$N40),$F39/'02_投資成本_CAPEX'!$N40,0)+IF(AND('02_投資成本_CAPEX'!$O40&gt;0,6&gt;='02_投資成本_CAPEX'!$O40,6&lt;='02_投資成本_CAPEX'!$O40+'02_投資成本_CAPEX'!$N40-1),$F39/'02_投資成本_CAPEX'!$N40,0))</f>
        <v>0</v>
      </c>
      <c r="M39" s="127" t="n">
        <f aca="false">IF(OR('02_投資成本_CAPEX'!$C40="",'02_投資成本_CAPEX'!$N40=0),0,IF(AND(7&gt;=1,7&lt;='02_投資成本_CAPEX'!$N40),$F39/'02_投資成本_CAPEX'!$N40,0)+IF(AND('02_投資成本_CAPEX'!$O40&gt;0,7&gt;='02_投資成本_CAPEX'!$O40,7&lt;='02_投資成本_CAPEX'!$O40+'02_投資成本_CAPEX'!$N40-1),$F39/'02_投資成本_CAPEX'!$N40,0))</f>
        <v>0</v>
      </c>
      <c r="N39" s="127" t="n">
        <f aca="false">IF(OR('02_投資成本_CAPEX'!$C40="",'02_投資成本_CAPEX'!$N40=0),0,IF(AND(8&gt;=1,8&lt;='02_投資成本_CAPEX'!$N40),$F39/'02_投資成本_CAPEX'!$N40,0)+IF(AND('02_投資成本_CAPEX'!$O40&gt;0,8&gt;='02_投資成本_CAPEX'!$O40,8&lt;='02_投資成本_CAPEX'!$O40+'02_投資成本_CAPEX'!$N40-1),$F39/'02_投資成本_CAPEX'!$N40,0))</f>
        <v>0</v>
      </c>
      <c r="O39" s="127" t="n">
        <f aca="false">IF(OR('02_投資成本_CAPEX'!$C40="",'02_投資成本_CAPEX'!$N40=0),0,IF(AND(9&gt;=1,9&lt;='02_投資成本_CAPEX'!$N40),$F39/'02_投資成本_CAPEX'!$N40,0)+IF(AND('02_投資成本_CAPEX'!$O40&gt;0,9&gt;='02_投資成本_CAPEX'!$O40,9&lt;='02_投資成本_CAPEX'!$O40+'02_投資成本_CAPEX'!$N40-1),$F39/'02_投資成本_CAPEX'!$N40,0))</f>
        <v>0</v>
      </c>
      <c r="P39" s="127" t="n">
        <f aca="false">IF(OR('02_投資成本_CAPEX'!$C40="",'02_投資成本_CAPEX'!$N40=0),0,IF(AND(10&gt;=1,10&lt;='02_投資成本_CAPEX'!$N40),$F39/'02_投資成本_CAPEX'!$N40,0)+IF(AND('02_投資成本_CAPEX'!$O40&gt;0,10&gt;='02_投資成本_CAPEX'!$O40,10&lt;='02_投資成本_CAPEX'!$O40+'02_投資成本_CAPEX'!$N40-1),$F39/'02_投資成本_CAPEX'!$N40,0))</f>
        <v>0</v>
      </c>
    </row>
    <row r="40" customFormat="false" ht="15.75" hidden="false" customHeight="true" outlineLevel="0" collapsed="false">
      <c r="A40" s="123" t="str">
        <f aca="false">IF('02_投資成本_CAPEX'!$C41="","",'02_投資成本_CAPEX'!$A41)</f>
        <v/>
      </c>
      <c r="B40" s="124" t="str">
        <f aca="false">IF('02_投資成本_CAPEX'!$C41="","",'02_投資成本_CAPEX'!$C41)</f>
        <v/>
      </c>
      <c r="C40" s="124" t="str">
        <f aca="false">IF('02_投資成本_CAPEX'!$C41="","",'02_投資成本_CAPEX'!$M41)</f>
        <v/>
      </c>
      <c r="D40" s="124" t="str">
        <f aca="false">IF('02_投資成本_CAPEX'!$C41="","",'02_投資成本_CAPEX'!$N41)</f>
        <v/>
      </c>
      <c r="E40" s="124" t="str">
        <f aca="false">IF('02_投資成本_CAPEX'!$C41="","",'02_投資成本_CAPEX'!$O41)</f>
        <v/>
      </c>
      <c r="F40" s="126" t="n">
        <f aca="false">IF('02_投資成本_CAPEX'!$C41="",0,'02_投資成本_CAPEX'!$L41*(1-'02_投資成本_CAPEX'!$P41)*'01_專案設定_Setup'!$B$30)</f>
        <v>0</v>
      </c>
      <c r="G40" s="127" t="n">
        <f aca="false">IF(OR('02_投資成本_CAPEX'!$C41="",'02_投資成本_CAPEX'!$N41=0),0,IF(AND(1&gt;=1,1&lt;='02_投資成本_CAPEX'!$N41),$F40/'02_投資成本_CAPEX'!$N41,0)+IF(AND('02_投資成本_CAPEX'!$O41&gt;0,1&gt;='02_投資成本_CAPEX'!$O41,1&lt;='02_投資成本_CAPEX'!$O41+'02_投資成本_CAPEX'!$N41-1),$F40/'02_投資成本_CAPEX'!$N41,0))</f>
        <v>0</v>
      </c>
      <c r="H40" s="127" t="n">
        <f aca="false">IF(OR('02_投資成本_CAPEX'!$C41="",'02_投資成本_CAPEX'!$N41=0),0,IF(AND(2&gt;=1,2&lt;='02_投資成本_CAPEX'!$N41),$F40/'02_投資成本_CAPEX'!$N41,0)+IF(AND('02_投資成本_CAPEX'!$O41&gt;0,2&gt;='02_投資成本_CAPEX'!$O41,2&lt;='02_投資成本_CAPEX'!$O41+'02_投資成本_CAPEX'!$N41-1),$F40/'02_投資成本_CAPEX'!$N41,0))</f>
        <v>0</v>
      </c>
      <c r="I40" s="127" t="n">
        <f aca="false">IF(OR('02_投資成本_CAPEX'!$C41="",'02_投資成本_CAPEX'!$N41=0),0,IF(AND(3&gt;=1,3&lt;='02_投資成本_CAPEX'!$N41),$F40/'02_投資成本_CAPEX'!$N41,0)+IF(AND('02_投資成本_CAPEX'!$O41&gt;0,3&gt;='02_投資成本_CAPEX'!$O41,3&lt;='02_投資成本_CAPEX'!$O41+'02_投資成本_CAPEX'!$N41-1),$F40/'02_投資成本_CAPEX'!$N41,0))</f>
        <v>0</v>
      </c>
      <c r="J40" s="127" t="n">
        <f aca="false">IF(OR('02_投資成本_CAPEX'!$C41="",'02_投資成本_CAPEX'!$N41=0),0,IF(AND(4&gt;=1,4&lt;='02_投資成本_CAPEX'!$N41),$F40/'02_投資成本_CAPEX'!$N41,0)+IF(AND('02_投資成本_CAPEX'!$O41&gt;0,4&gt;='02_投資成本_CAPEX'!$O41,4&lt;='02_投資成本_CAPEX'!$O41+'02_投資成本_CAPEX'!$N41-1),$F40/'02_投資成本_CAPEX'!$N41,0))</f>
        <v>0</v>
      </c>
      <c r="K40" s="127" t="n">
        <f aca="false">IF(OR('02_投資成本_CAPEX'!$C41="",'02_投資成本_CAPEX'!$N41=0),0,IF(AND(5&gt;=1,5&lt;='02_投資成本_CAPEX'!$N41),$F40/'02_投資成本_CAPEX'!$N41,0)+IF(AND('02_投資成本_CAPEX'!$O41&gt;0,5&gt;='02_投資成本_CAPEX'!$O41,5&lt;='02_投資成本_CAPEX'!$O41+'02_投資成本_CAPEX'!$N41-1),$F40/'02_投資成本_CAPEX'!$N41,0))</f>
        <v>0</v>
      </c>
      <c r="L40" s="127" t="n">
        <f aca="false">IF(OR('02_投資成本_CAPEX'!$C41="",'02_投資成本_CAPEX'!$N41=0),0,IF(AND(6&gt;=1,6&lt;='02_投資成本_CAPEX'!$N41),$F40/'02_投資成本_CAPEX'!$N41,0)+IF(AND('02_投資成本_CAPEX'!$O41&gt;0,6&gt;='02_投資成本_CAPEX'!$O41,6&lt;='02_投資成本_CAPEX'!$O41+'02_投資成本_CAPEX'!$N41-1),$F40/'02_投資成本_CAPEX'!$N41,0))</f>
        <v>0</v>
      </c>
      <c r="M40" s="127" t="n">
        <f aca="false">IF(OR('02_投資成本_CAPEX'!$C41="",'02_投資成本_CAPEX'!$N41=0),0,IF(AND(7&gt;=1,7&lt;='02_投資成本_CAPEX'!$N41),$F40/'02_投資成本_CAPEX'!$N41,0)+IF(AND('02_投資成本_CAPEX'!$O41&gt;0,7&gt;='02_投資成本_CAPEX'!$O41,7&lt;='02_投資成本_CAPEX'!$O41+'02_投資成本_CAPEX'!$N41-1),$F40/'02_投資成本_CAPEX'!$N41,0))</f>
        <v>0</v>
      </c>
      <c r="N40" s="127" t="n">
        <f aca="false">IF(OR('02_投資成本_CAPEX'!$C41="",'02_投資成本_CAPEX'!$N41=0),0,IF(AND(8&gt;=1,8&lt;='02_投資成本_CAPEX'!$N41),$F40/'02_投資成本_CAPEX'!$N41,0)+IF(AND('02_投資成本_CAPEX'!$O41&gt;0,8&gt;='02_投資成本_CAPEX'!$O41,8&lt;='02_投資成本_CAPEX'!$O41+'02_投資成本_CAPEX'!$N41-1),$F40/'02_投資成本_CAPEX'!$N41,0))</f>
        <v>0</v>
      </c>
      <c r="O40" s="127" t="n">
        <f aca="false">IF(OR('02_投資成本_CAPEX'!$C41="",'02_投資成本_CAPEX'!$N41=0),0,IF(AND(9&gt;=1,9&lt;='02_投資成本_CAPEX'!$N41),$F40/'02_投資成本_CAPEX'!$N41,0)+IF(AND('02_投資成本_CAPEX'!$O41&gt;0,9&gt;='02_投資成本_CAPEX'!$O41,9&lt;='02_投資成本_CAPEX'!$O41+'02_投資成本_CAPEX'!$N41-1),$F40/'02_投資成本_CAPEX'!$N41,0))</f>
        <v>0</v>
      </c>
      <c r="P40" s="127" t="n">
        <f aca="false">IF(OR('02_投資成本_CAPEX'!$C41="",'02_投資成本_CAPEX'!$N41=0),0,IF(AND(10&gt;=1,10&lt;='02_投資成本_CAPEX'!$N41),$F40/'02_投資成本_CAPEX'!$N41,0)+IF(AND('02_投資成本_CAPEX'!$O41&gt;0,10&gt;='02_投資成本_CAPEX'!$O41,10&lt;='02_投資成本_CAPEX'!$O41+'02_投資成本_CAPEX'!$N41-1),$F40/'02_投資成本_CAPEX'!$N41,0))</f>
        <v>0</v>
      </c>
    </row>
    <row r="41" customFormat="false" ht="15.75" hidden="false" customHeight="true" outlineLevel="0" collapsed="false">
      <c r="A41" s="123" t="str">
        <f aca="false">IF('02_投資成本_CAPEX'!$C42="","",'02_投資成本_CAPEX'!$A42)</f>
        <v/>
      </c>
      <c r="B41" s="124" t="str">
        <f aca="false">IF('02_投資成本_CAPEX'!$C42="","",'02_投資成本_CAPEX'!$C42)</f>
        <v/>
      </c>
      <c r="C41" s="124" t="str">
        <f aca="false">IF('02_投資成本_CAPEX'!$C42="","",'02_投資成本_CAPEX'!$M42)</f>
        <v/>
      </c>
      <c r="D41" s="124" t="str">
        <f aca="false">IF('02_投資成本_CAPEX'!$C42="","",'02_投資成本_CAPEX'!$N42)</f>
        <v/>
      </c>
      <c r="E41" s="124" t="str">
        <f aca="false">IF('02_投資成本_CAPEX'!$C42="","",'02_投資成本_CAPEX'!$O42)</f>
        <v/>
      </c>
      <c r="F41" s="126" t="n">
        <f aca="false">IF('02_投資成本_CAPEX'!$C42="",0,'02_投資成本_CAPEX'!$L42*(1-'02_投資成本_CAPEX'!$P42)*'01_專案設定_Setup'!$B$30)</f>
        <v>0</v>
      </c>
      <c r="G41" s="127" t="n">
        <f aca="false">IF(OR('02_投資成本_CAPEX'!$C42="",'02_投資成本_CAPEX'!$N42=0),0,IF(AND(1&gt;=1,1&lt;='02_投資成本_CAPEX'!$N42),$F41/'02_投資成本_CAPEX'!$N42,0)+IF(AND('02_投資成本_CAPEX'!$O42&gt;0,1&gt;='02_投資成本_CAPEX'!$O42,1&lt;='02_投資成本_CAPEX'!$O42+'02_投資成本_CAPEX'!$N42-1),$F41/'02_投資成本_CAPEX'!$N42,0))</f>
        <v>0</v>
      </c>
      <c r="H41" s="127" t="n">
        <f aca="false">IF(OR('02_投資成本_CAPEX'!$C42="",'02_投資成本_CAPEX'!$N42=0),0,IF(AND(2&gt;=1,2&lt;='02_投資成本_CAPEX'!$N42),$F41/'02_投資成本_CAPEX'!$N42,0)+IF(AND('02_投資成本_CAPEX'!$O42&gt;0,2&gt;='02_投資成本_CAPEX'!$O42,2&lt;='02_投資成本_CAPEX'!$O42+'02_投資成本_CAPEX'!$N42-1),$F41/'02_投資成本_CAPEX'!$N42,0))</f>
        <v>0</v>
      </c>
      <c r="I41" s="127" t="n">
        <f aca="false">IF(OR('02_投資成本_CAPEX'!$C42="",'02_投資成本_CAPEX'!$N42=0),0,IF(AND(3&gt;=1,3&lt;='02_投資成本_CAPEX'!$N42),$F41/'02_投資成本_CAPEX'!$N42,0)+IF(AND('02_投資成本_CAPEX'!$O42&gt;0,3&gt;='02_投資成本_CAPEX'!$O42,3&lt;='02_投資成本_CAPEX'!$O42+'02_投資成本_CAPEX'!$N42-1),$F41/'02_投資成本_CAPEX'!$N42,0))</f>
        <v>0</v>
      </c>
      <c r="J41" s="127" t="n">
        <f aca="false">IF(OR('02_投資成本_CAPEX'!$C42="",'02_投資成本_CAPEX'!$N42=0),0,IF(AND(4&gt;=1,4&lt;='02_投資成本_CAPEX'!$N42),$F41/'02_投資成本_CAPEX'!$N42,0)+IF(AND('02_投資成本_CAPEX'!$O42&gt;0,4&gt;='02_投資成本_CAPEX'!$O42,4&lt;='02_投資成本_CAPEX'!$O42+'02_投資成本_CAPEX'!$N42-1),$F41/'02_投資成本_CAPEX'!$N42,0))</f>
        <v>0</v>
      </c>
      <c r="K41" s="127" t="n">
        <f aca="false">IF(OR('02_投資成本_CAPEX'!$C42="",'02_投資成本_CAPEX'!$N42=0),0,IF(AND(5&gt;=1,5&lt;='02_投資成本_CAPEX'!$N42),$F41/'02_投資成本_CAPEX'!$N42,0)+IF(AND('02_投資成本_CAPEX'!$O42&gt;0,5&gt;='02_投資成本_CAPEX'!$O42,5&lt;='02_投資成本_CAPEX'!$O42+'02_投資成本_CAPEX'!$N42-1),$F41/'02_投資成本_CAPEX'!$N42,0))</f>
        <v>0</v>
      </c>
      <c r="L41" s="127" t="n">
        <f aca="false">IF(OR('02_投資成本_CAPEX'!$C42="",'02_投資成本_CAPEX'!$N42=0),0,IF(AND(6&gt;=1,6&lt;='02_投資成本_CAPEX'!$N42),$F41/'02_投資成本_CAPEX'!$N42,0)+IF(AND('02_投資成本_CAPEX'!$O42&gt;0,6&gt;='02_投資成本_CAPEX'!$O42,6&lt;='02_投資成本_CAPEX'!$O42+'02_投資成本_CAPEX'!$N42-1),$F41/'02_投資成本_CAPEX'!$N42,0))</f>
        <v>0</v>
      </c>
      <c r="M41" s="127" t="n">
        <f aca="false">IF(OR('02_投資成本_CAPEX'!$C42="",'02_投資成本_CAPEX'!$N42=0),0,IF(AND(7&gt;=1,7&lt;='02_投資成本_CAPEX'!$N42),$F41/'02_投資成本_CAPEX'!$N42,0)+IF(AND('02_投資成本_CAPEX'!$O42&gt;0,7&gt;='02_投資成本_CAPEX'!$O42,7&lt;='02_投資成本_CAPEX'!$O42+'02_投資成本_CAPEX'!$N42-1),$F41/'02_投資成本_CAPEX'!$N42,0))</f>
        <v>0</v>
      </c>
      <c r="N41" s="127" t="n">
        <f aca="false">IF(OR('02_投資成本_CAPEX'!$C42="",'02_投資成本_CAPEX'!$N42=0),0,IF(AND(8&gt;=1,8&lt;='02_投資成本_CAPEX'!$N42),$F41/'02_投資成本_CAPEX'!$N42,0)+IF(AND('02_投資成本_CAPEX'!$O42&gt;0,8&gt;='02_投資成本_CAPEX'!$O42,8&lt;='02_投資成本_CAPEX'!$O42+'02_投資成本_CAPEX'!$N42-1),$F41/'02_投資成本_CAPEX'!$N42,0))</f>
        <v>0</v>
      </c>
      <c r="O41" s="127" t="n">
        <f aca="false">IF(OR('02_投資成本_CAPEX'!$C42="",'02_投資成本_CAPEX'!$N42=0),0,IF(AND(9&gt;=1,9&lt;='02_投資成本_CAPEX'!$N42),$F41/'02_投資成本_CAPEX'!$N42,0)+IF(AND('02_投資成本_CAPEX'!$O42&gt;0,9&gt;='02_投資成本_CAPEX'!$O42,9&lt;='02_投資成本_CAPEX'!$O42+'02_投資成本_CAPEX'!$N42-1),$F41/'02_投資成本_CAPEX'!$N42,0))</f>
        <v>0</v>
      </c>
      <c r="P41" s="127" t="n">
        <f aca="false">IF(OR('02_投資成本_CAPEX'!$C42="",'02_投資成本_CAPEX'!$N42=0),0,IF(AND(10&gt;=1,10&lt;='02_投資成本_CAPEX'!$N42),$F41/'02_投資成本_CAPEX'!$N42,0)+IF(AND('02_投資成本_CAPEX'!$O42&gt;0,10&gt;='02_投資成本_CAPEX'!$O42,10&lt;='02_投資成本_CAPEX'!$O42+'02_投資成本_CAPEX'!$N42-1),$F41/'02_投資成本_CAPEX'!$N42,0))</f>
        <v>0</v>
      </c>
    </row>
    <row r="42" customFormat="false" ht="15.75" hidden="false" customHeight="true" outlineLevel="0" collapsed="false">
      <c r="A42" s="123" t="str">
        <f aca="false">IF('02_投資成本_CAPEX'!$C43="","",'02_投資成本_CAPEX'!$A43)</f>
        <v/>
      </c>
      <c r="B42" s="124" t="str">
        <f aca="false">IF('02_投資成本_CAPEX'!$C43="","",'02_投資成本_CAPEX'!$C43)</f>
        <v/>
      </c>
      <c r="C42" s="124" t="str">
        <f aca="false">IF('02_投資成本_CAPEX'!$C43="","",'02_投資成本_CAPEX'!$M43)</f>
        <v/>
      </c>
      <c r="D42" s="124" t="str">
        <f aca="false">IF('02_投資成本_CAPEX'!$C43="","",'02_投資成本_CAPEX'!$N43)</f>
        <v/>
      </c>
      <c r="E42" s="124" t="str">
        <f aca="false">IF('02_投資成本_CAPEX'!$C43="","",'02_投資成本_CAPEX'!$O43)</f>
        <v/>
      </c>
      <c r="F42" s="126" t="n">
        <f aca="false">IF('02_投資成本_CAPEX'!$C43="",0,'02_投資成本_CAPEX'!$L43*(1-'02_投資成本_CAPEX'!$P43)*'01_專案設定_Setup'!$B$30)</f>
        <v>0</v>
      </c>
      <c r="G42" s="127" t="n">
        <f aca="false">IF(OR('02_投資成本_CAPEX'!$C43="",'02_投資成本_CAPEX'!$N43=0),0,IF(AND(1&gt;=1,1&lt;='02_投資成本_CAPEX'!$N43),$F42/'02_投資成本_CAPEX'!$N43,0)+IF(AND('02_投資成本_CAPEX'!$O43&gt;0,1&gt;='02_投資成本_CAPEX'!$O43,1&lt;='02_投資成本_CAPEX'!$O43+'02_投資成本_CAPEX'!$N43-1),$F42/'02_投資成本_CAPEX'!$N43,0))</f>
        <v>0</v>
      </c>
      <c r="H42" s="127" t="n">
        <f aca="false">IF(OR('02_投資成本_CAPEX'!$C43="",'02_投資成本_CAPEX'!$N43=0),0,IF(AND(2&gt;=1,2&lt;='02_投資成本_CAPEX'!$N43),$F42/'02_投資成本_CAPEX'!$N43,0)+IF(AND('02_投資成本_CAPEX'!$O43&gt;0,2&gt;='02_投資成本_CAPEX'!$O43,2&lt;='02_投資成本_CAPEX'!$O43+'02_投資成本_CAPEX'!$N43-1),$F42/'02_投資成本_CAPEX'!$N43,0))</f>
        <v>0</v>
      </c>
      <c r="I42" s="127" t="n">
        <f aca="false">IF(OR('02_投資成本_CAPEX'!$C43="",'02_投資成本_CAPEX'!$N43=0),0,IF(AND(3&gt;=1,3&lt;='02_投資成本_CAPEX'!$N43),$F42/'02_投資成本_CAPEX'!$N43,0)+IF(AND('02_投資成本_CAPEX'!$O43&gt;0,3&gt;='02_投資成本_CAPEX'!$O43,3&lt;='02_投資成本_CAPEX'!$O43+'02_投資成本_CAPEX'!$N43-1),$F42/'02_投資成本_CAPEX'!$N43,0))</f>
        <v>0</v>
      </c>
      <c r="J42" s="127" t="n">
        <f aca="false">IF(OR('02_投資成本_CAPEX'!$C43="",'02_投資成本_CAPEX'!$N43=0),0,IF(AND(4&gt;=1,4&lt;='02_投資成本_CAPEX'!$N43),$F42/'02_投資成本_CAPEX'!$N43,0)+IF(AND('02_投資成本_CAPEX'!$O43&gt;0,4&gt;='02_投資成本_CAPEX'!$O43,4&lt;='02_投資成本_CAPEX'!$O43+'02_投資成本_CAPEX'!$N43-1),$F42/'02_投資成本_CAPEX'!$N43,0))</f>
        <v>0</v>
      </c>
      <c r="K42" s="127" t="n">
        <f aca="false">IF(OR('02_投資成本_CAPEX'!$C43="",'02_投資成本_CAPEX'!$N43=0),0,IF(AND(5&gt;=1,5&lt;='02_投資成本_CAPEX'!$N43),$F42/'02_投資成本_CAPEX'!$N43,0)+IF(AND('02_投資成本_CAPEX'!$O43&gt;0,5&gt;='02_投資成本_CAPEX'!$O43,5&lt;='02_投資成本_CAPEX'!$O43+'02_投資成本_CAPEX'!$N43-1),$F42/'02_投資成本_CAPEX'!$N43,0))</f>
        <v>0</v>
      </c>
      <c r="L42" s="127" t="n">
        <f aca="false">IF(OR('02_投資成本_CAPEX'!$C43="",'02_投資成本_CAPEX'!$N43=0),0,IF(AND(6&gt;=1,6&lt;='02_投資成本_CAPEX'!$N43),$F42/'02_投資成本_CAPEX'!$N43,0)+IF(AND('02_投資成本_CAPEX'!$O43&gt;0,6&gt;='02_投資成本_CAPEX'!$O43,6&lt;='02_投資成本_CAPEX'!$O43+'02_投資成本_CAPEX'!$N43-1),$F42/'02_投資成本_CAPEX'!$N43,0))</f>
        <v>0</v>
      </c>
      <c r="M42" s="127" t="n">
        <f aca="false">IF(OR('02_投資成本_CAPEX'!$C43="",'02_投資成本_CAPEX'!$N43=0),0,IF(AND(7&gt;=1,7&lt;='02_投資成本_CAPEX'!$N43),$F42/'02_投資成本_CAPEX'!$N43,0)+IF(AND('02_投資成本_CAPEX'!$O43&gt;0,7&gt;='02_投資成本_CAPEX'!$O43,7&lt;='02_投資成本_CAPEX'!$O43+'02_投資成本_CAPEX'!$N43-1),$F42/'02_投資成本_CAPEX'!$N43,0))</f>
        <v>0</v>
      </c>
      <c r="N42" s="127" t="n">
        <f aca="false">IF(OR('02_投資成本_CAPEX'!$C43="",'02_投資成本_CAPEX'!$N43=0),0,IF(AND(8&gt;=1,8&lt;='02_投資成本_CAPEX'!$N43),$F42/'02_投資成本_CAPEX'!$N43,0)+IF(AND('02_投資成本_CAPEX'!$O43&gt;0,8&gt;='02_投資成本_CAPEX'!$O43,8&lt;='02_投資成本_CAPEX'!$O43+'02_投資成本_CAPEX'!$N43-1),$F42/'02_投資成本_CAPEX'!$N43,0))</f>
        <v>0</v>
      </c>
      <c r="O42" s="127" t="n">
        <f aca="false">IF(OR('02_投資成本_CAPEX'!$C43="",'02_投資成本_CAPEX'!$N43=0),0,IF(AND(9&gt;=1,9&lt;='02_投資成本_CAPEX'!$N43),$F42/'02_投資成本_CAPEX'!$N43,0)+IF(AND('02_投資成本_CAPEX'!$O43&gt;0,9&gt;='02_投資成本_CAPEX'!$O43,9&lt;='02_投資成本_CAPEX'!$O43+'02_投資成本_CAPEX'!$N43-1),$F42/'02_投資成本_CAPEX'!$N43,0))</f>
        <v>0</v>
      </c>
      <c r="P42" s="127" t="n">
        <f aca="false">IF(OR('02_投資成本_CAPEX'!$C43="",'02_投資成本_CAPEX'!$N43=0),0,IF(AND(10&gt;=1,10&lt;='02_投資成本_CAPEX'!$N43),$F42/'02_投資成本_CAPEX'!$N43,0)+IF(AND('02_投資成本_CAPEX'!$O43&gt;0,10&gt;='02_投資成本_CAPEX'!$O43,10&lt;='02_投資成本_CAPEX'!$O43+'02_投資成本_CAPEX'!$N43-1),$F42/'02_投資成本_CAPEX'!$N43,0))</f>
        <v>0</v>
      </c>
    </row>
    <row r="43" customFormat="false" ht="15.75" hidden="false" customHeight="true" outlineLevel="0" collapsed="false">
      <c r="A43" s="123" t="str">
        <f aca="false">IF('02_投資成本_CAPEX'!$C44="","",'02_投資成本_CAPEX'!$A44)</f>
        <v/>
      </c>
      <c r="B43" s="124" t="str">
        <f aca="false">IF('02_投資成本_CAPEX'!$C44="","",'02_投資成本_CAPEX'!$C44)</f>
        <v/>
      </c>
      <c r="C43" s="124" t="str">
        <f aca="false">IF('02_投資成本_CAPEX'!$C44="","",'02_投資成本_CAPEX'!$M44)</f>
        <v/>
      </c>
      <c r="D43" s="124" t="str">
        <f aca="false">IF('02_投資成本_CAPEX'!$C44="","",'02_投資成本_CAPEX'!$N44)</f>
        <v/>
      </c>
      <c r="E43" s="124" t="str">
        <f aca="false">IF('02_投資成本_CAPEX'!$C44="","",'02_投資成本_CAPEX'!$O44)</f>
        <v/>
      </c>
      <c r="F43" s="126" t="n">
        <f aca="false">IF('02_投資成本_CAPEX'!$C44="",0,'02_投資成本_CAPEX'!$L44*(1-'02_投資成本_CAPEX'!$P44)*'01_專案設定_Setup'!$B$30)</f>
        <v>0</v>
      </c>
      <c r="G43" s="127" t="n">
        <f aca="false">IF(OR('02_投資成本_CAPEX'!$C44="",'02_投資成本_CAPEX'!$N44=0),0,IF(AND(1&gt;=1,1&lt;='02_投資成本_CAPEX'!$N44),$F43/'02_投資成本_CAPEX'!$N44,0)+IF(AND('02_投資成本_CAPEX'!$O44&gt;0,1&gt;='02_投資成本_CAPEX'!$O44,1&lt;='02_投資成本_CAPEX'!$O44+'02_投資成本_CAPEX'!$N44-1),$F43/'02_投資成本_CAPEX'!$N44,0))</f>
        <v>0</v>
      </c>
      <c r="H43" s="127" t="n">
        <f aca="false">IF(OR('02_投資成本_CAPEX'!$C44="",'02_投資成本_CAPEX'!$N44=0),0,IF(AND(2&gt;=1,2&lt;='02_投資成本_CAPEX'!$N44),$F43/'02_投資成本_CAPEX'!$N44,0)+IF(AND('02_投資成本_CAPEX'!$O44&gt;0,2&gt;='02_投資成本_CAPEX'!$O44,2&lt;='02_投資成本_CAPEX'!$O44+'02_投資成本_CAPEX'!$N44-1),$F43/'02_投資成本_CAPEX'!$N44,0))</f>
        <v>0</v>
      </c>
      <c r="I43" s="127" t="n">
        <f aca="false">IF(OR('02_投資成本_CAPEX'!$C44="",'02_投資成本_CAPEX'!$N44=0),0,IF(AND(3&gt;=1,3&lt;='02_投資成本_CAPEX'!$N44),$F43/'02_投資成本_CAPEX'!$N44,0)+IF(AND('02_投資成本_CAPEX'!$O44&gt;0,3&gt;='02_投資成本_CAPEX'!$O44,3&lt;='02_投資成本_CAPEX'!$O44+'02_投資成本_CAPEX'!$N44-1),$F43/'02_投資成本_CAPEX'!$N44,0))</f>
        <v>0</v>
      </c>
      <c r="J43" s="127" t="n">
        <f aca="false">IF(OR('02_投資成本_CAPEX'!$C44="",'02_投資成本_CAPEX'!$N44=0),0,IF(AND(4&gt;=1,4&lt;='02_投資成本_CAPEX'!$N44),$F43/'02_投資成本_CAPEX'!$N44,0)+IF(AND('02_投資成本_CAPEX'!$O44&gt;0,4&gt;='02_投資成本_CAPEX'!$O44,4&lt;='02_投資成本_CAPEX'!$O44+'02_投資成本_CAPEX'!$N44-1),$F43/'02_投資成本_CAPEX'!$N44,0))</f>
        <v>0</v>
      </c>
      <c r="K43" s="127" t="n">
        <f aca="false">IF(OR('02_投資成本_CAPEX'!$C44="",'02_投資成本_CAPEX'!$N44=0),0,IF(AND(5&gt;=1,5&lt;='02_投資成本_CAPEX'!$N44),$F43/'02_投資成本_CAPEX'!$N44,0)+IF(AND('02_投資成本_CAPEX'!$O44&gt;0,5&gt;='02_投資成本_CAPEX'!$O44,5&lt;='02_投資成本_CAPEX'!$O44+'02_投資成本_CAPEX'!$N44-1),$F43/'02_投資成本_CAPEX'!$N44,0))</f>
        <v>0</v>
      </c>
      <c r="L43" s="127" t="n">
        <f aca="false">IF(OR('02_投資成本_CAPEX'!$C44="",'02_投資成本_CAPEX'!$N44=0),0,IF(AND(6&gt;=1,6&lt;='02_投資成本_CAPEX'!$N44),$F43/'02_投資成本_CAPEX'!$N44,0)+IF(AND('02_投資成本_CAPEX'!$O44&gt;0,6&gt;='02_投資成本_CAPEX'!$O44,6&lt;='02_投資成本_CAPEX'!$O44+'02_投資成本_CAPEX'!$N44-1),$F43/'02_投資成本_CAPEX'!$N44,0))</f>
        <v>0</v>
      </c>
      <c r="M43" s="127" t="n">
        <f aca="false">IF(OR('02_投資成本_CAPEX'!$C44="",'02_投資成本_CAPEX'!$N44=0),0,IF(AND(7&gt;=1,7&lt;='02_投資成本_CAPEX'!$N44),$F43/'02_投資成本_CAPEX'!$N44,0)+IF(AND('02_投資成本_CAPEX'!$O44&gt;0,7&gt;='02_投資成本_CAPEX'!$O44,7&lt;='02_投資成本_CAPEX'!$O44+'02_投資成本_CAPEX'!$N44-1),$F43/'02_投資成本_CAPEX'!$N44,0))</f>
        <v>0</v>
      </c>
      <c r="N43" s="127" t="n">
        <f aca="false">IF(OR('02_投資成本_CAPEX'!$C44="",'02_投資成本_CAPEX'!$N44=0),0,IF(AND(8&gt;=1,8&lt;='02_投資成本_CAPEX'!$N44),$F43/'02_投資成本_CAPEX'!$N44,0)+IF(AND('02_投資成本_CAPEX'!$O44&gt;0,8&gt;='02_投資成本_CAPEX'!$O44,8&lt;='02_投資成本_CAPEX'!$O44+'02_投資成本_CAPEX'!$N44-1),$F43/'02_投資成本_CAPEX'!$N44,0))</f>
        <v>0</v>
      </c>
      <c r="O43" s="127" t="n">
        <f aca="false">IF(OR('02_投資成本_CAPEX'!$C44="",'02_投資成本_CAPEX'!$N44=0),0,IF(AND(9&gt;=1,9&lt;='02_投資成本_CAPEX'!$N44),$F43/'02_投資成本_CAPEX'!$N44,0)+IF(AND('02_投資成本_CAPEX'!$O44&gt;0,9&gt;='02_投資成本_CAPEX'!$O44,9&lt;='02_投資成本_CAPEX'!$O44+'02_投資成本_CAPEX'!$N44-1),$F43/'02_投資成本_CAPEX'!$N44,0))</f>
        <v>0</v>
      </c>
      <c r="P43" s="127" t="n">
        <f aca="false">IF(OR('02_投資成本_CAPEX'!$C44="",'02_投資成本_CAPEX'!$N44=0),0,IF(AND(10&gt;=1,10&lt;='02_投資成本_CAPEX'!$N44),$F43/'02_投資成本_CAPEX'!$N44,0)+IF(AND('02_投資成本_CAPEX'!$O44&gt;0,10&gt;='02_投資成本_CAPEX'!$O44,10&lt;='02_投資成本_CAPEX'!$O44+'02_投資成本_CAPEX'!$N44-1),$F43/'02_投資成本_CAPEX'!$N44,0))</f>
        <v>0</v>
      </c>
    </row>
    <row r="44" customFormat="false" ht="15.75" hidden="false" customHeight="true" outlineLevel="0" collapsed="false">
      <c r="A44" s="123" t="str">
        <f aca="false">IF('02_投資成本_CAPEX'!$C45="","",'02_投資成本_CAPEX'!$A45)</f>
        <v/>
      </c>
      <c r="B44" s="124" t="str">
        <f aca="false">IF('02_投資成本_CAPEX'!$C45="","",'02_投資成本_CAPEX'!$C45)</f>
        <v/>
      </c>
      <c r="C44" s="124" t="str">
        <f aca="false">IF('02_投資成本_CAPEX'!$C45="","",'02_投資成本_CAPEX'!$M45)</f>
        <v/>
      </c>
      <c r="D44" s="124" t="str">
        <f aca="false">IF('02_投資成本_CAPEX'!$C45="","",'02_投資成本_CAPEX'!$N45)</f>
        <v/>
      </c>
      <c r="E44" s="124" t="str">
        <f aca="false">IF('02_投資成本_CAPEX'!$C45="","",'02_投資成本_CAPEX'!$O45)</f>
        <v/>
      </c>
      <c r="F44" s="126" t="n">
        <f aca="false">IF('02_投資成本_CAPEX'!$C45="",0,'02_投資成本_CAPEX'!$L45*(1-'02_投資成本_CAPEX'!$P45)*'01_專案設定_Setup'!$B$30)</f>
        <v>0</v>
      </c>
      <c r="G44" s="127" t="n">
        <f aca="false">IF(OR('02_投資成本_CAPEX'!$C45="",'02_投資成本_CAPEX'!$N45=0),0,IF(AND(1&gt;=1,1&lt;='02_投資成本_CAPEX'!$N45),$F44/'02_投資成本_CAPEX'!$N45,0)+IF(AND('02_投資成本_CAPEX'!$O45&gt;0,1&gt;='02_投資成本_CAPEX'!$O45,1&lt;='02_投資成本_CAPEX'!$O45+'02_投資成本_CAPEX'!$N45-1),$F44/'02_投資成本_CAPEX'!$N45,0))</f>
        <v>0</v>
      </c>
      <c r="H44" s="127" t="n">
        <f aca="false">IF(OR('02_投資成本_CAPEX'!$C45="",'02_投資成本_CAPEX'!$N45=0),0,IF(AND(2&gt;=1,2&lt;='02_投資成本_CAPEX'!$N45),$F44/'02_投資成本_CAPEX'!$N45,0)+IF(AND('02_投資成本_CAPEX'!$O45&gt;0,2&gt;='02_投資成本_CAPEX'!$O45,2&lt;='02_投資成本_CAPEX'!$O45+'02_投資成本_CAPEX'!$N45-1),$F44/'02_投資成本_CAPEX'!$N45,0))</f>
        <v>0</v>
      </c>
      <c r="I44" s="127" t="n">
        <f aca="false">IF(OR('02_投資成本_CAPEX'!$C45="",'02_投資成本_CAPEX'!$N45=0),0,IF(AND(3&gt;=1,3&lt;='02_投資成本_CAPEX'!$N45),$F44/'02_投資成本_CAPEX'!$N45,0)+IF(AND('02_投資成本_CAPEX'!$O45&gt;0,3&gt;='02_投資成本_CAPEX'!$O45,3&lt;='02_投資成本_CAPEX'!$O45+'02_投資成本_CAPEX'!$N45-1),$F44/'02_投資成本_CAPEX'!$N45,0))</f>
        <v>0</v>
      </c>
      <c r="J44" s="127" t="n">
        <f aca="false">IF(OR('02_投資成本_CAPEX'!$C45="",'02_投資成本_CAPEX'!$N45=0),0,IF(AND(4&gt;=1,4&lt;='02_投資成本_CAPEX'!$N45),$F44/'02_投資成本_CAPEX'!$N45,0)+IF(AND('02_投資成本_CAPEX'!$O45&gt;0,4&gt;='02_投資成本_CAPEX'!$O45,4&lt;='02_投資成本_CAPEX'!$O45+'02_投資成本_CAPEX'!$N45-1),$F44/'02_投資成本_CAPEX'!$N45,0))</f>
        <v>0</v>
      </c>
      <c r="K44" s="127" t="n">
        <f aca="false">IF(OR('02_投資成本_CAPEX'!$C45="",'02_投資成本_CAPEX'!$N45=0),0,IF(AND(5&gt;=1,5&lt;='02_投資成本_CAPEX'!$N45),$F44/'02_投資成本_CAPEX'!$N45,0)+IF(AND('02_投資成本_CAPEX'!$O45&gt;0,5&gt;='02_投資成本_CAPEX'!$O45,5&lt;='02_投資成本_CAPEX'!$O45+'02_投資成本_CAPEX'!$N45-1),$F44/'02_投資成本_CAPEX'!$N45,0))</f>
        <v>0</v>
      </c>
      <c r="L44" s="127" t="n">
        <f aca="false">IF(OR('02_投資成本_CAPEX'!$C45="",'02_投資成本_CAPEX'!$N45=0),0,IF(AND(6&gt;=1,6&lt;='02_投資成本_CAPEX'!$N45),$F44/'02_投資成本_CAPEX'!$N45,0)+IF(AND('02_投資成本_CAPEX'!$O45&gt;0,6&gt;='02_投資成本_CAPEX'!$O45,6&lt;='02_投資成本_CAPEX'!$O45+'02_投資成本_CAPEX'!$N45-1),$F44/'02_投資成本_CAPEX'!$N45,0))</f>
        <v>0</v>
      </c>
      <c r="M44" s="127" t="n">
        <f aca="false">IF(OR('02_投資成本_CAPEX'!$C45="",'02_投資成本_CAPEX'!$N45=0),0,IF(AND(7&gt;=1,7&lt;='02_投資成本_CAPEX'!$N45),$F44/'02_投資成本_CAPEX'!$N45,0)+IF(AND('02_投資成本_CAPEX'!$O45&gt;0,7&gt;='02_投資成本_CAPEX'!$O45,7&lt;='02_投資成本_CAPEX'!$O45+'02_投資成本_CAPEX'!$N45-1),$F44/'02_投資成本_CAPEX'!$N45,0))</f>
        <v>0</v>
      </c>
      <c r="N44" s="127" t="n">
        <f aca="false">IF(OR('02_投資成本_CAPEX'!$C45="",'02_投資成本_CAPEX'!$N45=0),0,IF(AND(8&gt;=1,8&lt;='02_投資成本_CAPEX'!$N45),$F44/'02_投資成本_CAPEX'!$N45,0)+IF(AND('02_投資成本_CAPEX'!$O45&gt;0,8&gt;='02_投資成本_CAPEX'!$O45,8&lt;='02_投資成本_CAPEX'!$O45+'02_投資成本_CAPEX'!$N45-1),$F44/'02_投資成本_CAPEX'!$N45,0))</f>
        <v>0</v>
      </c>
      <c r="O44" s="127" t="n">
        <f aca="false">IF(OR('02_投資成本_CAPEX'!$C45="",'02_投資成本_CAPEX'!$N45=0),0,IF(AND(9&gt;=1,9&lt;='02_投資成本_CAPEX'!$N45),$F44/'02_投資成本_CAPEX'!$N45,0)+IF(AND('02_投資成本_CAPEX'!$O45&gt;0,9&gt;='02_投資成本_CAPEX'!$O45,9&lt;='02_投資成本_CAPEX'!$O45+'02_投資成本_CAPEX'!$N45-1),$F44/'02_投資成本_CAPEX'!$N45,0))</f>
        <v>0</v>
      </c>
      <c r="P44" s="127" t="n">
        <f aca="false">IF(OR('02_投資成本_CAPEX'!$C45="",'02_投資成本_CAPEX'!$N45=0),0,IF(AND(10&gt;=1,10&lt;='02_投資成本_CAPEX'!$N45),$F44/'02_投資成本_CAPEX'!$N45,0)+IF(AND('02_投資成本_CAPEX'!$O45&gt;0,10&gt;='02_投資成本_CAPEX'!$O45,10&lt;='02_投資成本_CAPEX'!$O45+'02_投資成本_CAPEX'!$N45-1),$F44/'02_投資成本_CAPEX'!$N45,0))</f>
        <v>0</v>
      </c>
    </row>
    <row r="45" customFormat="false" ht="15.75" hidden="false" customHeight="true" outlineLevel="0" collapsed="false">
      <c r="A45" s="123" t="str">
        <f aca="false">IF('02_投資成本_CAPEX'!$C46="","",'02_投資成本_CAPEX'!$A46)</f>
        <v/>
      </c>
      <c r="B45" s="124" t="str">
        <f aca="false">IF('02_投資成本_CAPEX'!$C46="","",'02_投資成本_CAPEX'!$C46)</f>
        <v/>
      </c>
      <c r="C45" s="124" t="str">
        <f aca="false">IF('02_投資成本_CAPEX'!$C46="","",'02_投資成本_CAPEX'!$M46)</f>
        <v/>
      </c>
      <c r="D45" s="124" t="str">
        <f aca="false">IF('02_投資成本_CAPEX'!$C46="","",'02_投資成本_CAPEX'!$N46)</f>
        <v/>
      </c>
      <c r="E45" s="124" t="str">
        <f aca="false">IF('02_投資成本_CAPEX'!$C46="","",'02_投資成本_CAPEX'!$O46)</f>
        <v/>
      </c>
      <c r="F45" s="126" t="n">
        <f aca="false">IF('02_投資成本_CAPEX'!$C46="",0,'02_投資成本_CAPEX'!$L46*(1-'02_投資成本_CAPEX'!$P46)*'01_專案設定_Setup'!$B$30)</f>
        <v>0</v>
      </c>
      <c r="G45" s="127" t="n">
        <f aca="false">IF(OR('02_投資成本_CAPEX'!$C46="",'02_投資成本_CAPEX'!$N46=0),0,IF(AND(1&gt;=1,1&lt;='02_投資成本_CAPEX'!$N46),$F45/'02_投資成本_CAPEX'!$N46,0)+IF(AND('02_投資成本_CAPEX'!$O46&gt;0,1&gt;='02_投資成本_CAPEX'!$O46,1&lt;='02_投資成本_CAPEX'!$O46+'02_投資成本_CAPEX'!$N46-1),$F45/'02_投資成本_CAPEX'!$N46,0))</f>
        <v>0</v>
      </c>
      <c r="H45" s="127" t="n">
        <f aca="false">IF(OR('02_投資成本_CAPEX'!$C46="",'02_投資成本_CAPEX'!$N46=0),0,IF(AND(2&gt;=1,2&lt;='02_投資成本_CAPEX'!$N46),$F45/'02_投資成本_CAPEX'!$N46,0)+IF(AND('02_投資成本_CAPEX'!$O46&gt;0,2&gt;='02_投資成本_CAPEX'!$O46,2&lt;='02_投資成本_CAPEX'!$O46+'02_投資成本_CAPEX'!$N46-1),$F45/'02_投資成本_CAPEX'!$N46,0))</f>
        <v>0</v>
      </c>
      <c r="I45" s="127" t="n">
        <f aca="false">IF(OR('02_投資成本_CAPEX'!$C46="",'02_投資成本_CAPEX'!$N46=0),0,IF(AND(3&gt;=1,3&lt;='02_投資成本_CAPEX'!$N46),$F45/'02_投資成本_CAPEX'!$N46,0)+IF(AND('02_投資成本_CAPEX'!$O46&gt;0,3&gt;='02_投資成本_CAPEX'!$O46,3&lt;='02_投資成本_CAPEX'!$O46+'02_投資成本_CAPEX'!$N46-1),$F45/'02_投資成本_CAPEX'!$N46,0))</f>
        <v>0</v>
      </c>
      <c r="J45" s="127" t="n">
        <f aca="false">IF(OR('02_投資成本_CAPEX'!$C46="",'02_投資成本_CAPEX'!$N46=0),0,IF(AND(4&gt;=1,4&lt;='02_投資成本_CAPEX'!$N46),$F45/'02_投資成本_CAPEX'!$N46,0)+IF(AND('02_投資成本_CAPEX'!$O46&gt;0,4&gt;='02_投資成本_CAPEX'!$O46,4&lt;='02_投資成本_CAPEX'!$O46+'02_投資成本_CAPEX'!$N46-1),$F45/'02_投資成本_CAPEX'!$N46,0))</f>
        <v>0</v>
      </c>
      <c r="K45" s="127" t="n">
        <f aca="false">IF(OR('02_投資成本_CAPEX'!$C46="",'02_投資成本_CAPEX'!$N46=0),0,IF(AND(5&gt;=1,5&lt;='02_投資成本_CAPEX'!$N46),$F45/'02_投資成本_CAPEX'!$N46,0)+IF(AND('02_投資成本_CAPEX'!$O46&gt;0,5&gt;='02_投資成本_CAPEX'!$O46,5&lt;='02_投資成本_CAPEX'!$O46+'02_投資成本_CAPEX'!$N46-1),$F45/'02_投資成本_CAPEX'!$N46,0))</f>
        <v>0</v>
      </c>
      <c r="L45" s="127" t="n">
        <f aca="false">IF(OR('02_投資成本_CAPEX'!$C46="",'02_投資成本_CAPEX'!$N46=0),0,IF(AND(6&gt;=1,6&lt;='02_投資成本_CAPEX'!$N46),$F45/'02_投資成本_CAPEX'!$N46,0)+IF(AND('02_投資成本_CAPEX'!$O46&gt;0,6&gt;='02_投資成本_CAPEX'!$O46,6&lt;='02_投資成本_CAPEX'!$O46+'02_投資成本_CAPEX'!$N46-1),$F45/'02_投資成本_CAPEX'!$N46,0))</f>
        <v>0</v>
      </c>
      <c r="M45" s="127" t="n">
        <f aca="false">IF(OR('02_投資成本_CAPEX'!$C46="",'02_投資成本_CAPEX'!$N46=0),0,IF(AND(7&gt;=1,7&lt;='02_投資成本_CAPEX'!$N46),$F45/'02_投資成本_CAPEX'!$N46,0)+IF(AND('02_投資成本_CAPEX'!$O46&gt;0,7&gt;='02_投資成本_CAPEX'!$O46,7&lt;='02_投資成本_CAPEX'!$O46+'02_投資成本_CAPEX'!$N46-1),$F45/'02_投資成本_CAPEX'!$N46,0))</f>
        <v>0</v>
      </c>
      <c r="N45" s="127" t="n">
        <f aca="false">IF(OR('02_投資成本_CAPEX'!$C46="",'02_投資成本_CAPEX'!$N46=0),0,IF(AND(8&gt;=1,8&lt;='02_投資成本_CAPEX'!$N46),$F45/'02_投資成本_CAPEX'!$N46,0)+IF(AND('02_投資成本_CAPEX'!$O46&gt;0,8&gt;='02_投資成本_CAPEX'!$O46,8&lt;='02_投資成本_CAPEX'!$O46+'02_投資成本_CAPEX'!$N46-1),$F45/'02_投資成本_CAPEX'!$N46,0))</f>
        <v>0</v>
      </c>
      <c r="O45" s="127" t="n">
        <f aca="false">IF(OR('02_投資成本_CAPEX'!$C46="",'02_投資成本_CAPEX'!$N46=0),0,IF(AND(9&gt;=1,9&lt;='02_投資成本_CAPEX'!$N46),$F45/'02_投資成本_CAPEX'!$N46,0)+IF(AND('02_投資成本_CAPEX'!$O46&gt;0,9&gt;='02_投資成本_CAPEX'!$O46,9&lt;='02_投資成本_CAPEX'!$O46+'02_投資成本_CAPEX'!$N46-1),$F45/'02_投資成本_CAPEX'!$N46,0))</f>
        <v>0</v>
      </c>
      <c r="P45" s="127" t="n">
        <f aca="false">IF(OR('02_投資成本_CAPEX'!$C46="",'02_投資成本_CAPEX'!$N46=0),0,IF(AND(10&gt;=1,10&lt;='02_投資成本_CAPEX'!$N46),$F45/'02_投資成本_CAPEX'!$N46,0)+IF(AND('02_投資成本_CAPEX'!$O46&gt;0,10&gt;='02_投資成本_CAPEX'!$O46,10&lt;='02_投資成本_CAPEX'!$O46+'02_投資成本_CAPEX'!$N46-1),$F45/'02_投資成本_CAPEX'!$N46,0))</f>
        <v>0</v>
      </c>
    </row>
    <row r="46" customFormat="false" ht="15.75" hidden="false" customHeight="true" outlineLevel="0" collapsed="false">
      <c r="A46" s="123" t="str">
        <f aca="false">IF('02_投資成本_CAPEX'!$C47="","",'02_投資成本_CAPEX'!$A47)</f>
        <v/>
      </c>
      <c r="B46" s="124" t="str">
        <f aca="false">IF('02_投資成本_CAPEX'!$C47="","",'02_投資成本_CAPEX'!$C47)</f>
        <v/>
      </c>
      <c r="C46" s="124" t="str">
        <f aca="false">IF('02_投資成本_CAPEX'!$C47="","",'02_投資成本_CAPEX'!$M47)</f>
        <v/>
      </c>
      <c r="D46" s="124" t="str">
        <f aca="false">IF('02_投資成本_CAPEX'!$C47="","",'02_投資成本_CAPEX'!$N47)</f>
        <v/>
      </c>
      <c r="E46" s="124" t="str">
        <f aca="false">IF('02_投資成本_CAPEX'!$C47="","",'02_投資成本_CAPEX'!$O47)</f>
        <v/>
      </c>
      <c r="F46" s="126" t="n">
        <f aca="false">IF('02_投資成本_CAPEX'!$C47="",0,'02_投資成本_CAPEX'!$L47*(1-'02_投資成本_CAPEX'!$P47)*'01_專案設定_Setup'!$B$30)</f>
        <v>0</v>
      </c>
      <c r="G46" s="127" t="n">
        <f aca="false">IF(OR('02_投資成本_CAPEX'!$C47="",'02_投資成本_CAPEX'!$N47=0),0,IF(AND(1&gt;=1,1&lt;='02_投資成本_CAPEX'!$N47),$F46/'02_投資成本_CAPEX'!$N47,0)+IF(AND('02_投資成本_CAPEX'!$O47&gt;0,1&gt;='02_投資成本_CAPEX'!$O47,1&lt;='02_投資成本_CAPEX'!$O47+'02_投資成本_CAPEX'!$N47-1),$F46/'02_投資成本_CAPEX'!$N47,0))</f>
        <v>0</v>
      </c>
      <c r="H46" s="127" t="n">
        <f aca="false">IF(OR('02_投資成本_CAPEX'!$C47="",'02_投資成本_CAPEX'!$N47=0),0,IF(AND(2&gt;=1,2&lt;='02_投資成本_CAPEX'!$N47),$F46/'02_投資成本_CAPEX'!$N47,0)+IF(AND('02_投資成本_CAPEX'!$O47&gt;0,2&gt;='02_投資成本_CAPEX'!$O47,2&lt;='02_投資成本_CAPEX'!$O47+'02_投資成本_CAPEX'!$N47-1),$F46/'02_投資成本_CAPEX'!$N47,0))</f>
        <v>0</v>
      </c>
      <c r="I46" s="127" t="n">
        <f aca="false">IF(OR('02_投資成本_CAPEX'!$C47="",'02_投資成本_CAPEX'!$N47=0),0,IF(AND(3&gt;=1,3&lt;='02_投資成本_CAPEX'!$N47),$F46/'02_投資成本_CAPEX'!$N47,0)+IF(AND('02_投資成本_CAPEX'!$O47&gt;0,3&gt;='02_投資成本_CAPEX'!$O47,3&lt;='02_投資成本_CAPEX'!$O47+'02_投資成本_CAPEX'!$N47-1),$F46/'02_投資成本_CAPEX'!$N47,0))</f>
        <v>0</v>
      </c>
      <c r="J46" s="127" t="n">
        <f aca="false">IF(OR('02_投資成本_CAPEX'!$C47="",'02_投資成本_CAPEX'!$N47=0),0,IF(AND(4&gt;=1,4&lt;='02_投資成本_CAPEX'!$N47),$F46/'02_投資成本_CAPEX'!$N47,0)+IF(AND('02_投資成本_CAPEX'!$O47&gt;0,4&gt;='02_投資成本_CAPEX'!$O47,4&lt;='02_投資成本_CAPEX'!$O47+'02_投資成本_CAPEX'!$N47-1),$F46/'02_投資成本_CAPEX'!$N47,0))</f>
        <v>0</v>
      </c>
      <c r="K46" s="127" t="n">
        <f aca="false">IF(OR('02_投資成本_CAPEX'!$C47="",'02_投資成本_CAPEX'!$N47=0),0,IF(AND(5&gt;=1,5&lt;='02_投資成本_CAPEX'!$N47),$F46/'02_投資成本_CAPEX'!$N47,0)+IF(AND('02_投資成本_CAPEX'!$O47&gt;0,5&gt;='02_投資成本_CAPEX'!$O47,5&lt;='02_投資成本_CAPEX'!$O47+'02_投資成本_CAPEX'!$N47-1),$F46/'02_投資成本_CAPEX'!$N47,0))</f>
        <v>0</v>
      </c>
      <c r="L46" s="127" t="n">
        <f aca="false">IF(OR('02_投資成本_CAPEX'!$C47="",'02_投資成本_CAPEX'!$N47=0),0,IF(AND(6&gt;=1,6&lt;='02_投資成本_CAPEX'!$N47),$F46/'02_投資成本_CAPEX'!$N47,0)+IF(AND('02_投資成本_CAPEX'!$O47&gt;0,6&gt;='02_投資成本_CAPEX'!$O47,6&lt;='02_投資成本_CAPEX'!$O47+'02_投資成本_CAPEX'!$N47-1),$F46/'02_投資成本_CAPEX'!$N47,0))</f>
        <v>0</v>
      </c>
      <c r="M46" s="127" t="n">
        <f aca="false">IF(OR('02_投資成本_CAPEX'!$C47="",'02_投資成本_CAPEX'!$N47=0),0,IF(AND(7&gt;=1,7&lt;='02_投資成本_CAPEX'!$N47),$F46/'02_投資成本_CAPEX'!$N47,0)+IF(AND('02_投資成本_CAPEX'!$O47&gt;0,7&gt;='02_投資成本_CAPEX'!$O47,7&lt;='02_投資成本_CAPEX'!$O47+'02_投資成本_CAPEX'!$N47-1),$F46/'02_投資成本_CAPEX'!$N47,0))</f>
        <v>0</v>
      </c>
      <c r="N46" s="127" t="n">
        <f aca="false">IF(OR('02_投資成本_CAPEX'!$C47="",'02_投資成本_CAPEX'!$N47=0),0,IF(AND(8&gt;=1,8&lt;='02_投資成本_CAPEX'!$N47),$F46/'02_投資成本_CAPEX'!$N47,0)+IF(AND('02_投資成本_CAPEX'!$O47&gt;0,8&gt;='02_投資成本_CAPEX'!$O47,8&lt;='02_投資成本_CAPEX'!$O47+'02_投資成本_CAPEX'!$N47-1),$F46/'02_投資成本_CAPEX'!$N47,0))</f>
        <v>0</v>
      </c>
      <c r="O46" s="127" t="n">
        <f aca="false">IF(OR('02_投資成本_CAPEX'!$C47="",'02_投資成本_CAPEX'!$N47=0),0,IF(AND(9&gt;=1,9&lt;='02_投資成本_CAPEX'!$N47),$F46/'02_投資成本_CAPEX'!$N47,0)+IF(AND('02_投資成本_CAPEX'!$O47&gt;0,9&gt;='02_投資成本_CAPEX'!$O47,9&lt;='02_投資成本_CAPEX'!$O47+'02_投資成本_CAPEX'!$N47-1),$F46/'02_投資成本_CAPEX'!$N47,0))</f>
        <v>0</v>
      </c>
      <c r="P46" s="127" t="n">
        <f aca="false">IF(OR('02_投資成本_CAPEX'!$C47="",'02_投資成本_CAPEX'!$N47=0),0,IF(AND(10&gt;=1,10&lt;='02_投資成本_CAPEX'!$N47),$F46/'02_投資成本_CAPEX'!$N47,0)+IF(AND('02_投資成本_CAPEX'!$O47&gt;0,10&gt;='02_投資成本_CAPEX'!$O47,10&lt;='02_投資成本_CAPEX'!$O47+'02_投資成本_CAPEX'!$N47-1),$F46/'02_投資成本_CAPEX'!$N47,0))</f>
        <v>0</v>
      </c>
    </row>
    <row r="47" customFormat="false" ht="15.75" hidden="false" customHeight="true" outlineLevel="0" collapsed="false">
      <c r="A47" s="123" t="str">
        <f aca="false">IF('02_投資成本_CAPEX'!$C48="","",'02_投資成本_CAPEX'!$A48)</f>
        <v/>
      </c>
      <c r="B47" s="124" t="str">
        <f aca="false">IF('02_投資成本_CAPEX'!$C48="","",'02_投資成本_CAPEX'!$C48)</f>
        <v/>
      </c>
      <c r="C47" s="124" t="str">
        <f aca="false">IF('02_投資成本_CAPEX'!$C48="","",'02_投資成本_CAPEX'!$M48)</f>
        <v/>
      </c>
      <c r="D47" s="124" t="str">
        <f aca="false">IF('02_投資成本_CAPEX'!$C48="","",'02_投資成本_CAPEX'!$N48)</f>
        <v/>
      </c>
      <c r="E47" s="124" t="str">
        <f aca="false">IF('02_投資成本_CAPEX'!$C48="","",'02_投資成本_CAPEX'!$O48)</f>
        <v/>
      </c>
      <c r="F47" s="126" t="n">
        <f aca="false">IF('02_投資成本_CAPEX'!$C48="",0,'02_投資成本_CAPEX'!$L48*(1-'02_投資成本_CAPEX'!$P48)*'01_專案設定_Setup'!$B$30)</f>
        <v>0</v>
      </c>
      <c r="G47" s="127" t="n">
        <f aca="false">IF(OR('02_投資成本_CAPEX'!$C48="",'02_投資成本_CAPEX'!$N48=0),0,IF(AND(1&gt;=1,1&lt;='02_投資成本_CAPEX'!$N48),$F47/'02_投資成本_CAPEX'!$N48,0)+IF(AND('02_投資成本_CAPEX'!$O48&gt;0,1&gt;='02_投資成本_CAPEX'!$O48,1&lt;='02_投資成本_CAPEX'!$O48+'02_投資成本_CAPEX'!$N48-1),$F47/'02_投資成本_CAPEX'!$N48,0))</f>
        <v>0</v>
      </c>
      <c r="H47" s="127" t="n">
        <f aca="false">IF(OR('02_投資成本_CAPEX'!$C48="",'02_投資成本_CAPEX'!$N48=0),0,IF(AND(2&gt;=1,2&lt;='02_投資成本_CAPEX'!$N48),$F47/'02_投資成本_CAPEX'!$N48,0)+IF(AND('02_投資成本_CAPEX'!$O48&gt;0,2&gt;='02_投資成本_CAPEX'!$O48,2&lt;='02_投資成本_CAPEX'!$O48+'02_投資成本_CAPEX'!$N48-1),$F47/'02_投資成本_CAPEX'!$N48,0))</f>
        <v>0</v>
      </c>
      <c r="I47" s="127" t="n">
        <f aca="false">IF(OR('02_投資成本_CAPEX'!$C48="",'02_投資成本_CAPEX'!$N48=0),0,IF(AND(3&gt;=1,3&lt;='02_投資成本_CAPEX'!$N48),$F47/'02_投資成本_CAPEX'!$N48,0)+IF(AND('02_投資成本_CAPEX'!$O48&gt;0,3&gt;='02_投資成本_CAPEX'!$O48,3&lt;='02_投資成本_CAPEX'!$O48+'02_投資成本_CAPEX'!$N48-1),$F47/'02_投資成本_CAPEX'!$N48,0))</f>
        <v>0</v>
      </c>
      <c r="J47" s="127" t="n">
        <f aca="false">IF(OR('02_投資成本_CAPEX'!$C48="",'02_投資成本_CAPEX'!$N48=0),0,IF(AND(4&gt;=1,4&lt;='02_投資成本_CAPEX'!$N48),$F47/'02_投資成本_CAPEX'!$N48,0)+IF(AND('02_投資成本_CAPEX'!$O48&gt;0,4&gt;='02_投資成本_CAPEX'!$O48,4&lt;='02_投資成本_CAPEX'!$O48+'02_投資成本_CAPEX'!$N48-1),$F47/'02_投資成本_CAPEX'!$N48,0))</f>
        <v>0</v>
      </c>
      <c r="K47" s="127" t="n">
        <f aca="false">IF(OR('02_投資成本_CAPEX'!$C48="",'02_投資成本_CAPEX'!$N48=0),0,IF(AND(5&gt;=1,5&lt;='02_投資成本_CAPEX'!$N48),$F47/'02_投資成本_CAPEX'!$N48,0)+IF(AND('02_投資成本_CAPEX'!$O48&gt;0,5&gt;='02_投資成本_CAPEX'!$O48,5&lt;='02_投資成本_CAPEX'!$O48+'02_投資成本_CAPEX'!$N48-1),$F47/'02_投資成本_CAPEX'!$N48,0))</f>
        <v>0</v>
      </c>
      <c r="L47" s="127" t="n">
        <f aca="false">IF(OR('02_投資成本_CAPEX'!$C48="",'02_投資成本_CAPEX'!$N48=0),0,IF(AND(6&gt;=1,6&lt;='02_投資成本_CAPEX'!$N48),$F47/'02_投資成本_CAPEX'!$N48,0)+IF(AND('02_投資成本_CAPEX'!$O48&gt;0,6&gt;='02_投資成本_CAPEX'!$O48,6&lt;='02_投資成本_CAPEX'!$O48+'02_投資成本_CAPEX'!$N48-1),$F47/'02_投資成本_CAPEX'!$N48,0))</f>
        <v>0</v>
      </c>
      <c r="M47" s="127" t="n">
        <f aca="false">IF(OR('02_投資成本_CAPEX'!$C48="",'02_投資成本_CAPEX'!$N48=0),0,IF(AND(7&gt;=1,7&lt;='02_投資成本_CAPEX'!$N48),$F47/'02_投資成本_CAPEX'!$N48,0)+IF(AND('02_投資成本_CAPEX'!$O48&gt;0,7&gt;='02_投資成本_CAPEX'!$O48,7&lt;='02_投資成本_CAPEX'!$O48+'02_投資成本_CAPEX'!$N48-1),$F47/'02_投資成本_CAPEX'!$N48,0))</f>
        <v>0</v>
      </c>
      <c r="N47" s="127" t="n">
        <f aca="false">IF(OR('02_投資成本_CAPEX'!$C48="",'02_投資成本_CAPEX'!$N48=0),0,IF(AND(8&gt;=1,8&lt;='02_投資成本_CAPEX'!$N48),$F47/'02_投資成本_CAPEX'!$N48,0)+IF(AND('02_投資成本_CAPEX'!$O48&gt;0,8&gt;='02_投資成本_CAPEX'!$O48,8&lt;='02_投資成本_CAPEX'!$O48+'02_投資成本_CAPEX'!$N48-1),$F47/'02_投資成本_CAPEX'!$N48,0))</f>
        <v>0</v>
      </c>
      <c r="O47" s="127" t="n">
        <f aca="false">IF(OR('02_投資成本_CAPEX'!$C48="",'02_投資成本_CAPEX'!$N48=0),0,IF(AND(9&gt;=1,9&lt;='02_投資成本_CAPEX'!$N48),$F47/'02_投資成本_CAPEX'!$N48,0)+IF(AND('02_投資成本_CAPEX'!$O48&gt;0,9&gt;='02_投資成本_CAPEX'!$O48,9&lt;='02_投資成本_CAPEX'!$O48+'02_投資成本_CAPEX'!$N48-1),$F47/'02_投資成本_CAPEX'!$N48,0))</f>
        <v>0</v>
      </c>
      <c r="P47" s="127" t="n">
        <f aca="false">IF(OR('02_投資成本_CAPEX'!$C48="",'02_投資成本_CAPEX'!$N48=0),0,IF(AND(10&gt;=1,10&lt;='02_投資成本_CAPEX'!$N48),$F47/'02_投資成本_CAPEX'!$N48,0)+IF(AND('02_投資成本_CAPEX'!$O48&gt;0,10&gt;='02_投資成本_CAPEX'!$O48,10&lt;='02_投資成本_CAPEX'!$O48+'02_投資成本_CAPEX'!$N48-1),$F47/'02_投資成本_CAPEX'!$N48,0))</f>
        <v>0</v>
      </c>
    </row>
    <row r="48" customFormat="false" ht="15.75" hidden="false" customHeight="true" outlineLevel="0" collapsed="false">
      <c r="A48" s="123" t="str">
        <f aca="false">IF('02_投資成本_CAPEX'!$C49="","",'02_投資成本_CAPEX'!$A49)</f>
        <v/>
      </c>
      <c r="B48" s="124" t="str">
        <f aca="false">IF('02_投資成本_CAPEX'!$C49="","",'02_投資成本_CAPEX'!$C49)</f>
        <v/>
      </c>
      <c r="C48" s="124" t="str">
        <f aca="false">IF('02_投資成本_CAPEX'!$C49="","",'02_投資成本_CAPEX'!$M49)</f>
        <v/>
      </c>
      <c r="D48" s="124" t="str">
        <f aca="false">IF('02_投資成本_CAPEX'!$C49="","",'02_投資成本_CAPEX'!$N49)</f>
        <v/>
      </c>
      <c r="E48" s="124" t="str">
        <f aca="false">IF('02_投資成本_CAPEX'!$C49="","",'02_投資成本_CAPEX'!$O49)</f>
        <v/>
      </c>
      <c r="F48" s="126" t="n">
        <f aca="false">IF('02_投資成本_CAPEX'!$C49="",0,'02_投資成本_CAPEX'!$L49*(1-'02_投資成本_CAPEX'!$P49)*'01_專案設定_Setup'!$B$30)</f>
        <v>0</v>
      </c>
      <c r="G48" s="127" t="n">
        <f aca="false">IF(OR('02_投資成本_CAPEX'!$C49="",'02_投資成本_CAPEX'!$N49=0),0,IF(AND(1&gt;=1,1&lt;='02_投資成本_CAPEX'!$N49),$F48/'02_投資成本_CAPEX'!$N49,0)+IF(AND('02_投資成本_CAPEX'!$O49&gt;0,1&gt;='02_投資成本_CAPEX'!$O49,1&lt;='02_投資成本_CAPEX'!$O49+'02_投資成本_CAPEX'!$N49-1),$F48/'02_投資成本_CAPEX'!$N49,0))</f>
        <v>0</v>
      </c>
      <c r="H48" s="127" t="n">
        <f aca="false">IF(OR('02_投資成本_CAPEX'!$C49="",'02_投資成本_CAPEX'!$N49=0),0,IF(AND(2&gt;=1,2&lt;='02_投資成本_CAPEX'!$N49),$F48/'02_投資成本_CAPEX'!$N49,0)+IF(AND('02_投資成本_CAPEX'!$O49&gt;0,2&gt;='02_投資成本_CAPEX'!$O49,2&lt;='02_投資成本_CAPEX'!$O49+'02_投資成本_CAPEX'!$N49-1),$F48/'02_投資成本_CAPEX'!$N49,0))</f>
        <v>0</v>
      </c>
      <c r="I48" s="127" t="n">
        <f aca="false">IF(OR('02_投資成本_CAPEX'!$C49="",'02_投資成本_CAPEX'!$N49=0),0,IF(AND(3&gt;=1,3&lt;='02_投資成本_CAPEX'!$N49),$F48/'02_投資成本_CAPEX'!$N49,0)+IF(AND('02_投資成本_CAPEX'!$O49&gt;0,3&gt;='02_投資成本_CAPEX'!$O49,3&lt;='02_投資成本_CAPEX'!$O49+'02_投資成本_CAPEX'!$N49-1),$F48/'02_投資成本_CAPEX'!$N49,0))</f>
        <v>0</v>
      </c>
      <c r="J48" s="127" t="n">
        <f aca="false">IF(OR('02_投資成本_CAPEX'!$C49="",'02_投資成本_CAPEX'!$N49=0),0,IF(AND(4&gt;=1,4&lt;='02_投資成本_CAPEX'!$N49),$F48/'02_投資成本_CAPEX'!$N49,0)+IF(AND('02_投資成本_CAPEX'!$O49&gt;0,4&gt;='02_投資成本_CAPEX'!$O49,4&lt;='02_投資成本_CAPEX'!$O49+'02_投資成本_CAPEX'!$N49-1),$F48/'02_投資成本_CAPEX'!$N49,0))</f>
        <v>0</v>
      </c>
      <c r="K48" s="127" t="n">
        <f aca="false">IF(OR('02_投資成本_CAPEX'!$C49="",'02_投資成本_CAPEX'!$N49=0),0,IF(AND(5&gt;=1,5&lt;='02_投資成本_CAPEX'!$N49),$F48/'02_投資成本_CAPEX'!$N49,0)+IF(AND('02_投資成本_CAPEX'!$O49&gt;0,5&gt;='02_投資成本_CAPEX'!$O49,5&lt;='02_投資成本_CAPEX'!$O49+'02_投資成本_CAPEX'!$N49-1),$F48/'02_投資成本_CAPEX'!$N49,0))</f>
        <v>0</v>
      </c>
      <c r="L48" s="127" t="n">
        <f aca="false">IF(OR('02_投資成本_CAPEX'!$C49="",'02_投資成本_CAPEX'!$N49=0),0,IF(AND(6&gt;=1,6&lt;='02_投資成本_CAPEX'!$N49),$F48/'02_投資成本_CAPEX'!$N49,0)+IF(AND('02_投資成本_CAPEX'!$O49&gt;0,6&gt;='02_投資成本_CAPEX'!$O49,6&lt;='02_投資成本_CAPEX'!$O49+'02_投資成本_CAPEX'!$N49-1),$F48/'02_投資成本_CAPEX'!$N49,0))</f>
        <v>0</v>
      </c>
      <c r="M48" s="127" t="n">
        <f aca="false">IF(OR('02_投資成本_CAPEX'!$C49="",'02_投資成本_CAPEX'!$N49=0),0,IF(AND(7&gt;=1,7&lt;='02_投資成本_CAPEX'!$N49),$F48/'02_投資成本_CAPEX'!$N49,0)+IF(AND('02_投資成本_CAPEX'!$O49&gt;0,7&gt;='02_投資成本_CAPEX'!$O49,7&lt;='02_投資成本_CAPEX'!$O49+'02_投資成本_CAPEX'!$N49-1),$F48/'02_投資成本_CAPEX'!$N49,0))</f>
        <v>0</v>
      </c>
      <c r="N48" s="127" t="n">
        <f aca="false">IF(OR('02_投資成本_CAPEX'!$C49="",'02_投資成本_CAPEX'!$N49=0),0,IF(AND(8&gt;=1,8&lt;='02_投資成本_CAPEX'!$N49),$F48/'02_投資成本_CAPEX'!$N49,0)+IF(AND('02_投資成本_CAPEX'!$O49&gt;0,8&gt;='02_投資成本_CAPEX'!$O49,8&lt;='02_投資成本_CAPEX'!$O49+'02_投資成本_CAPEX'!$N49-1),$F48/'02_投資成本_CAPEX'!$N49,0))</f>
        <v>0</v>
      </c>
      <c r="O48" s="127" t="n">
        <f aca="false">IF(OR('02_投資成本_CAPEX'!$C49="",'02_投資成本_CAPEX'!$N49=0),0,IF(AND(9&gt;=1,9&lt;='02_投資成本_CAPEX'!$N49),$F48/'02_投資成本_CAPEX'!$N49,0)+IF(AND('02_投資成本_CAPEX'!$O49&gt;0,9&gt;='02_投資成本_CAPEX'!$O49,9&lt;='02_投資成本_CAPEX'!$O49+'02_投資成本_CAPEX'!$N49-1),$F48/'02_投資成本_CAPEX'!$N49,0))</f>
        <v>0</v>
      </c>
      <c r="P48" s="127" t="n">
        <f aca="false">IF(OR('02_投資成本_CAPEX'!$C49="",'02_投資成本_CAPEX'!$N49=0),0,IF(AND(10&gt;=1,10&lt;='02_投資成本_CAPEX'!$N49),$F48/'02_投資成本_CAPEX'!$N49,0)+IF(AND('02_投資成本_CAPEX'!$O49&gt;0,10&gt;='02_投資成本_CAPEX'!$O49,10&lt;='02_投資成本_CAPEX'!$O49+'02_投資成本_CAPEX'!$N49-1),$F48/'02_投資成本_CAPEX'!$N49,0))</f>
        <v>0</v>
      </c>
    </row>
    <row r="49" customFormat="false" ht="15.75" hidden="false" customHeight="true" outlineLevel="0" collapsed="false">
      <c r="A49" s="123" t="str">
        <f aca="false">IF('02_投資成本_CAPEX'!$C50="","",'02_投資成本_CAPEX'!$A50)</f>
        <v/>
      </c>
      <c r="B49" s="124" t="str">
        <f aca="false">IF('02_投資成本_CAPEX'!$C50="","",'02_投資成本_CAPEX'!$C50)</f>
        <v/>
      </c>
      <c r="C49" s="124" t="str">
        <f aca="false">IF('02_投資成本_CAPEX'!$C50="","",'02_投資成本_CAPEX'!$M50)</f>
        <v/>
      </c>
      <c r="D49" s="124" t="str">
        <f aca="false">IF('02_投資成本_CAPEX'!$C50="","",'02_投資成本_CAPEX'!$N50)</f>
        <v/>
      </c>
      <c r="E49" s="124" t="str">
        <f aca="false">IF('02_投資成本_CAPEX'!$C50="","",'02_投資成本_CAPEX'!$O50)</f>
        <v/>
      </c>
      <c r="F49" s="126" t="n">
        <f aca="false">IF('02_投資成本_CAPEX'!$C50="",0,'02_投資成本_CAPEX'!$L50*(1-'02_投資成本_CAPEX'!$P50)*'01_專案設定_Setup'!$B$30)</f>
        <v>0</v>
      </c>
      <c r="G49" s="127" t="n">
        <f aca="false">IF(OR('02_投資成本_CAPEX'!$C50="",'02_投資成本_CAPEX'!$N50=0),0,IF(AND(1&gt;=1,1&lt;='02_投資成本_CAPEX'!$N50),$F49/'02_投資成本_CAPEX'!$N50,0)+IF(AND('02_投資成本_CAPEX'!$O50&gt;0,1&gt;='02_投資成本_CAPEX'!$O50,1&lt;='02_投資成本_CAPEX'!$O50+'02_投資成本_CAPEX'!$N50-1),$F49/'02_投資成本_CAPEX'!$N50,0))</f>
        <v>0</v>
      </c>
      <c r="H49" s="127" t="n">
        <f aca="false">IF(OR('02_投資成本_CAPEX'!$C50="",'02_投資成本_CAPEX'!$N50=0),0,IF(AND(2&gt;=1,2&lt;='02_投資成本_CAPEX'!$N50),$F49/'02_投資成本_CAPEX'!$N50,0)+IF(AND('02_投資成本_CAPEX'!$O50&gt;0,2&gt;='02_投資成本_CAPEX'!$O50,2&lt;='02_投資成本_CAPEX'!$O50+'02_投資成本_CAPEX'!$N50-1),$F49/'02_投資成本_CAPEX'!$N50,0))</f>
        <v>0</v>
      </c>
      <c r="I49" s="127" t="n">
        <f aca="false">IF(OR('02_投資成本_CAPEX'!$C50="",'02_投資成本_CAPEX'!$N50=0),0,IF(AND(3&gt;=1,3&lt;='02_投資成本_CAPEX'!$N50),$F49/'02_投資成本_CAPEX'!$N50,0)+IF(AND('02_投資成本_CAPEX'!$O50&gt;0,3&gt;='02_投資成本_CAPEX'!$O50,3&lt;='02_投資成本_CAPEX'!$O50+'02_投資成本_CAPEX'!$N50-1),$F49/'02_投資成本_CAPEX'!$N50,0))</f>
        <v>0</v>
      </c>
      <c r="J49" s="127" t="n">
        <f aca="false">IF(OR('02_投資成本_CAPEX'!$C50="",'02_投資成本_CAPEX'!$N50=0),0,IF(AND(4&gt;=1,4&lt;='02_投資成本_CAPEX'!$N50),$F49/'02_投資成本_CAPEX'!$N50,0)+IF(AND('02_投資成本_CAPEX'!$O50&gt;0,4&gt;='02_投資成本_CAPEX'!$O50,4&lt;='02_投資成本_CAPEX'!$O50+'02_投資成本_CAPEX'!$N50-1),$F49/'02_投資成本_CAPEX'!$N50,0))</f>
        <v>0</v>
      </c>
      <c r="K49" s="127" t="n">
        <f aca="false">IF(OR('02_投資成本_CAPEX'!$C50="",'02_投資成本_CAPEX'!$N50=0),0,IF(AND(5&gt;=1,5&lt;='02_投資成本_CAPEX'!$N50),$F49/'02_投資成本_CAPEX'!$N50,0)+IF(AND('02_投資成本_CAPEX'!$O50&gt;0,5&gt;='02_投資成本_CAPEX'!$O50,5&lt;='02_投資成本_CAPEX'!$O50+'02_投資成本_CAPEX'!$N50-1),$F49/'02_投資成本_CAPEX'!$N50,0))</f>
        <v>0</v>
      </c>
      <c r="L49" s="127" t="n">
        <f aca="false">IF(OR('02_投資成本_CAPEX'!$C50="",'02_投資成本_CAPEX'!$N50=0),0,IF(AND(6&gt;=1,6&lt;='02_投資成本_CAPEX'!$N50),$F49/'02_投資成本_CAPEX'!$N50,0)+IF(AND('02_投資成本_CAPEX'!$O50&gt;0,6&gt;='02_投資成本_CAPEX'!$O50,6&lt;='02_投資成本_CAPEX'!$O50+'02_投資成本_CAPEX'!$N50-1),$F49/'02_投資成本_CAPEX'!$N50,0))</f>
        <v>0</v>
      </c>
      <c r="M49" s="127" t="n">
        <f aca="false">IF(OR('02_投資成本_CAPEX'!$C50="",'02_投資成本_CAPEX'!$N50=0),0,IF(AND(7&gt;=1,7&lt;='02_投資成本_CAPEX'!$N50),$F49/'02_投資成本_CAPEX'!$N50,0)+IF(AND('02_投資成本_CAPEX'!$O50&gt;0,7&gt;='02_投資成本_CAPEX'!$O50,7&lt;='02_投資成本_CAPEX'!$O50+'02_投資成本_CAPEX'!$N50-1),$F49/'02_投資成本_CAPEX'!$N50,0))</f>
        <v>0</v>
      </c>
      <c r="N49" s="127" t="n">
        <f aca="false">IF(OR('02_投資成本_CAPEX'!$C50="",'02_投資成本_CAPEX'!$N50=0),0,IF(AND(8&gt;=1,8&lt;='02_投資成本_CAPEX'!$N50),$F49/'02_投資成本_CAPEX'!$N50,0)+IF(AND('02_投資成本_CAPEX'!$O50&gt;0,8&gt;='02_投資成本_CAPEX'!$O50,8&lt;='02_投資成本_CAPEX'!$O50+'02_投資成本_CAPEX'!$N50-1),$F49/'02_投資成本_CAPEX'!$N50,0))</f>
        <v>0</v>
      </c>
      <c r="O49" s="127" t="n">
        <f aca="false">IF(OR('02_投資成本_CAPEX'!$C50="",'02_投資成本_CAPEX'!$N50=0),0,IF(AND(9&gt;=1,9&lt;='02_投資成本_CAPEX'!$N50),$F49/'02_投資成本_CAPEX'!$N50,0)+IF(AND('02_投資成本_CAPEX'!$O50&gt;0,9&gt;='02_投資成本_CAPEX'!$O50,9&lt;='02_投資成本_CAPEX'!$O50+'02_投資成本_CAPEX'!$N50-1),$F49/'02_投資成本_CAPEX'!$N50,0))</f>
        <v>0</v>
      </c>
      <c r="P49" s="127" t="n">
        <f aca="false">IF(OR('02_投資成本_CAPEX'!$C50="",'02_投資成本_CAPEX'!$N50=0),0,IF(AND(10&gt;=1,10&lt;='02_投資成本_CAPEX'!$N50),$F49/'02_投資成本_CAPEX'!$N50,0)+IF(AND('02_投資成本_CAPEX'!$O50&gt;0,10&gt;='02_投資成本_CAPEX'!$O50,10&lt;='02_投資成本_CAPEX'!$O50+'02_投資成本_CAPEX'!$N50-1),$F49/'02_投資成本_CAPEX'!$N50,0))</f>
        <v>0</v>
      </c>
    </row>
    <row r="50" customFormat="false" ht="15.75" hidden="false" customHeight="true" outlineLevel="0" collapsed="false">
      <c r="A50" s="123" t="str">
        <f aca="false">IF('02_投資成本_CAPEX'!$C51="","",'02_投資成本_CAPEX'!$A51)</f>
        <v/>
      </c>
      <c r="B50" s="124" t="str">
        <f aca="false">IF('02_投資成本_CAPEX'!$C51="","",'02_投資成本_CAPEX'!$C51)</f>
        <v/>
      </c>
      <c r="C50" s="124" t="str">
        <f aca="false">IF('02_投資成本_CAPEX'!$C51="","",'02_投資成本_CAPEX'!$M51)</f>
        <v/>
      </c>
      <c r="D50" s="124" t="str">
        <f aca="false">IF('02_投資成本_CAPEX'!$C51="","",'02_投資成本_CAPEX'!$N51)</f>
        <v/>
      </c>
      <c r="E50" s="124" t="str">
        <f aca="false">IF('02_投資成本_CAPEX'!$C51="","",'02_投資成本_CAPEX'!$O51)</f>
        <v/>
      </c>
      <c r="F50" s="126" t="n">
        <f aca="false">IF('02_投資成本_CAPEX'!$C51="",0,'02_投資成本_CAPEX'!$L51*(1-'02_投資成本_CAPEX'!$P51)*'01_專案設定_Setup'!$B$30)</f>
        <v>0</v>
      </c>
      <c r="G50" s="127" t="n">
        <f aca="false">IF(OR('02_投資成本_CAPEX'!$C51="",'02_投資成本_CAPEX'!$N51=0),0,IF(AND(1&gt;=1,1&lt;='02_投資成本_CAPEX'!$N51),$F50/'02_投資成本_CAPEX'!$N51,0)+IF(AND('02_投資成本_CAPEX'!$O51&gt;0,1&gt;='02_投資成本_CAPEX'!$O51,1&lt;='02_投資成本_CAPEX'!$O51+'02_投資成本_CAPEX'!$N51-1),$F50/'02_投資成本_CAPEX'!$N51,0))</f>
        <v>0</v>
      </c>
      <c r="H50" s="127" t="n">
        <f aca="false">IF(OR('02_投資成本_CAPEX'!$C51="",'02_投資成本_CAPEX'!$N51=0),0,IF(AND(2&gt;=1,2&lt;='02_投資成本_CAPEX'!$N51),$F50/'02_投資成本_CAPEX'!$N51,0)+IF(AND('02_投資成本_CAPEX'!$O51&gt;0,2&gt;='02_投資成本_CAPEX'!$O51,2&lt;='02_投資成本_CAPEX'!$O51+'02_投資成本_CAPEX'!$N51-1),$F50/'02_投資成本_CAPEX'!$N51,0))</f>
        <v>0</v>
      </c>
      <c r="I50" s="127" t="n">
        <f aca="false">IF(OR('02_投資成本_CAPEX'!$C51="",'02_投資成本_CAPEX'!$N51=0),0,IF(AND(3&gt;=1,3&lt;='02_投資成本_CAPEX'!$N51),$F50/'02_投資成本_CAPEX'!$N51,0)+IF(AND('02_投資成本_CAPEX'!$O51&gt;0,3&gt;='02_投資成本_CAPEX'!$O51,3&lt;='02_投資成本_CAPEX'!$O51+'02_投資成本_CAPEX'!$N51-1),$F50/'02_投資成本_CAPEX'!$N51,0))</f>
        <v>0</v>
      </c>
      <c r="J50" s="127" t="n">
        <f aca="false">IF(OR('02_投資成本_CAPEX'!$C51="",'02_投資成本_CAPEX'!$N51=0),0,IF(AND(4&gt;=1,4&lt;='02_投資成本_CAPEX'!$N51),$F50/'02_投資成本_CAPEX'!$N51,0)+IF(AND('02_投資成本_CAPEX'!$O51&gt;0,4&gt;='02_投資成本_CAPEX'!$O51,4&lt;='02_投資成本_CAPEX'!$O51+'02_投資成本_CAPEX'!$N51-1),$F50/'02_投資成本_CAPEX'!$N51,0))</f>
        <v>0</v>
      </c>
      <c r="K50" s="127" t="n">
        <f aca="false">IF(OR('02_投資成本_CAPEX'!$C51="",'02_投資成本_CAPEX'!$N51=0),0,IF(AND(5&gt;=1,5&lt;='02_投資成本_CAPEX'!$N51),$F50/'02_投資成本_CAPEX'!$N51,0)+IF(AND('02_投資成本_CAPEX'!$O51&gt;0,5&gt;='02_投資成本_CAPEX'!$O51,5&lt;='02_投資成本_CAPEX'!$O51+'02_投資成本_CAPEX'!$N51-1),$F50/'02_投資成本_CAPEX'!$N51,0))</f>
        <v>0</v>
      </c>
      <c r="L50" s="127" t="n">
        <f aca="false">IF(OR('02_投資成本_CAPEX'!$C51="",'02_投資成本_CAPEX'!$N51=0),0,IF(AND(6&gt;=1,6&lt;='02_投資成本_CAPEX'!$N51),$F50/'02_投資成本_CAPEX'!$N51,0)+IF(AND('02_投資成本_CAPEX'!$O51&gt;0,6&gt;='02_投資成本_CAPEX'!$O51,6&lt;='02_投資成本_CAPEX'!$O51+'02_投資成本_CAPEX'!$N51-1),$F50/'02_投資成本_CAPEX'!$N51,0))</f>
        <v>0</v>
      </c>
      <c r="M50" s="127" t="n">
        <f aca="false">IF(OR('02_投資成本_CAPEX'!$C51="",'02_投資成本_CAPEX'!$N51=0),0,IF(AND(7&gt;=1,7&lt;='02_投資成本_CAPEX'!$N51),$F50/'02_投資成本_CAPEX'!$N51,0)+IF(AND('02_投資成本_CAPEX'!$O51&gt;0,7&gt;='02_投資成本_CAPEX'!$O51,7&lt;='02_投資成本_CAPEX'!$O51+'02_投資成本_CAPEX'!$N51-1),$F50/'02_投資成本_CAPEX'!$N51,0))</f>
        <v>0</v>
      </c>
      <c r="N50" s="127" t="n">
        <f aca="false">IF(OR('02_投資成本_CAPEX'!$C51="",'02_投資成本_CAPEX'!$N51=0),0,IF(AND(8&gt;=1,8&lt;='02_投資成本_CAPEX'!$N51),$F50/'02_投資成本_CAPEX'!$N51,0)+IF(AND('02_投資成本_CAPEX'!$O51&gt;0,8&gt;='02_投資成本_CAPEX'!$O51,8&lt;='02_投資成本_CAPEX'!$O51+'02_投資成本_CAPEX'!$N51-1),$F50/'02_投資成本_CAPEX'!$N51,0))</f>
        <v>0</v>
      </c>
      <c r="O50" s="127" t="n">
        <f aca="false">IF(OR('02_投資成本_CAPEX'!$C51="",'02_投資成本_CAPEX'!$N51=0),0,IF(AND(9&gt;=1,9&lt;='02_投資成本_CAPEX'!$N51),$F50/'02_投資成本_CAPEX'!$N51,0)+IF(AND('02_投資成本_CAPEX'!$O51&gt;0,9&gt;='02_投資成本_CAPEX'!$O51,9&lt;='02_投資成本_CAPEX'!$O51+'02_投資成本_CAPEX'!$N51-1),$F50/'02_投資成本_CAPEX'!$N51,0))</f>
        <v>0</v>
      </c>
      <c r="P50" s="127" t="n">
        <f aca="false">IF(OR('02_投資成本_CAPEX'!$C51="",'02_投資成本_CAPEX'!$N51=0),0,IF(AND(10&gt;=1,10&lt;='02_投資成本_CAPEX'!$N51),$F50/'02_投資成本_CAPEX'!$N51,0)+IF(AND('02_投資成本_CAPEX'!$O51&gt;0,10&gt;='02_投資成本_CAPEX'!$O51,10&lt;='02_投資成本_CAPEX'!$O51+'02_投資成本_CAPEX'!$N51-1),$F50/'02_投資成本_CAPEX'!$N51,0))</f>
        <v>0</v>
      </c>
    </row>
    <row r="51" customFormat="false" ht="15.75" hidden="false" customHeight="true" outlineLevel="0" collapsed="false">
      <c r="A51" s="123" t="str">
        <f aca="false">IF('02_投資成本_CAPEX'!$C52="","",'02_投資成本_CAPEX'!$A52)</f>
        <v/>
      </c>
      <c r="B51" s="124" t="str">
        <f aca="false">IF('02_投資成本_CAPEX'!$C52="","",'02_投資成本_CAPEX'!$C52)</f>
        <v/>
      </c>
      <c r="C51" s="124" t="str">
        <f aca="false">IF('02_投資成本_CAPEX'!$C52="","",'02_投資成本_CAPEX'!$M52)</f>
        <v/>
      </c>
      <c r="D51" s="124" t="str">
        <f aca="false">IF('02_投資成本_CAPEX'!$C52="","",'02_投資成本_CAPEX'!$N52)</f>
        <v/>
      </c>
      <c r="E51" s="124" t="str">
        <f aca="false">IF('02_投資成本_CAPEX'!$C52="","",'02_投資成本_CAPEX'!$O52)</f>
        <v/>
      </c>
      <c r="F51" s="126" t="n">
        <f aca="false">IF('02_投資成本_CAPEX'!$C52="",0,'02_投資成本_CAPEX'!$L52*(1-'02_投資成本_CAPEX'!$P52)*'01_專案設定_Setup'!$B$30)</f>
        <v>0</v>
      </c>
      <c r="G51" s="127" t="n">
        <f aca="false">IF(OR('02_投資成本_CAPEX'!$C52="",'02_投資成本_CAPEX'!$N52=0),0,IF(AND(1&gt;=1,1&lt;='02_投資成本_CAPEX'!$N52),$F51/'02_投資成本_CAPEX'!$N52,0)+IF(AND('02_投資成本_CAPEX'!$O52&gt;0,1&gt;='02_投資成本_CAPEX'!$O52,1&lt;='02_投資成本_CAPEX'!$O52+'02_投資成本_CAPEX'!$N52-1),$F51/'02_投資成本_CAPEX'!$N52,0))</f>
        <v>0</v>
      </c>
      <c r="H51" s="127" t="n">
        <f aca="false">IF(OR('02_投資成本_CAPEX'!$C52="",'02_投資成本_CAPEX'!$N52=0),0,IF(AND(2&gt;=1,2&lt;='02_投資成本_CAPEX'!$N52),$F51/'02_投資成本_CAPEX'!$N52,0)+IF(AND('02_投資成本_CAPEX'!$O52&gt;0,2&gt;='02_投資成本_CAPEX'!$O52,2&lt;='02_投資成本_CAPEX'!$O52+'02_投資成本_CAPEX'!$N52-1),$F51/'02_投資成本_CAPEX'!$N52,0))</f>
        <v>0</v>
      </c>
      <c r="I51" s="127" t="n">
        <f aca="false">IF(OR('02_投資成本_CAPEX'!$C52="",'02_投資成本_CAPEX'!$N52=0),0,IF(AND(3&gt;=1,3&lt;='02_投資成本_CAPEX'!$N52),$F51/'02_投資成本_CAPEX'!$N52,0)+IF(AND('02_投資成本_CAPEX'!$O52&gt;0,3&gt;='02_投資成本_CAPEX'!$O52,3&lt;='02_投資成本_CAPEX'!$O52+'02_投資成本_CAPEX'!$N52-1),$F51/'02_投資成本_CAPEX'!$N52,0))</f>
        <v>0</v>
      </c>
      <c r="J51" s="127" t="n">
        <f aca="false">IF(OR('02_投資成本_CAPEX'!$C52="",'02_投資成本_CAPEX'!$N52=0),0,IF(AND(4&gt;=1,4&lt;='02_投資成本_CAPEX'!$N52),$F51/'02_投資成本_CAPEX'!$N52,0)+IF(AND('02_投資成本_CAPEX'!$O52&gt;0,4&gt;='02_投資成本_CAPEX'!$O52,4&lt;='02_投資成本_CAPEX'!$O52+'02_投資成本_CAPEX'!$N52-1),$F51/'02_投資成本_CAPEX'!$N52,0))</f>
        <v>0</v>
      </c>
      <c r="K51" s="127" t="n">
        <f aca="false">IF(OR('02_投資成本_CAPEX'!$C52="",'02_投資成本_CAPEX'!$N52=0),0,IF(AND(5&gt;=1,5&lt;='02_投資成本_CAPEX'!$N52),$F51/'02_投資成本_CAPEX'!$N52,0)+IF(AND('02_投資成本_CAPEX'!$O52&gt;0,5&gt;='02_投資成本_CAPEX'!$O52,5&lt;='02_投資成本_CAPEX'!$O52+'02_投資成本_CAPEX'!$N52-1),$F51/'02_投資成本_CAPEX'!$N52,0))</f>
        <v>0</v>
      </c>
      <c r="L51" s="127" t="n">
        <f aca="false">IF(OR('02_投資成本_CAPEX'!$C52="",'02_投資成本_CAPEX'!$N52=0),0,IF(AND(6&gt;=1,6&lt;='02_投資成本_CAPEX'!$N52),$F51/'02_投資成本_CAPEX'!$N52,0)+IF(AND('02_投資成本_CAPEX'!$O52&gt;0,6&gt;='02_投資成本_CAPEX'!$O52,6&lt;='02_投資成本_CAPEX'!$O52+'02_投資成本_CAPEX'!$N52-1),$F51/'02_投資成本_CAPEX'!$N52,0))</f>
        <v>0</v>
      </c>
      <c r="M51" s="127" t="n">
        <f aca="false">IF(OR('02_投資成本_CAPEX'!$C52="",'02_投資成本_CAPEX'!$N52=0),0,IF(AND(7&gt;=1,7&lt;='02_投資成本_CAPEX'!$N52),$F51/'02_投資成本_CAPEX'!$N52,0)+IF(AND('02_投資成本_CAPEX'!$O52&gt;0,7&gt;='02_投資成本_CAPEX'!$O52,7&lt;='02_投資成本_CAPEX'!$O52+'02_投資成本_CAPEX'!$N52-1),$F51/'02_投資成本_CAPEX'!$N52,0))</f>
        <v>0</v>
      </c>
      <c r="N51" s="127" t="n">
        <f aca="false">IF(OR('02_投資成本_CAPEX'!$C52="",'02_投資成本_CAPEX'!$N52=0),0,IF(AND(8&gt;=1,8&lt;='02_投資成本_CAPEX'!$N52),$F51/'02_投資成本_CAPEX'!$N52,0)+IF(AND('02_投資成本_CAPEX'!$O52&gt;0,8&gt;='02_投資成本_CAPEX'!$O52,8&lt;='02_投資成本_CAPEX'!$O52+'02_投資成本_CAPEX'!$N52-1),$F51/'02_投資成本_CAPEX'!$N52,0))</f>
        <v>0</v>
      </c>
      <c r="O51" s="127" t="n">
        <f aca="false">IF(OR('02_投資成本_CAPEX'!$C52="",'02_投資成本_CAPEX'!$N52=0),0,IF(AND(9&gt;=1,9&lt;='02_投資成本_CAPEX'!$N52),$F51/'02_投資成本_CAPEX'!$N52,0)+IF(AND('02_投資成本_CAPEX'!$O52&gt;0,9&gt;='02_投資成本_CAPEX'!$O52,9&lt;='02_投資成本_CAPEX'!$O52+'02_投資成本_CAPEX'!$N52-1),$F51/'02_投資成本_CAPEX'!$N52,0))</f>
        <v>0</v>
      </c>
      <c r="P51" s="127" t="n">
        <f aca="false">IF(OR('02_投資成本_CAPEX'!$C52="",'02_投資成本_CAPEX'!$N52=0),0,IF(AND(10&gt;=1,10&lt;='02_投資成本_CAPEX'!$N52),$F51/'02_投資成本_CAPEX'!$N52,0)+IF(AND('02_投資成本_CAPEX'!$O52&gt;0,10&gt;='02_投資成本_CAPEX'!$O52,10&lt;='02_投資成本_CAPEX'!$O52+'02_投資成本_CAPEX'!$N52-1),$F51/'02_投資成本_CAPEX'!$N52,0))</f>
        <v>0</v>
      </c>
    </row>
    <row r="52" customFormat="false" ht="15.75" hidden="false" customHeight="true" outlineLevel="0" collapsed="false">
      <c r="A52" s="123" t="str">
        <f aca="false">IF('02_投資成本_CAPEX'!$C53="","",'02_投資成本_CAPEX'!$A53)</f>
        <v/>
      </c>
      <c r="B52" s="124" t="str">
        <f aca="false">IF('02_投資成本_CAPEX'!$C53="","",'02_投資成本_CAPEX'!$C53)</f>
        <v/>
      </c>
      <c r="C52" s="124" t="str">
        <f aca="false">IF('02_投資成本_CAPEX'!$C53="","",'02_投資成本_CAPEX'!$M53)</f>
        <v/>
      </c>
      <c r="D52" s="124" t="str">
        <f aca="false">IF('02_投資成本_CAPEX'!$C53="","",'02_投資成本_CAPEX'!$N53)</f>
        <v/>
      </c>
      <c r="E52" s="124" t="str">
        <f aca="false">IF('02_投資成本_CAPEX'!$C53="","",'02_投資成本_CAPEX'!$O53)</f>
        <v/>
      </c>
      <c r="F52" s="126" t="n">
        <f aca="false">IF('02_投資成本_CAPEX'!$C53="",0,'02_投資成本_CAPEX'!$L53*(1-'02_投資成本_CAPEX'!$P53)*'01_專案設定_Setup'!$B$30)</f>
        <v>0</v>
      </c>
      <c r="G52" s="127" t="n">
        <f aca="false">IF(OR('02_投資成本_CAPEX'!$C53="",'02_投資成本_CAPEX'!$N53=0),0,IF(AND(1&gt;=1,1&lt;='02_投資成本_CAPEX'!$N53),$F52/'02_投資成本_CAPEX'!$N53,0)+IF(AND('02_投資成本_CAPEX'!$O53&gt;0,1&gt;='02_投資成本_CAPEX'!$O53,1&lt;='02_投資成本_CAPEX'!$O53+'02_投資成本_CAPEX'!$N53-1),$F52/'02_投資成本_CAPEX'!$N53,0))</f>
        <v>0</v>
      </c>
      <c r="H52" s="127" t="n">
        <f aca="false">IF(OR('02_投資成本_CAPEX'!$C53="",'02_投資成本_CAPEX'!$N53=0),0,IF(AND(2&gt;=1,2&lt;='02_投資成本_CAPEX'!$N53),$F52/'02_投資成本_CAPEX'!$N53,0)+IF(AND('02_投資成本_CAPEX'!$O53&gt;0,2&gt;='02_投資成本_CAPEX'!$O53,2&lt;='02_投資成本_CAPEX'!$O53+'02_投資成本_CAPEX'!$N53-1),$F52/'02_投資成本_CAPEX'!$N53,0))</f>
        <v>0</v>
      </c>
      <c r="I52" s="127" t="n">
        <f aca="false">IF(OR('02_投資成本_CAPEX'!$C53="",'02_投資成本_CAPEX'!$N53=0),0,IF(AND(3&gt;=1,3&lt;='02_投資成本_CAPEX'!$N53),$F52/'02_投資成本_CAPEX'!$N53,0)+IF(AND('02_投資成本_CAPEX'!$O53&gt;0,3&gt;='02_投資成本_CAPEX'!$O53,3&lt;='02_投資成本_CAPEX'!$O53+'02_投資成本_CAPEX'!$N53-1),$F52/'02_投資成本_CAPEX'!$N53,0))</f>
        <v>0</v>
      </c>
      <c r="J52" s="127" t="n">
        <f aca="false">IF(OR('02_投資成本_CAPEX'!$C53="",'02_投資成本_CAPEX'!$N53=0),0,IF(AND(4&gt;=1,4&lt;='02_投資成本_CAPEX'!$N53),$F52/'02_投資成本_CAPEX'!$N53,0)+IF(AND('02_投資成本_CAPEX'!$O53&gt;0,4&gt;='02_投資成本_CAPEX'!$O53,4&lt;='02_投資成本_CAPEX'!$O53+'02_投資成本_CAPEX'!$N53-1),$F52/'02_投資成本_CAPEX'!$N53,0))</f>
        <v>0</v>
      </c>
      <c r="K52" s="127" t="n">
        <f aca="false">IF(OR('02_投資成本_CAPEX'!$C53="",'02_投資成本_CAPEX'!$N53=0),0,IF(AND(5&gt;=1,5&lt;='02_投資成本_CAPEX'!$N53),$F52/'02_投資成本_CAPEX'!$N53,0)+IF(AND('02_投資成本_CAPEX'!$O53&gt;0,5&gt;='02_投資成本_CAPEX'!$O53,5&lt;='02_投資成本_CAPEX'!$O53+'02_投資成本_CAPEX'!$N53-1),$F52/'02_投資成本_CAPEX'!$N53,0))</f>
        <v>0</v>
      </c>
      <c r="L52" s="127" t="n">
        <f aca="false">IF(OR('02_投資成本_CAPEX'!$C53="",'02_投資成本_CAPEX'!$N53=0),0,IF(AND(6&gt;=1,6&lt;='02_投資成本_CAPEX'!$N53),$F52/'02_投資成本_CAPEX'!$N53,0)+IF(AND('02_投資成本_CAPEX'!$O53&gt;0,6&gt;='02_投資成本_CAPEX'!$O53,6&lt;='02_投資成本_CAPEX'!$O53+'02_投資成本_CAPEX'!$N53-1),$F52/'02_投資成本_CAPEX'!$N53,0))</f>
        <v>0</v>
      </c>
      <c r="M52" s="127" t="n">
        <f aca="false">IF(OR('02_投資成本_CAPEX'!$C53="",'02_投資成本_CAPEX'!$N53=0),0,IF(AND(7&gt;=1,7&lt;='02_投資成本_CAPEX'!$N53),$F52/'02_投資成本_CAPEX'!$N53,0)+IF(AND('02_投資成本_CAPEX'!$O53&gt;0,7&gt;='02_投資成本_CAPEX'!$O53,7&lt;='02_投資成本_CAPEX'!$O53+'02_投資成本_CAPEX'!$N53-1),$F52/'02_投資成本_CAPEX'!$N53,0))</f>
        <v>0</v>
      </c>
      <c r="N52" s="127" t="n">
        <f aca="false">IF(OR('02_投資成本_CAPEX'!$C53="",'02_投資成本_CAPEX'!$N53=0),0,IF(AND(8&gt;=1,8&lt;='02_投資成本_CAPEX'!$N53),$F52/'02_投資成本_CAPEX'!$N53,0)+IF(AND('02_投資成本_CAPEX'!$O53&gt;0,8&gt;='02_投資成本_CAPEX'!$O53,8&lt;='02_投資成本_CAPEX'!$O53+'02_投資成本_CAPEX'!$N53-1),$F52/'02_投資成本_CAPEX'!$N53,0))</f>
        <v>0</v>
      </c>
      <c r="O52" s="127" t="n">
        <f aca="false">IF(OR('02_投資成本_CAPEX'!$C53="",'02_投資成本_CAPEX'!$N53=0),0,IF(AND(9&gt;=1,9&lt;='02_投資成本_CAPEX'!$N53),$F52/'02_投資成本_CAPEX'!$N53,0)+IF(AND('02_投資成本_CAPEX'!$O53&gt;0,9&gt;='02_投資成本_CAPEX'!$O53,9&lt;='02_投資成本_CAPEX'!$O53+'02_投資成本_CAPEX'!$N53-1),$F52/'02_投資成本_CAPEX'!$N53,0))</f>
        <v>0</v>
      </c>
      <c r="P52" s="127" t="n">
        <f aca="false">IF(OR('02_投資成本_CAPEX'!$C53="",'02_投資成本_CAPEX'!$N53=0),0,IF(AND(10&gt;=1,10&lt;='02_投資成本_CAPEX'!$N53),$F52/'02_投資成本_CAPEX'!$N53,0)+IF(AND('02_投資成本_CAPEX'!$O53&gt;0,10&gt;='02_投資成本_CAPEX'!$O53,10&lt;='02_投資成本_CAPEX'!$O53+'02_投資成本_CAPEX'!$N53-1),$F52/'02_投資成本_CAPEX'!$N53,0))</f>
        <v>0</v>
      </c>
    </row>
    <row r="53" customFormat="false" ht="15.75" hidden="false" customHeight="true" outlineLevel="0" collapsed="false">
      <c r="A53" s="123" t="str">
        <f aca="false">IF('02_投資成本_CAPEX'!$C54="","",'02_投資成本_CAPEX'!$A54)</f>
        <v/>
      </c>
      <c r="B53" s="124" t="str">
        <f aca="false">IF('02_投資成本_CAPEX'!$C54="","",'02_投資成本_CAPEX'!$C54)</f>
        <v/>
      </c>
      <c r="C53" s="124" t="str">
        <f aca="false">IF('02_投資成本_CAPEX'!$C54="","",'02_投資成本_CAPEX'!$M54)</f>
        <v/>
      </c>
      <c r="D53" s="124" t="str">
        <f aca="false">IF('02_投資成本_CAPEX'!$C54="","",'02_投資成本_CAPEX'!$N54)</f>
        <v/>
      </c>
      <c r="E53" s="124" t="str">
        <f aca="false">IF('02_投資成本_CAPEX'!$C54="","",'02_投資成本_CAPEX'!$O54)</f>
        <v/>
      </c>
      <c r="F53" s="126" t="n">
        <f aca="false">IF('02_投資成本_CAPEX'!$C54="",0,'02_投資成本_CAPEX'!$L54*(1-'02_投資成本_CAPEX'!$P54)*'01_專案設定_Setup'!$B$30)</f>
        <v>0</v>
      </c>
      <c r="G53" s="127" t="n">
        <f aca="false">IF(OR('02_投資成本_CAPEX'!$C54="",'02_投資成本_CAPEX'!$N54=0),0,IF(AND(1&gt;=1,1&lt;='02_投資成本_CAPEX'!$N54),$F53/'02_投資成本_CAPEX'!$N54,0)+IF(AND('02_投資成本_CAPEX'!$O54&gt;0,1&gt;='02_投資成本_CAPEX'!$O54,1&lt;='02_投資成本_CAPEX'!$O54+'02_投資成本_CAPEX'!$N54-1),$F53/'02_投資成本_CAPEX'!$N54,0))</f>
        <v>0</v>
      </c>
      <c r="H53" s="127" t="n">
        <f aca="false">IF(OR('02_投資成本_CAPEX'!$C54="",'02_投資成本_CAPEX'!$N54=0),0,IF(AND(2&gt;=1,2&lt;='02_投資成本_CAPEX'!$N54),$F53/'02_投資成本_CAPEX'!$N54,0)+IF(AND('02_投資成本_CAPEX'!$O54&gt;0,2&gt;='02_投資成本_CAPEX'!$O54,2&lt;='02_投資成本_CAPEX'!$O54+'02_投資成本_CAPEX'!$N54-1),$F53/'02_投資成本_CAPEX'!$N54,0))</f>
        <v>0</v>
      </c>
      <c r="I53" s="127" t="n">
        <f aca="false">IF(OR('02_投資成本_CAPEX'!$C54="",'02_投資成本_CAPEX'!$N54=0),0,IF(AND(3&gt;=1,3&lt;='02_投資成本_CAPEX'!$N54),$F53/'02_投資成本_CAPEX'!$N54,0)+IF(AND('02_投資成本_CAPEX'!$O54&gt;0,3&gt;='02_投資成本_CAPEX'!$O54,3&lt;='02_投資成本_CAPEX'!$O54+'02_投資成本_CAPEX'!$N54-1),$F53/'02_投資成本_CAPEX'!$N54,0))</f>
        <v>0</v>
      </c>
      <c r="J53" s="127" t="n">
        <f aca="false">IF(OR('02_投資成本_CAPEX'!$C54="",'02_投資成本_CAPEX'!$N54=0),0,IF(AND(4&gt;=1,4&lt;='02_投資成本_CAPEX'!$N54),$F53/'02_投資成本_CAPEX'!$N54,0)+IF(AND('02_投資成本_CAPEX'!$O54&gt;0,4&gt;='02_投資成本_CAPEX'!$O54,4&lt;='02_投資成本_CAPEX'!$O54+'02_投資成本_CAPEX'!$N54-1),$F53/'02_投資成本_CAPEX'!$N54,0))</f>
        <v>0</v>
      </c>
      <c r="K53" s="127" t="n">
        <f aca="false">IF(OR('02_投資成本_CAPEX'!$C54="",'02_投資成本_CAPEX'!$N54=0),0,IF(AND(5&gt;=1,5&lt;='02_投資成本_CAPEX'!$N54),$F53/'02_投資成本_CAPEX'!$N54,0)+IF(AND('02_投資成本_CAPEX'!$O54&gt;0,5&gt;='02_投資成本_CAPEX'!$O54,5&lt;='02_投資成本_CAPEX'!$O54+'02_投資成本_CAPEX'!$N54-1),$F53/'02_投資成本_CAPEX'!$N54,0))</f>
        <v>0</v>
      </c>
      <c r="L53" s="127" t="n">
        <f aca="false">IF(OR('02_投資成本_CAPEX'!$C54="",'02_投資成本_CAPEX'!$N54=0),0,IF(AND(6&gt;=1,6&lt;='02_投資成本_CAPEX'!$N54),$F53/'02_投資成本_CAPEX'!$N54,0)+IF(AND('02_投資成本_CAPEX'!$O54&gt;0,6&gt;='02_投資成本_CAPEX'!$O54,6&lt;='02_投資成本_CAPEX'!$O54+'02_投資成本_CAPEX'!$N54-1),$F53/'02_投資成本_CAPEX'!$N54,0))</f>
        <v>0</v>
      </c>
      <c r="M53" s="127" t="n">
        <f aca="false">IF(OR('02_投資成本_CAPEX'!$C54="",'02_投資成本_CAPEX'!$N54=0),0,IF(AND(7&gt;=1,7&lt;='02_投資成本_CAPEX'!$N54),$F53/'02_投資成本_CAPEX'!$N54,0)+IF(AND('02_投資成本_CAPEX'!$O54&gt;0,7&gt;='02_投資成本_CAPEX'!$O54,7&lt;='02_投資成本_CAPEX'!$O54+'02_投資成本_CAPEX'!$N54-1),$F53/'02_投資成本_CAPEX'!$N54,0))</f>
        <v>0</v>
      </c>
      <c r="N53" s="127" t="n">
        <f aca="false">IF(OR('02_投資成本_CAPEX'!$C54="",'02_投資成本_CAPEX'!$N54=0),0,IF(AND(8&gt;=1,8&lt;='02_投資成本_CAPEX'!$N54),$F53/'02_投資成本_CAPEX'!$N54,0)+IF(AND('02_投資成本_CAPEX'!$O54&gt;0,8&gt;='02_投資成本_CAPEX'!$O54,8&lt;='02_投資成本_CAPEX'!$O54+'02_投資成本_CAPEX'!$N54-1),$F53/'02_投資成本_CAPEX'!$N54,0))</f>
        <v>0</v>
      </c>
      <c r="O53" s="127" t="n">
        <f aca="false">IF(OR('02_投資成本_CAPEX'!$C54="",'02_投資成本_CAPEX'!$N54=0),0,IF(AND(9&gt;=1,9&lt;='02_投資成本_CAPEX'!$N54),$F53/'02_投資成本_CAPEX'!$N54,0)+IF(AND('02_投資成本_CAPEX'!$O54&gt;0,9&gt;='02_投資成本_CAPEX'!$O54,9&lt;='02_投資成本_CAPEX'!$O54+'02_投資成本_CAPEX'!$N54-1),$F53/'02_投資成本_CAPEX'!$N54,0))</f>
        <v>0</v>
      </c>
      <c r="P53" s="127" t="n">
        <f aca="false">IF(OR('02_投資成本_CAPEX'!$C54="",'02_投資成本_CAPEX'!$N54=0),0,IF(AND(10&gt;=1,10&lt;='02_投資成本_CAPEX'!$N54),$F53/'02_投資成本_CAPEX'!$N54,0)+IF(AND('02_投資成本_CAPEX'!$O54&gt;0,10&gt;='02_投資成本_CAPEX'!$O54,10&lt;='02_投資成本_CAPEX'!$O54+'02_投資成本_CAPEX'!$N54-1),$F53/'02_投資成本_CAPEX'!$N54,0))</f>
        <v>0</v>
      </c>
    </row>
    <row r="54" customFormat="false" ht="15.75" hidden="false" customHeight="true" outlineLevel="0" collapsed="false">
      <c r="A54" s="123" t="str">
        <f aca="false">IF('02_投資成本_CAPEX'!$C55="","",'02_投資成本_CAPEX'!$A55)</f>
        <v/>
      </c>
      <c r="B54" s="124" t="str">
        <f aca="false">IF('02_投資成本_CAPEX'!$C55="","",'02_投資成本_CAPEX'!$C55)</f>
        <v/>
      </c>
      <c r="C54" s="124" t="str">
        <f aca="false">IF('02_投資成本_CAPEX'!$C55="","",'02_投資成本_CAPEX'!$M55)</f>
        <v/>
      </c>
      <c r="D54" s="124" t="str">
        <f aca="false">IF('02_投資成本_CAPEX'!$C55="","",'02_投資成本_CAPEX'!$N55)</f>
        <v/>
      </c>
      <c r="E54" s="124" t="str">
        <f aca="false">IF('02_投資成本_CAPEX'!$C55="","",'02_投資成本_CAPEX'!$O55)</f>
        <v/>
      </c>
      <c r="F54" s="126" t="n">
        <f aca="false">IF('02_投資成本_CAPEX'!$C55="",0,'02_投資成本_CAPEX'!$L55*(1-'02_投資成本_CAPEX'!$P55)*'01_專案設定_Setup'!$B$30)</f>
        <v>0</v>
      </c>
      <c r="G54" s="127" t="n">
        <f aca="false">IF(OR('02_投資成本_CAPEX'!$C55="",'02_投資成本_CAPEX'!$N55=0),0,IF(AND(1&gt;=1,1&lt;='02_投資成本_CAPEX'!$N55),$F54/'02_投資成本_CAPEX'!$N55,0)+IF(AND('02_投資成本_CAPEX'!$O55&gt;0,1&gt;='02_投資成本_CAPEX'!$O55,1&lt;='02_投資成本_CAPEX'!$O55+'02_投資成本_CAPEX'!$N55-1),$F54/'02_投資成本_CAPEX'!$N55,0))</f>
        <v>0</v>
      </c>
      <c r="H54" s="127" t="n">
        <f aca="false">IF(OR('02_投資成本_CAPEX'!$C55="",'02_投資成本_CAPEX'!$N55=0),0,IF(AND(2&gt;=1,2&lt;='02_投資成本_CAPEX'!$N55),$F54/'02_投資成本_CAPEX'!$N55,0)+IF(AND('02_投資成本_CAPEX'!$O55&gt;0,2&gt;='02_投資成本_CAPEX'!$O55,2&lt;='02_投資成本_CAPEX'!$O55+'02_投資成本_CAPEX'!$N55-1),$F54/'02_投資成本_CAPEX'!$N55,0))</f>
        <v>0</v>
      </c>
      <c r="I54" s="127" t="n">
        <f aca="false">IF(OR('02_投資成本_CAPEX'!$C55="",'02_投資成本_CAPEX'!$N55=0),0,IF(AND(3&gt;=1,3&lt;='02_投資成本_CAPEX'!$N55),$F54/'02_投資成本_CAPEX'!$N55,0)+IF(AND('02_投資成本_CAPEX'!$O55&gt;0,3&gt;='02_投資成本_CAPEX'!$O55,3&lt;='02_投資成本_CAPEX'!$O55+'02_投資成本_CAPEX'!$N55-1),$F54/'02_投資成本_CAPEX'!$N55,0))</f>
        <v>0</v>
      </c>
      <c r="J54" s="127" t="n">
        <f aca="false">IF(OR('02_投資成本_CAPEX'!$C55="",'02_投資成本_CAPEX'!$N55=0),0,IF(AND(4&gt;=1,4&lt;='02_投資成本_CAPEX'!$N55),$F54/'02_投資成本_CAPEX'!$N55,0)+IF(AND('02_投資成本_CAPEX'!$O55&gt;0,4&gt;='02_投資成本_CAPEX'!$O55,4&lt;='02_投資成本_CAPEX'!$O55+'02_投資成本_CAPEX'!$N55-1),$F54/'02_投資成本_CAPEX'!$N55,0))</f>
        <v>0</v>
      </c>
      <c r="K54" s="127" t="n">
        <f aca="false">IF(OR('02_投資成本_CAPEX'!$C55="",'02_投資成本_CAPEX'!$N55=0),0,IF(AND(5&gt;=1,5&lt;='02_投資成本_CAPEX'!$N55),$F54/'02_投資成本_CAPEX'!$N55,0)+IF(AND('02_投資成本_CAPEX'!$O55&gt;0,5&gt;='02_投資成本_CAPEX'!$O55,5&lt;='02_投資成本_CAPEX'!$O55+'02_投資成本_CAPEX'!$N55-1),$F54/'02_投資成本_CAPEX'!$N55,0))</f>
        <v>0</v>
      </c>
      <c r="L54" s="127" t="n">
        <f aca="false">IF(OR('02_投資成本_CAPEX'!$C55="",'02_投資成本_CAPEX'!$N55=0),0,IF(AND(6&gt;=1,6&lt;='02_投資成本_CAPEX'!$N55),$F54/'02_投資成本_CAPEX'!$N55,0)+IF(AND('02_投資成本_CAPEX'!$O55&gt;0,6&gt;='02_投資成本_CAPEX'!$O55,6&lt;='02_投資成本_CAPEX'!$O55+'02_投資成本_CAPEX'!$N55-1),$F54/'02_投資成本_CAPEX'!$N55,0))</f>
        <v>0</v>
      </c>
      <c r="M54" s="127" t="n">
        <f aca="false">IF(OR('02_投資成本_CAPEX'!$C55="",'02_投資成本_CAPEX'!$N55=0),0,IF(AND(7&gt;=1,7&lt;='02_投資成本_CAPEX'!$N55),$F54/'02_投資成本_CAPEX'!$N55,0)+IF(AND('02_投資成本_CAPEX'!$O55&gt;0,7&gt;='02_投資成本_CAPEX'!$O55,7&lt;='02_投資成本_CAPEX'!$O55+'02_投資成本_CAPEX'!$N55-1),$F54/'02_投資成本_CAPEX'!$N55,0))</f>
        <v>0</v>
      </c>
      <c r="N54" s="127" t="n">
        <f aca="false">IF(OR('02_投資成本_CAPEX'!$C55="",'02_投資成本_CAPEX'!$N55=0),0,IF(AND(8&gt;=1,8&lt;='02_投資成本_CAPEX'!$N55),$F54/'02_投資成本_CAPEX'!$N55,0)+IF(AND('02_投資成本_CAPEX'!$O55&gt;0,8&gt;='02_投資成本_CAPEX'!$O55,8&lt;='02_投資成本_CAPEX'!$O55+'02_投資成本_CAPEX'!$N55-1),$F54/'02_投資成本_CAPEX'!$N55,0))</f>
        <v>0</v>
      </c>
      <c r="O54" s="127" t="n">
        <f aca="false">IF(OR('02_投資成本_CAPEX'!$C55="",'02_投資成本_CAPEX'!$N55=0),0,IF(AND(9&gt;=1,9&lt;='02_投資成本_CAPEX'!$N55),$F54/'02_投資成本_CAPEX'!$N55,0)+IF(AND('02_投資成本_CAPEX'!$O55&gt;0,9&gt;='02_投資成本_CAPEX'!$O55,9&lt;='02_投資成本_CAPEX'!$O55+'02_投資成本_CAPEX'!$N55-1),$F54/'02_投資成本_CAPEX'!$N55,0))</f>
        <v>0</v>
      </c>
      <c r="P54" s="127" t="n">
        <f aca="false">IF(OR('02_投資成本_CAPEX'!$C55="",'02_投資成本_CAPEX'!$N55=0),0,IF(AND(10&gt;=1,10&lt;='02_投資成本_CAPEX'!$N55),$F54/'02_投資成本_CAPEX'!$N55,0)+IF(AND('02_投資成本_CAPEX'!$O55&gt;0,10&gt;='02_投資成本_CAPEX'!$O55,10&lt;='02_投資成本_CAPEX'!$O55+'02_投資成本_CAPEX'!$N55-1),$F54/'02_投資成本_CAPEX'!$N55,0))</f>
        <v>0</v>
      </c>
    </row>
    <row r="55" customFormat="false" ht="15.75" hidden="false" customHeight="true" outlineLevel="0" collapsed="false">
      <c r="A55" s="123" t="str">
        <f aca="false">IF('02_投資成本_CAPEX'!$C56="","",'02_投資成本_CAPEX'!$A56)</f>
        <v/>
      </c>
      <c r="B55" s="124" t="str">
        <f aca="false">IF('02_投資成本_CAPEX'!$C56="","",'02_投資成本_CAPEX'!$C56)</f>
        <v/>
      </c>
      <c r="C55" s="124" t="str">
        <f aca="false">IF('02_投資成本_CAPEX'!$C56="","",'02_投資成本_CAPEX'!$M56)</f>
        <v/>
      </c>
      <c r="D55" s="124" t="str">
        <f aca="false">IF('02_投資成本_CAPEX'!$C56="","",'02_投資成本_CAPEX'!$N56)</f>
        <v/>
      </c>
      <c r="E55" s="124" t="str">
        <f aca="false">IF('02_投資成本_CAPEX'!$C56="","",'02_投資成本_CAPEX'!$O56)</f>
        <v/>
      </c>
      <c r="F55" s="126" t="n">
        <f aca="false">IF('02_投資成本_CAPEX'!$C56="",0,'02_投資成本_CAPEX'!$L56*(1-'02_投資成本_CAPEX'!$P56)*'01_專案設定_Setup'!$B$30)</f>
        <v>0</v>
      </c>
      <c r="G55" s="127" t="n">
        <f aca="false">IF(OR('02_投資成本_CAPEX'!$C56="",'02_投資成本_CAPEX'!$N56=0),0,IF(AND(1&gt;=1,1&lt;='02_投資成本_CAPEX'!$N56),$F55/'02_投資成本_CAPEX'!$N56,0)+IF(AND('02_投資成本_CAPEX'!$O56&gt;0,1&gt;='02_投資成本_CAPEX'!$O56,1&lt;='02_投資成本_CAPEX'!$O56+'02_投資成本_CAPEX'!$N56-1),$F55/'02_投資成本_CAPEX'!$N56,0))</f>
        <v>0</v>
      </c>
      <c r="H55" s="127" t="n">
        <f aca="false">IF(OR('02_投資成本_CAPEX'!$C56="",'02_投資成本_CAPEX'!$N56=0),0,IF(AND(2&gt;=1,2&lt;='02_投資成本_CAPEX'!$N56),$F55/'02_投資成本_CAPEX'!$N56,0)+IF(AND('02_投資成本_CAPEX'!$O56&gt;0,2&gt;='02_投資成本_CAPEX'!$O56,2&lt;='02_投資成本_CAPEX'!$O56+'02_投資成本_CAPEX'!$N56-1),$F55/'02_投資成本_CAPEX'!$N56,0))</f>
        <v>0</v>
      </c>
      <c r="I55" s="127" t="n">
        <f aca="false">IF(OR('02_投資成本_CAPEX'!$C56="",'02_投資成本_CAPEX'!$N56=0),0,IF(AND(3&gt;=1,3&lt;='02_投資成本_CAPEX'!$N56),$F55/'02_投資成本_CAPEX'!$N56,0)+IF(AND('02_投資成本_CAPEX'!$O56&gt;0,3&gt;='02_投資成本_CAPEX'!$O56,3&lt;='02_投資成本_CAPEX'!$O56+'02_投資成本_CAPEX'!$N56-1),$F55/'02_投資成本_CAPEX'!$N56,0))</f>
        <v>0</v>
      </c>
      <c r="J55" s="127" t="n">
        <f aca="false">IF(OR('02_投資成本_CAPEX'!$C56="",'02_投資成本_CAPEX'!$N56=0),0,IF(AND(4&gt;=1,4&lt;='02_投資成本_CAPEX'!$N56),$F55/'02_投資成本_CAPEX'!$N56,0)+IF(AND('02_投資成本_CAPEX'!$O56&gt;0,4&gt;='02_投資成本_CAPEX'!$O56,4&lt;='02_投資成本_CAPEX'!$O56+'02_投資成本_CAPEX'!$N56-1),$F55/'02_投資成本_CAPEX'!$N56,0))</f>
        <v>0</v>
      </c>
      <c r="K55" s="127" t="n">
        <f aca="false">IF(OR('02_投資成本_CAPEX'!$C56="",'02_投資成本_CAPEX'!$N56=0),0,IF(AND(5&gt;=1,5&lt;='02_投資成本_CAPEX'!$N56),$F55/'02_投資成本_CAPEX'!$N56,0)+IF(AND('02_投資成本_CAPEX'!$O56&gt;0,5&gt;='02_投資成本_CAPEX'!$O56,5&lt;='02_投資成本_CAPEX'!$O56+'02_投資成本_CAPEX'!$N56-1),$F55/'02_投資成本_CAPEX'!$N56,0))</f>
        <v>0</v>
      </c>
      <c r="L55" s="127" t="n">
        <f aca="false">IF(OR('02_投資成本_CAPEX'!$C56="",'02_投資成本_CAPEX'!$N56=0),0,IF(AND(6&gt;=1,6&lt;='02_投資成本_CAPEX'!$N56),$F55/'02_投資成本_CAPEX'!$N56,0)+IF(AND('02_投資成本_CAPEX'!$O56&gt;0,6&gt;='02_投資成本_CAPEX'!$O56,6&lt;='02_投資成本_CAPEX'!$O56+'02_投資成本_CAPEX'!$N56-1),$F55/'02_投資成本_CAPEX'!$N56,0))</f>
        <v>0</v>
      </c>
      <c r="M55" s="127" t="n">
        <f aca="false">IF(OR('02_投資成本_CAPEX'!$C56="",'02_投資成本_CAPEX'!$N56=0),0,IF(AND(7&gt;=1,7&lt;='02_投資成本_CAPEX'!$N56),$F55/'02_投資成本_CAPEX'!$N56,0)+IF(AND('02_投資成本_CAPEX'!$O56&gt;0,7&gt;='02_投資成本_CAPEX'!$O56,7&lt;='02_投資成本_CAPEX'!$O56+'02_投資成本_CAPEX'!$N56-1),$F55/'02_投資成本_CAPEX'!$N56,0))</f>
        <v>0</v>
      </c>
      <c r="N55" s="127" t="n">
        <f aca="false">IF(OR('02_投資成本_CAPEX'!$C56="",'02_投資成本_CAPEX'!$N56=0),0,IF(AND(8&gt;=1,8&lt;='02_投資成本_CAPEX'!$N56),$F55/'02_投資成本_CAPEX'!$N56,0)+IF(AND('02_投資成本_CAPEX'!$O56&gt;0,8&gt;='02_投資成本_CAPEX'!$O56,8&lt;='02_投資成本_CAPEX'!$O56+'02_投資成本_CAPEX'!$N56-1),$F55/'02_投資成本_CAPEX'!$N56,0))</f>
        <v>0</v>
      </c>
      <c r="O55" s="127" t="n">
        <f aca="false">IF(OR('02_投資成本_CAPEX'!$C56="",'02_投資成本_CAPEX'!$N56=0),0,IF(AND(9&gt;=1,9&lt;='02_投資成本_CAPEX'!$N56),$F55/'02_投資成本_CAPEX'!$N56,0)+IF(AND('02_投資成本_CAPEX'!$O56&gt;0,9&gt;='02_投資成本_CAPEX'!$O56,9&lt;='02_投資成本_CAPEX'!$O56+'02_投資成本_CAPEX'!$N56-1),$F55/'02_投資成本_CAPEX'!$N56,0))</f>
        <v>0</v>
      </c>
      <c r="P55" s="127" t="n">
        <f aca="false">IF(OR('02_投資成本_CAPEX'!$C56="",'02_投資成本_CAPEX'!$N56=0),0,IF(AND(10&gt;=1,10&lt;='02_投資成本_CAPEX'!$N56),$F55/'02_投資成本_CAPEX'!$N56,0)+IF(AND('02_投資成本_CAPEX'!$O56&gt;0,10&gt;='02_投資成本_CAPEX'!$O56,10&lt;='02_投資成本_CAPEX'!$O56+'02_投資成本_CAPEX'!$N56-1),$F55/'02_投資成本_CAPEX'!$N56,0))</f>
        <v>0</v>
      </c>
    </row>
    <row r="56" customFormat="false" ht="15.75" hidden="false" customHeight="true" outlineLevel="0" collapsed="false">
      <c r="A56" s="123" t="str">
        <f aca="false">IF('02_投資成本_CAPEX'!$C57="","",'02_投資成本_CAPEX'!$A57)</f>
        <v/>
      </c>
      <c r="B56" s="124" t="str">
        <f aca="false">IF('02_投資成本_CAPEX'!$C57="","",'02_投資成本_CAPEX'!$C57)</f>
        <v/>
      </c>
      <c r="C56" s="124" t="str">
        <f aca="false">IF('02_投資成本_CAPEX'!$C57="","",'02_投資成本_CAPEX'!$M57)</f>
        <v/>
      </c>
      <c r="D56" s="124" t="str">
        <f aca="false">IF('02_投資成本_CAPEX'!$C57="","",'02_投資成本_CAPEX'!$N57)</f>
        <v/>
      </c>
      <c r="E56" s="124" t="str">
        <f aca="false">IF('02_投資成本_CAPEX'!$C57="","",'02_投資成本_CAPEX'!$O57)</f>
        <v/>
      </c>
      <c r="F56" s="126" t="n">
        <f aca="false">IF('02_投資成本_CAPEX'!$C57="",0,'02_投資成本_CAPEX'!$L57*(1-'02_投資成本_CAPEX'!$P57)*'01_專案設定_Setup'!$B$30)</f>
        <v>0</v>
      </c>
      <c r="G56" s="127" t="n">
        <f aca="false">IF(OR('02_投資成本_CAPEX'!$C57="",'02_投資成本_CAPEX'!$N57=0),0,IF(AND(1&gt;=1,1&lt;='02_投資成本_CAPEX'!$N57),$F56/'02_投資成本_CAPEX'!$N57,0)+IF(AND('02_投資成本_CAPEX'!$O57&gt;0,1&gt;='02_投資成本_CAPEX'!$O57,1&lt;='02_投資成本_CAPEX'!$O57+'02_投資成本_CAPEX'!$N57-1),$F56/'02_投資成本_CAPEX'!$N57,0))</f>
        <v>0</v>
      </c>
      <c r="H56" s="127" t="n">
        <f aca="false">IF(OR('02_投資成本_CAPEX'!$C57="",'02_投資成本_CAPEX'!$N57=0),0,IF(AND(2&gt;=1,2&lt;='02_投資成本_CAPEX'!$N57),$F56/'02_投資成本_CAPEX'!$N57,0)+IF(AND('02_投資成本_CAPEX'!$O57&gt;0,2&gt;='02_投資成本_CAPEX'!$O57,2&lt;='02_投資成本_CAPEX'!$O57+'02_投資成本_CAPEX'!$N57-1),$F56/'02_投資成本_CAPEX'!$N57,0))</f>
        <v>0</v>
      </c>
      <c r="I56" s="127" t="n">
        <f aca="false">IF(OR('02_投資成本_CAPEX'!$C57="",'02_投資成本_CAPEX'!$N57=0),0,IF(AND(3&gt;=1,3&lt;='02_投資成本_CAPEX'!$N57),$F56/'02_投資成本_CAPEX'!$N57,0)+IF(AND('02_投資成本_CAPEX'!$O57&gt;0,3&gt;='02_投資成本_CAPEX'!$O57,3&lt;='02_投資成本_CAPEX'!$O57+'02_投資成本_CAPEX'!$N57-1),$F56/'02_投資成本_CAPEX'!$N57,0))</f>
        <v>0</v>
      </c>
      <c r="J56" s="127" t="n">
        <f aca="false">IF(OR('02_投資成本_CAPEX'!$C57="",'02_投資成本_CAPEX'!$N57=0),0,IF(AND(4&gt;=1,4&lt;='02_投資成本_CAPEX'!$N57),$F56/'02_投資成本_CAPEX'!$N57,0)+IF(AND('02_投資成本_CAPEX'!$O57&gt;0,4&gt;='02_投資成本_CAPEX'!$O57,4&lt;='02_投資成本_CAPEX'!$O57+'02_投資成本_CAPEX'!$N57-1),$F56/'02_投資成本_CAPEX'!$N57,0))</f>
        <v>0</v>
      </c>
      <c r="K56" s="127" t="n">
        <f aca="false">IF(OR('02_投資成本_CAPEX'!$C57="",'02_投資成本_CAPEX'!$N57=0),0,IF(AND(5&gt;=1,5&lt;='02_投資成本_CAPEX'!$N57),$F56/'02_投資成本_CAPEX'!$N57,0)+IF(AND('02_投資成本_CAPEX'!$O57&gt;0,5&gt;='02_投資成本_CAPEX'!$O57,5&lt;='02_投資成本_CAPEX'!$O57+'02_投資成本_CAPEX'!$N57-1),$F56/'02_投資成本_CAPEX'!$N57,0))</f>
        <v>0</v>
      </c>
      <c r="L56" s="127" t="n">
        <f aca="false">IF(OR('02_投資成本_CAPEX'!$C57="",'02_投資成本_CAPEX'!$N57=0),0,IF(AND(6&gt;=1,6&lt;='02_投資成本_CAPEX'!$N57),$F56/'02_投資成本_CAPEX'!$N57,0)+IF(AND('02_投資成本_CAPEX'!$O57&gt;0,6&gt;='02_投資成本_CAPEX'!$O57,6&lt;='02_投資成本_CAPEX'!$O57+'02_投資成本_CAPEX'!$N57-1),$F56/'02_投資成本_CAPEX'!$N57,0))</f>
        <v>0</v>
      </c>
      <c r="M56" s="127" t="n">
        <f aca="false">IF(OR('02_投資成本_CAPEX'!$C57="",'02_投資成本_CAPEX'!$N57=0),0,IF(AND(7&gt;=1,7&lt;='02_投資成本_CAPEX'!$N57),$F56/'02_投資成本_CAPEX'!$N57,0)+IF(AND('02_投資成本_CAPEX'!$O57&gt;0,7&gt;='02_投資成本_CAPEX'!$O57,7&lt;='02_投資成本_CAPEX'!$O57+'02_投資成本_CAPEX'!$N57-1),$F56/'02_投資成本_CAPEX'!$N57,0))</f>
        <v>0</v>
      </c>
      <c r="N56" s="127" t="n">
        <f aca="false">IF(OR('02_投資成本_CAPEX'!$C57="",'02_投資成本_CAPEX'!$N57=0),0,IF(AND(8&gt;=1,8&lt;='02_投資成本_CAPEX'!$N57),$F56/'02_投資成本_CAPEX'!$N57,0)+IF(AND('02_投資成本_CAPEX'!$O57&gt;0,8&gt;='02_投資成本_CAPEX'!$O57,8&lt;='02_投資成本_CAPEX'!$O57+'02_投資成本_CAPEX'!$N57-1),$F56/'02_投資成本_CAPEX'!$N57,0))</f>
        <v>0</v>
      </c>
      <c r="O56" s="127" t="n">
        <f aca="false">IF(OR('02_投資成本_CAPEX'!$C57="",'02_投資成本_CAPEX'!$N57=0),0,IF(AND(9&gt;=1,9&lt;='02_投資成本_CAPEX'!$N57),$F56/'02_投資成本_CAPEX'!$N57,0)+IF(AND('02_投資成本_CAPEX'!$O57&gt;0,9&gt;='02_投資成本_CAPEX'!$O57,9&lt;='02_投資成本_CAPEX'!$O57+'02_投資成本_CAPEX'!$N57-1),$F56/'02_投資成本_CAPEX'!$N57,0))</f>
        <v>0</v>
      </c>
      <c r="P56" s="127" t="n">
        <f aca="false">IF(OR('02_投資成本_CAPEX'!$C57="",'02_投資成本_CAPEX'!$N57=0),0,IF(AND(10&gt;=1,10&lt;='02_投資成本_CAPEX'!$N57),$F56/'02_投資成本_CAPEX'!$N57,0)+IF(AND('02_投資成本_CAPEX'!$O57&gt;0,10&gt;='02_投資成本_CAPEX'!$O57,10&lt;='02_投資成本_CAPEX'!$O57+'02_投資成本_CAPEX'!$N57-1),$F56/'02_投資成本_CAPEX'!$N57,0))</f>
        <v>0</v>
      </c>
    </row>
    <row r="57" customFormat="false" ht="15.75" hidden="false" customHeight="true" outlineLevel="0" collapsed="false">
      <c r="A57" s="123" t="str">
        <f aca="false">IF('02_投資成本_CAPEX'!$C58="","",'02_投資成本_CAPEX'!$A58)</f>
        <v/>
      </c>
      <c r="B57" s="124" t="str">
        <f aca="false">IF('02_投資成本_CAPEX'!$C58="","",'02_投資成本_CAPEX'!$C58)</f>
        <v/>
      </c>
      <c r="C57" s="124" t="str">
        <f aca="false">IF('02_投資成本_CAPEX'!$C58="","",'02_投資成本_CAPEX'!$M58)</f>
        <v/>
      </c>
      <c r="D57" s="124" t="str">
        <f aca="false">IF('02_投資成本_CAPEX'!$C58="","",'02_投資成本_CAPEX'!$N58)</f>
        <v/>
      </c>
      <c r="E57" s="124" t="str">
        <f aca="false">IF('02_投資成本_CAPEX'!$C58="","",'02_投資成本_CAPEX'!$O58)</f>
        <v/>
      </c>
      <c r="F57" s="126" t="n">
        <f aca="false">IF('02_投資成本_CAPEX'!$C58="",0,'02_投資成本_CAPEX'!$L58*(1-'02_投資成本_CAPEX'!$P58)*'01_專案設定_Setup'!$B$30)</f>
        <v>0</v>
      </c>
      <c r="G57" s="127" t="n">
        <f aca="false">IF(OR('02_投資成本_CAPEX'!$C58="",'02_投資成本_CAPEX'!$N58=0),0,IF(AND(1&gt;=1,1&lt;='02_投資成本_CAPEX'!$N58),$F57/'02_投資成本_CAPEX'!$N58,0)+IF(AND('02_投資成本_CAPEX'!$O58&gt;0,1&gt;='02_投資成本_CAPEX'!$O58,1&lt;='02_投資成本_CAPEX'!$O58+'02_投資成本_CAPEX'!$N58-1),$F57/'02_投資成本_CAPEX'!$N58,0))</f>
        <v>0</v>
      </c>
      <c r="H57" s="127" t="n">
        <f aca="false">IF(OR('02_投資成本_CAPEX'!$C58="",'02_投資成本_CAPEX'!$N58=0),0,IF(AND(2&gt;=1,2&lt;='02_投資成本_CAPEX'!$N58),$F57/'02_投資成本_CAPEX'!$N58,0)+IF(AND('02_投資成本_CAPEX'!$O58&gt;0,2&gt;='02_投資成本_CAPEX'!$O58,2&lt;='02_投資成本_CAPEX'!$O58+'02_投資成本_CAPEX'!$N58-1),$F57/'02_投資成本_CAPEX'!$N58,0))</f>
        <v>0</v>
      </c>
      <c r="I57" s="127" t="n">
        <f aca="false">IF(OR('02_投資成本_CAPEX'!$C58="",'02_投資成本_CAPEX'!$N58=0),0,IF(AND(3&gt;=1,3&lt;='02_投資成本_CAPEX'!$N58),$F57/'02_投資成本_CAPEX'!$N58,0)+IF(AND('02_投資成本_CAPEX'!$O58&gt;0,3&gt;='02_投資成本_CAPEX'!$O58,3&lt;='02_投資成本_CAPEX'!$O58+'02_投資成本_CAPEX'!$N58-1),$F57/'02_投資成本_CAPEX'!$N58,0))</f>
        <v>0</v>
      </c>
      <c r="J57" s="127" t="n">
        <f aca="false">IF(OR('02_投資成本_CAPEX'!$C58="",'02_投資成本_CAPEX'!$N58=0),0,IF(AND(4&gt;=1,4&lt;='02_投資成本_CAPEX'!$N58),$F57/'02_投資成本_CAPEX'!$N58,0)+IF(AND('02_投資成本_CAPEX'!$O58&gt;0,4&gt;='02_投資成本_CAPEX'!$O58,4&lt;='02_投資成本_CAPEX'!$O58+'02_投資成本_CAPEX'!$N58-1),$F57/'02_投資成本_CAPEX'!$N58,0))</f>
        <v>0</v>
      </c>
      <c r="K57" s="127" t="n">
        <f aca="false">IF(OR('02_投資成本_CAPEX'!$C58="",'02_投資成本_CAPEX'!$N58=0),0,IF(AND(5&gt;=1,5&lt;='02_投資成本_CAPEX'!$N58),$F57/'02_投資成本_CAPEX'!$N58,0)+IF(AND('02_投資成本_CAPEX'!$O58&gt;0,5&gt;='02_投資成本_CAPEX'!$O58,5&lt;='02_投資成本_CAPEX'!$O58+'02_投資成本_CAPEX'!$N58-1),$F57/'02_投資成本_CAPEX'!$N58,0))</f>
        <v>0</v>
      </c>
      <c r="L57" s="127" t="n">
        <f aca="false">IF(OR('02_投資成本_CAPEX'!$C58="",'02_投資成本_CAPEX'!$N58=0),0,IF(AND(6&gt;=1,6&lt;='02_投資成本_CAPEX'!$N58),$F57/'02_投資成本_CAPEX'!$N58,0)+IF(AND('02_投資成本_CAPEX'!$O58&gt;0,6&gt;='02_投資成本_CAPEX'!$O58,6&lt;='02_投資成本_CAPEX'!$O58+'02_投資成本_CAPEX'!$N58-1),$F57/'02_投資成本_CAPEX'!$N58,0))</f>
        <v>0</v>
      </c>
      <c r="M57" s="127" t="n">
        <f aca="false">IF(OR('02_投資成本_CAPEX'!$C58="",'02_投資成本_CAPEX'!$N58=0),0,IF(AND(7&gt;=1,7&lt;='02_投資成本_CAPEX'!$N58),$F57/'02_投資成本_CAPEX'!$N58,0)+IF(AND('02_投資成本_CAPEX'!$O58&gt;0,7&gt;='02_投資成本_CAPEX'!$O58,7&lt;='02_投資成本_CAPEX'!$O58+'02_投資成本_CAPEX'!$N58-1),$F57/'02_投資成本_CAPEX'!$N58,0))</f>
        <v>0</v>
      </c>
      <c r="N57" s="127" t="n">
        <f aca="false">IF(OR('02_投資成本_CAPEX'!$C58="",'02_投資成本_CAPEX'!$N58=0),0,IF(AND(8&gt;=1,8&lt;='02_投資成本_CAPEX'!$N58),$F57/'02_投資成本_CAPEX'!$N58,0)+IF(AND('02_投資成本_CAPEX'!$O58&gt;0,8&gt;='02_投資成本_CAPEX'!$O58,8&lt;='02_投資成本_CAPEX'!$O58+'02_投資成本_CAPEX'!$N58-1),$F57/'02_投資成本_CAPEX'!$N58,0))</f>
        <v>0</v>
      </c>
      <c r="O57" s="127" t="n">
        <f aca="false">IF(OR('02_投資成本_CAPEX'!$C58="",'02_投資成本_CAPEX'!$N58=0),0,IF(AND(9&gt;=1,9&lt;='02_投資成本_CAPEX'!$N58),$F57/'02_投資成本_CAPEX'!$N58,0)+IF(AND('02_投資成本_CAPEX'!$O58&gt;0,9&gt;='02_投資成本_CAPEX'!$O58,9&lt;='02_投資成本_CAPEX'!$O58+'02_投資成本_CAPEX'!$N58-1),$F57/'02_投資成本_CAPEX'!$N58,0))</f>
        <v>0</v>
      </c>
      <c r="P57" s="127" t="n">
        <f aca="false">IF(OR('02_投資成本_CAPEX'!$C58="",'02_投資成本_CAPEX'!$N58=0),0,IF(AND(10&gt;=1,10&lt;='02_投資成本_CAPEX'!$N58),$F57/'02_投資成本_CAPEX'!$N58,0)+IF(AND('02_投資成本_CAPEX'!$O58&gt;0,10&gt;='02_投資成本_CAPEX'!$O58,10&lt;='02_投資成本_CAPEX'!$O58+'02_投資成本_CAPEX'!$N58-1),$F57/'02_投資成本_CAPEX'!$N58,0))</f>
        <v>0</v>
      </c>
    </row>
    <row r="58" customFormat="false" ht="15.75" hidden="false" customHeight="true" outlineLevel="0" collapsed="false">
      <c r="A58" s="123" t="str">
        <f aca="false">IF('02_投資成本_CAPEX'!$C59="","",'02_投資成本_CAPEX'!$A59)</f>
        <v/>
      </c>
      <c r="B58" s="124" t="str">
        <f aca="false">IF('02_投資成本_CAPEX'!$C59="","",'02_投資成本_CAPEX'!$C59)</f>
        <v/>
      </c>
      <c r="C58" s="124" t="str">
        <f aca="false">IF('02_投資成本_CAPEX'!$C59="","",'02_投資成本_CAPEX'!$M59)</f>
        <v/>
      </c>
      <c r="D58" s="124" t="str">
        <f aca="false">IF('02_投資成本_CAPEX'!$C59="","",'02_投資成本_CAPEX'!$N59)</f>
        <v/>
      </c>
      <c r="E58" s="124" t="str">
        <f aca="false">IF('02_投資成本_CAPEX'!$C59="","",'02_投資成本_CAPEX'!$O59)</f>
        <v/>
      </c>
      <c r="F58" s="126" t="n">
        <f aca="false">IF('02_投資成本_CAPEX'!$C59="",0,'02_投資成本_CAPEX'!$L59*(1-'02_投資成本_CAPEX'!$P59)*'01_專案設定_Setup'!$B$30)</f>
        <v>0</v>
      </c>
      <c r="G58" s="127" t="n">
        <f aca="false">IF(OR('02_投資成本_CAPEX'!$C59="",'02_投資成本_CAPEX'!$N59=0),0,IF(AND(1&gt;=1,1&lt;='02_投資成本_CAPEX'!$N59),$F58/'02_投資成本_CAPEX'!$N59,0)+IF(AND('02_投資成本_CAPEX'!$O59&gt;0,1&gt;='02_投資成本_CAPEX'!$O59,1&lt;='02_投資成本_CAPEX'!$O59+'02_投資成本_CAPEX'!$N59-1),$F58/'02_投資成本_CAPEX'!$N59,0))</f>
        <v>0</v>
      </c>
      <c r="H58" s="127" t="n">
        <f aca="false">IF(OR('02_投資成本_CAPEX'!$C59="",'02_投資成本_CAPEX'!$N59=0),0,IF(AND(2&gt;=1,2&lt;='02_投資成本_CAPEX'!$N59),$F58/'02_投資成本_CAPEX'!$N59,0)+IF(AND('02_投資成本_CAPEX'!$O59&gt;0,2&gt;='02_投資成本_CAPEX'!$O59,2&lt;='02_投資成本_CAPEX'!$O59+'02_投資成本_CAPEX'!$N59-1),$F58/'02_投資成本_CAPEX'!$N59,0))</f>
        <v>0</v>
      </c>
      <c r="I58" s="127" t="n">
        <f aca="false">IF(OR('02_投資成本_CAPEX'!$C59="",'02_投資成本_CAPEX'!$N59=0),0,IF(AND(3&gt;=1,3&lt;='02_投資成本_CAPEX'!$N59),$F58/'02_投資成本_CAPEX'!$N59,0)+IF(AND('02_投資成本_CAPEX'!$O59&gt;0,3&gt;='02_投資成本_CAPEX'!$O59,3&lt;='02_投資成本_CAPEX'!$O59+'02_投資成本_CAPEX'!$N59-1),$F58/'02_投資成本_CAPEX'!$N59,0))</f>
        <v>0</v>
      </c>
      <c r="J58" s="127" t="n">
        <f aca="false">IF(OR('02_投資成本_CAPEX'!$C59="",'02_投資成本_CAPEX'!$N59=0),0,IF(AND(4&gt;=1,4&lt;='02_投資成本_CAPEX'!$N59),$F58/'02_投資成本_CAPEX'!$N59,0)+IF(AND('02_投資成本_CAPEX'!$O59&gt;0,4&gt;='02_投資成本_CAPEX'!$O59,4&lt;='02_投資成本_CAPEX'!$O59+'02_投資成本_CAPEX'!$N59-1),$F58/'02_投資成本_CAPEX'!$N59,0))</f>
        <v>0</v>
      </c>
      <c r="K58" s="127" t="n">
        <f aca="false">IF(OR('02_投資成本_CAPEX'!$C59="",'02_投資成本_CAPEX'!$N59=0),0,IF(AND(5&gt;=1,5&lt;='02_投資成本_CAPEX'!$N59),$F58/'02_投資成本_CAPEX'!$N59,0)+IF(AND('02_投資成本_CAPEX'!$O59&gt;0,5&gt;='02_投資成本_CAPEX'!$O59,5&lt;='02_投資成本_CAPEX'!$O59+'02_投資成本_CAPEX'!$N59-1),$F58/'02_投資成本_CAPEX'!$N59,0))</f>
        <v>0</v>
      </c>
      <c r="L58" s="127" t="n">
        <f aca="false">IF(OR('02_投資成本_CAPEX'!$C59="",'02_投資成本_CAPEX'!$N59=0),0,IF(AND(6&gt;=1,6&lt;='02_投資成本_CAPEX'!$N59),$F58/'02_投資成本_CAPEX'!$N59,0)+IF(AND('02_投資成本_CAPEX'!$O59&gt;0,6&gt;='02_投資成本_CAPEX'!$O59,6&lt;='02_投資成本_CAPEX'!$O59+'02_投資成本_CAPEX'!$N59-1),$F58/'02_投資成本_CAPEX'!$N59,0))</f>
        <v>0</v>
      </c>
      <c r="M58" s="127" t="n">
        <f aca="false">IF(OR('02_投資成本_CAPEX'!$C59="",'02_投資成本_CAPEX'!$N59=0),0,IF(AND(7&gt;=1,7&lt;='02_投資成本_CAPEX'!$N59),$F58/'02_投資成本_CAPEX'!$N59,0)+IF(AND('02_投資成本_CAPEX'!$O59&gt;0,7&gt;='02_投資成本_CAPEX'!$O59,7&lt;='02_投資成本_CAPEX'!$O59+'02_投資成本_CAPEX'!$N59-1),$F58/'02_投資成本_CAPEX'!$N59,0))</f>
        <v>0</v>
      </c>
      <c r="N58" s="127" t="n">
        <f aca="false">IF(OR('02_投資成本_CAPEX'!$C59="",'02_投資成本_CAPEX'!$N59=0),0,IF(AND(8&gt;=1,8&lt;='02_投資成本_CAPEX'!$N59),$F58/'02_投資成本_CAPEX'!$N59,0)+IF(AND('02_投資成本_CAPEX'!$O59&gt;0,8&gt;='02_投資成本_CAPEX'!$O59,8&lt;='02_投資成本_CAPEX'!$O59+'02_投資成本_CAPEX'!$N59-1),$F58/'02_投資成本_CAPEX'!$N59,0))</f>
        <v>0</v>
      </c>
      <c r="O58" s="127" t="n">
        <f aca="false">IF(OR('02_投資成本_CAPEX'!$C59="",'02_投資成本_CAPEX'!$N59=0),0,IF(AND(9&gt;=1,9&lt;='02_投資成本_CAPEX'!$N59),$F58/'02_投資成本_CAPEX'!$N59,0)+IF(AND('02_投資成本_CAPEX'!$O59&gt;0,9&gt;='02_投資成本_CAPEX'!$O59,9&lt;='02_投資成本_CAPEX'!$O59+'02_投資成本_CAPEX'!$N59-1),$F58/'02_投資成本_CAPEX'!$N59,0))</f>
        <v>0</v>
      </c>
      <c r="P58" s="127" t="n">
        <f aca="false">IF(OR('02_投資成本_CAPEX'!$C59="",'02_投資成本_CAPEX'!$N59=0),0,IF(AND(10&gt;=1,10&lt;='02_投資成本_CAPEX'!$N59),$F58/'02_投資成本_CAPEX'!$N59,0)+IF(AND('02_投資成本_CAPEX'!$O59&gt;0,10&gt;='02_投資成本_CAPEX'!$O59,10&lt;='02_投資成本_CAPEX'!$O59+'02_投資成本_CAPEX'!$N59-1),$F58/'02_投資成本_CAPEX'!$N59,0))</f>
        <v>0</v>
      </c>
    </row>
    <row r="59" customFormat="false" ht="15.75" hidden="false" customHeight="true" outlineLevel="0" collapsed="false">
      <c r="A59" s="123" t="str">
        <f aca="false">IF('02_投資成本_CAPEX'!$C60="","",'02_投資成本_CAPEX'!$A60)</f>
        <v/>
      </c>
      <c r="B59" s="124" t="str">
        <f aca="false">IF('02_投資成本_CAPEX'!$C60="","",'02_投資成本_CAPEX'!$C60)</f>
        <v/>
      </c>
      <c r="C59" s="124" t="str">
        <f aca="false">IF('02_投資成本_CAPEX'!$C60="","",'02_投資成本_CAPEX'!$M60)</f>
        <v/>
      </c>
      <c r="D59" s="124" t="str">
        <f aca="false">IF('02_投資成本_CAPEX'!$C60="","",'02_投資成本_CAPEX'!$N60)</f>
        <v/>
      </c>
      <c r="E59" s="124" t="str">
        <f aca="false">IF('02_投資成本_CAPEX'!$C60="","",'02_投資成本_CAPEX'!$O60)</f>
        <v/>
      </c>
      <c r="F59" s="126" t="n">
        <f aca="false">IF('02_投資成本_CAPEX'!$C60="",0,'02_投資成本_CAPEX'!$L60*(1-'02_投資成本_CAPEX'!$P60)*'01_專案設定_Setup'!$B$30)</f>
        <v>0</v>
      </c>
      <c r="G59" s="127" t="n">
        <f aca="false">IF(OR('02_投資成本_CAPEX'!$C60="",'02_投資成本_CAPEX'!$N60=0),0,IF(AND(1&gt;=1,1&lt;='02_投資成本_CAPEX'!$N60),$F59/'02_投資成本_CAPEX'!$N60,0)+IF(AND('02_投資成本_CAPEX'!$O60&gt;0,1&gt;='02_投資成本_CAPEX'!$O60,1&lt;='02_投資成本_CAPEX'!$O60+'02_投資成本_CAPEX'!$N60-1),$F59/'02_投資成本_CAPEX'!$N60,0))</f>
        <v>0</v>
      </c>
      <c r="H59" s="127" t="n">
        <f aca="false">IF(OR('02_投資成本_CAPEX'!$C60="",'02_投資成本_CAPEX'!$N60=0),0,IF(AND(2&gt;=1,2&lt;='02_投資成本_CAPEX'!$N60),$F59/'02_投資成本_CAPEX'!$N60,0)+IF(AND('02_投資成本_CAPEX'!$O60&gt;0,2&gt;='02_投資成本_CAPEX'!$O60,2&lt;='02_投資成本_CAPEX'!$O60+'02_投資成本_CAPEX'!$N60-1),$F59/'02_投資成本_CAPEX'!$N60,0))</f>
        <v>0</v>
      </c>
      <c r="I59" s="127" t="n">
        <f aca="false">IF(OR('02_投資成本_CAPEX'!$C60="",'02_投資成本_CAPEX'!$N60=0),0,IF(AND(3&gt;=1,3&lt;='02_投資成本_CAPEX'!$N60),$F59/'02_投資成本_CAPEX'!$N60,0)+IF(AND('02_投資成本_CAPEX'!$O60&gt;0,3&gt;='02_投資成本_CAPEX'!$O60,3&lt;='02_投資成本_CAPEX'!$O60+'02_投資成本_CAPEX'!$N60-1),$F59/'02_投資成本_CAPEX'!$N60,0))</f>
        <v>0</v>
      </c>
      <c r="J59" s="127" t="n">
        <f aca="false">IF(OR('02_投資成本_CAPEX'!$C60="",'02_投資成本_CAPEX'!$N60=0),0,IF(AND(4&gt;=1,4&lt;='02_投資成本_CAPEX'!$N60),$F59/'02_投資成本_CAPEX'!$N60,0)+IF(AND('02_投資成本_CAPEX'!$O60&gt;0,4&gt;='02_投資成本_CAPEX'!$O60,4&lt;='02_投資成本_CAPEX'!$O60+'02_投資成本_CAPEX'!$N60-1),$F59/'02_投資成本_CAPEX'!$N60,0))</f>
        <v>0</v>
      </c>
      <c r="K59" s="127" t="n">
        <f aca="false">IF(OR('02_投資成本_CAPEX'!$C60="",'02_投資成本_CAPEX'!$N60=0),0,IF(AND(5&gt;=1,5&lt;='02_投資成本_CAPEX'!$N60),$F59/'02_投資成本_CAPEX'!$N60,0)+IF(AND('02_投資成本_CAPEX'!$O60&gt;0,5&gt;='02_投資成本_CAPEX'!$O60,5&lt;='02_投資成本_CAPEX'!$O60+'02_投資成本_CAPEX'!$N60-1),$F59/'02_投資成本_CAPEX'!$N60,0))</f>
        <v>0</v>
      </c>
      <c r="L59" s="127" t="n">
        <f aca="false">IF(OR('02_投資成本_CAPEX'!$C60="",'02_投資成本_CAPEX'!$N60=0),0,IF(AND(6&gt;=1,6&lt;='02_投資成本_CAPEX'!$N60),$F59/'02_投資成本_CAPEX'!$N60,0)+IF(AND('02_投資成本_CAPEX'!$O60&gt;0,6&gt;='02_投資成本_CAPEX'!$O60,6&lt;='02_投資成本_CAPEX'!$O60+'02_投資成本_CAPEX'!$N60-1),$F59/'02_投資成本_CAPEX'!$N60,0))</f>
        <v>0</v>
      </c>
      <c r="M59" s="127" t="n">
        <f aca="false">IF(OR('02_投資成本_CAPEX'!$C60="",'02_投資成本_CAPEX'!$N60=0),0,IF(AND(7&gt;=1,7&lt;='02_投資成本_CAPEX'!$N60),$F59/'02_投資成本_CAPEX'!$N60,0)+IF(AND('02_投資成本_CAPEX'!$O60&gt;0,7&gt;='02_投資成本_CAPEX'!$O60,7&lt;='02_投資成本_CAPEX'!$O60+'02_投資成本_CAPEX'!$N60-1),$F59/'02_投資成本_CAPEX'!$N60,0))</f>
        <v>0</v>
      </c>
      <c r="N59" s="127" t="n">
        <f aca="false">IF(OR('02_投資成本_CAPEX'!$C60="",'02_投資成本_CAPEX'!$N60=0),0,IF(AND(8&gt;=1,8&lt;='02_投資成本_CAPEX'!$N60),$F59/'02_投資成本_CAPEX'!$N60,0)+IF(AND('02_投資成本_CAPEX'!$O60&gt;0,8&gt;='02_投資成本_CAPEX'!$O60,8&lt;='02_投資成本_CAPEX'!$O60+'02_投資成本_CAPEX'!$N60-1),$F59/'02_投資成本_CAPEX'!$N60,0))</f>
        <v>0</v>
      </c>
      <c r="O59" s="127" t="n">
        <f aca="false">IF(OR('02_投資成本_CAPEX'!$C60="",'02_投資成本_CAPEX'!$N60=0),0,IF(AND(9&gt;=1,9&lt;='02_投資成本_CAPEX'!$N60),$F59/'02_投資成本_CAPEX'!$N60,0)+IF(AND('02_投資成本_CAPEX'!$O60&gt;0,9&gt;='02_投資成本_CAPEX'!$O60,9&lt;='02_投資成本_CAPEX'!$O60+'02_投資成本_CAPEX'!$N60-1),$F59/'02_投資成本_CAPEX'!$N60,0))</f>
        <v>0</v>
      </c>
      <c r="P59" s="127" t="n">
        <f aca="false">IF(OR('02_投資成本_CAPEX'!$C60="",'02_投資成本_CAPEX'!$N60=0),0,IF(AND(10&gt;=1,10&lt;='02_投資成本_CAPEX'!$N60),$F59/'02_投資成本_CAPEX'!$N60,0)+IF(AND('02_投資成本_CAPEX'!$O60&gt;0,10&gt;='02_投資成本_CAPEX'!$O60,10&lt;='02_投資成本_CAPEX'!$O60+'02_投資成本_CAPEX'!$N60-1),$F59/'02_投資成本_CAPEX'!$N60,0))</f>
        <v>0</v>
      </c>
    </row>
    <row r="60" customFormat="false" ht="15.75" hidden="false" customHeight="true" outlineLevel="0" collapsed="false">
      <c r="A60" s="123" t="str">
        <f aca="false">IF('02_投資成本_CAPEX'!$C61="","",'02_投資成本_CAPEX'!$A61)</f>
        <v/>
      </c>
      <c r="B60" s="124" t="str">
        <f aca="false">IF('02_投資成本_CAPEX'!$C61="","",'02_投資成本_CAPEX'!$C61)</f>
        <v/>
      </c>
      <c r="C60" s="124" t="str">
        <f aca="false">IF('02_投資成本_CAPEX'!$C61="","",'02_投資成本_CAPEX'!$M61)</f>
        <v/>
      </c>
      <c r="D60" s="124" t="str">
        <f aca="false">IF('02_投資成本_CAPEX'!$C61="","",'02_投資成本_CAPEX'!$N61)</f>
        <v/>
      </c>
      <c r="E60" s="124" t="str">
        <f aca="false">IF('02_投資成本_CAPEX'!$C61="","",'02_投資成本_CAPEX'!$O61)</f>
        <v/>
      </c>
      <c r="F60" s="126" t="n">
        <f aca="false">IF('02_投資成本_CAPEX'!$C61="",0,'02_投資成本_CAPEX'!$L61*(1-'02_投資成本_CAPEX'!$P61)*'01_專案設定_Setup'!$B$30)</f>
        <v>0</v>
      </c>
      <c r="G60" s="127" t="n">
        <f aca="false">IF(OR('02_投資成本_CAPEX'!$C61="",'02_投資成本_CAPEX'!$N61=0),0,IF(AND(1&gt;=1,1&lt;='02_投資成本_CAPEX'!$N61),$F60/'02_投資成本_CAPEX'!$N61,0)+IF(AND('02_投資成本_CAPEX'!$O61&gt;0,1&gt;='02_投資成本_CAPEX'!$O61,1&lt;='02_投資成本_CAPEX'!$O61+'02_投資成本_CAPEX'!$N61-1),$F60/'02_投資成本_CAPEX'!$N61,0))</f>
        <v>0</v>
      </c>
      <c r="H60" s="127" t="n">
        <f aca="false">IF(OR('02_投資成本_CAPEX'!$C61="",'02_投資成本_CAPEX'!$N61=0),0,IF(AND(2&gt;=1,2&lt;='02_投資成本_CAPEX'!$N61),$F60/'02_投資成本_CAPEX'!$N61,0)+IF(AND('02_投資成本_CAPEX'!$O61&gt;0,2&gt;='02_投資成本_CAPEX'!$O61,2&lt;='02_投資成本_CAPEX'!$O61+'02_投資成本_CAPEX'!$N61-1),$F60/'02_投資成本_CAPEX'!$N61,0))</f>
        <v>0</v>
      </c>
      <c r="I60" s="127" t="n">
        <f aca="false">IF(OR('02_投資成本_CAPEX'!$C61="",'02_投資成本_CAPEX'!$N61=0),0,IF(AND(3&gt;=1,3&lt;='02_投資成本_CAPEX'!$N61),$F60/'02_投資成本_CAPEX'!$N61,0)+IF(AND('02_投資成本_CAPEX'!$O61&gt;0,3&gt;='02_投資成本_CAPEX'!$O61,3&lt;='02_投資成本_CAPEX'!$O61+'02_投資成本_CAPEX'!$N61-1),$F60/'02_投資成本_CAPEX'!$N61,0))</f>
        <v>0</v>
      </c>
      <c r="J60" s="127" t="n">
        <f aca="false">IF(OR('02_投資成本_CAPEX'!$C61="",'02_投資成本_CAPEX'!$N61=0),0,IF(AND(4&gt;=1,4&lt;='02_投資成本_CAPEX'!$N61),$F60/'02_投資成本_CAPEX'!$N61,0)+IF(AND('02_投資成本_CAPEX'!$O61&gt;0,4&gt;='02_投資成本_CAPEX'!$O61,4&lt;='02_投資成本_CAPEX'!$O61+'02_投資成本_CAPEX'!$N61-1),$F60/'02_投資成本_CAPEX'!$N61,0))</f>
        <v>0</v>
      </c>
      <c r="K60" s="127" t="n">
        <f aca="false">IF(OR('02_投資成本_CAPEX'!$C61="",'02_投資成本_CAPEX'!$N61=0),0,IF(AND(5&gt;=1,5&lt;='02_投資成本_CAPEX'!$N61),$F60/'02_投資成本_CAPEX'!$N61,0)+IF(AND('02_投資成本_CAPEX'!$O61&gt;0,5&gt;='02_投資成本_CAPEX'!$O61,5&lt;='02_投資成本_CAPEX'!$O61+'02_投資成本_CAPEX'!$N61-1),$F60/'02_投資成本_CAPEX'!$N61,0))</f>
        <v>0</v>
      </c>
      <c r="L60" s="127" t="n">
        <f aca="false">IF(OR('02_投資成本_CAPEX'!$C61="",'02_投資成本_CAPEX'!$N61=0),0,IF(AND(6&gt;=1,6&lt;='02_投資成本_CAPEX'!$N61),$F60/'02_投資成本_CAPEX'!$N61,0)+IF(AND('02_投資成本_CAPEX'!$O61&gt;0,6&gt;='02_投資成本_CAPEX'!$O61,6&lt;='02_投資成本_CAPEX'!$O61+'02_投資成本_CAPEX'!$N61-1),$F60/'02_投資成本_CAPEX'!$N61,0))</f>
        <v>0</v>
      </c>
      <c r="M60" s="127" t="n">
        <f aca="false">IF(OR('02_投資成本_CAPEX'!$C61="",'02_投資成本_CAPEX'!$N61=0),0,IF(AND(7&gt;=1,7&lt;='02_投資成本_CAPEX'!$N61),$F60/'02_投資成本_CAPEX'!$N61,0)+IF(AND('02_投資成本_CAPEX'!$O61&gt;0,7&gt;='02_投資成本_CAPEX'!$O61,7&lt;='02_投資成本_CAPEX'!$O61+'02_投資成本_CAPEX'!$N61-1),$F60/'02_投資成本_CAPEX'!$N61,0))</f>
        <v>0</v>
      </c>
      <c r="N60" s="127" t="n">
        <f aca="false">IF(OR('02_投資成本_CAPEX'!$C61="",'02_投資成本_CAPEX'!$N61=0),0,IF(AND(8&gt;=1,8&lt;='02_投資成本_CAPEX'!$N61),$F60/'02_投資成本_CAPEX'!$N61,0)+IF(AND('02_投資成本_CAPEX'!$O61&gt;0,8&gt;='02_投資成本_CAPEX'!$O61,8&lt;='02_投資成本_CAPEX'!$O61+'02_投資成本_CAPEX'!$N61-1),$F60/'02_投資成本_CAPEX'!$N61,0))</f>
        <v>0</v>
      </c>
      <c r="O60" s="127" t="n">
        <f aca="false">IF(OR('02_投資成本_CAPEX'!$C61="",'02_投資成本_CAPEX'!$N61=0),0,IF(AND(9&gt;=1,9&lt;='02_投資成本_CAPEX'!$N61),$F60/'02_投資成本_CAPEX'!$N61,0)+IF(AND('02_投資成本_CAPEX'!$O61&gt;0,9&gt;='02_投資成本_CAPEX'!$O61,9&lt;='02_投資成本_CAPEX'!$O61+'02_投資成本_CAPEX'!$N61-1),$F60/'02_投資成本_CAPEX'!$N61,0))</f>
        <v>0</v>
      </c>
      <c r="P60" s="127" t="n">
        <f aca="false">IF(OR('02_投資成本_CAPEX'!$C61="",'02_投資成本_CAPEX'!$N61=0),0,IF(AND(10&gt;=1,10&lt;='02_投資成本_CAPEX'!$N61),$F60/'02_投資成本_CAPEX'!$N61,0)+IF(AND('02_投資成本_CAPEX'!$O61&gt;0,10&gt;='02_投資成本_CAPEX'!$O61,10&lt;='02_投資成本_CAPEX'!$O61+'02_投資成本_CAPEX'!$N61-1),$F60/'02_投資成本_CAPEX'!$N61,0))</f>
        <v>0</v>
      </c>
    </row>
    <row r="61" customFormat="false" ht="15.75" hidden="false" customHeight="true" outlineLevel="0" collapsed="false">
      <c r="A61" s="123" t="str">
        <f aca="false">IF('02_投資成本_CAPEX'!$C62="","",'02_投資成本_CAPEX'!$A62)</f>
        <v/>
      </c>
      <c r="B61" s="124" t="str">
        <f aca="false">IF('02_投資成本_CAPEX'!$C62="","",'02_投資成本_CAPEX'!$C62)</f>
        <v/>
      </c>
      <c r="C61" s="124" t="str">
        <f aca="false">IF('02_投資成本_CAPEX'!$C62="","",'02_投資成本_CAPEX'!$M62)</f>
        <v/>
      </c>
      <c r="D61" s="124" t="str">
        <f aca="false">IF('02_投資成本_CAPEX'!$C62="","",'02_投資成本_CAPEX'!$N62)</f>
        <v/>
      </c>
      <c r="E61" s="124" t="str">
        <f aca="false">IF('02_投資成本_CAPEX'!$C62="","",'02_投資成本_CAPEX'!$O62)</f>
        <v/>
      </c>
      <c r="F61" s="126" t="n">
        <f aca="false">IF('02_投資成本_CAPEX'!$C62="",0,'02_投資成本_CAPEX'!$L62*(1-'02_投資成本_CAPEX'!$P62)*'01_專案設定_Setup'!$B$30)</f>
        <v>0</v>
      </c>
      <c r="G61" s="127" t="n">
        <f aca="false">IF(OR('02_投資成本_CAPEX'!$C62="",'02_投資成本_CAPEX'!$N62=0),0,IF(AND(1&gt;=1,1&lt;='02_投資成本_CAPEX'!$N62),$F61/'02_投資成本_CAPEX'!$N62,0)+IF(AND('02_投資成本_CAPEX'!$O62&gt;0,1&gt;='02_投資成本_CAPEX'!$O62,1&lt;='02_投資成本_CAPEX'!$O62+'02_投資成本_CAPEX'!$N62-1),$F61/'02_投資成本_CAPEX'!$N62,0))</f>
        <v>0</v>
      </c>
      <c r="H61" s="127" t="n">
        <f aca="false">IF(OR('02_投資成本_CAPEX'!$C62="",'02_投資成本_CAPEX'!$N62=0),0,IF(AND(2&gt;=1,2&lt;='02_投資成本_CAPEX'!$N62),$F61/'02_投資成本_CAPEX'!$N62,0)+IF(AND('02_投資成本_CAPEX'!$O62&gt;0,2&gt;='02_投資成本_CAPEX'!$O62,2&lt;='02_投資成本_CAPEX'!$O62+'02_投資成本_CAPEX'!$N62-1),$F61/'02_投資成本_CAPEX'!$N62,0))</f>
        <v>0</v>
      </c>
      <c r="I61" s="127" t="n">
        <f aca="false">IF(OR('02_投資成本_CAPEX'!$C62="",'02_投資成本_CAPEX'!$N62=0),0,IF(AND(3&gt;=1,3&lt;='02_投資成本_CAPEX'!$N62),$F61/'02_投資成本_CAPEX'!$N62,0)+IF(AND('02_投資成本_CAPEX'!$O62&gt;0,3&gt;='02_投資成本_CAPEX'!$O62,3&lt;='02_投資成本_CAPEX'!$O62+'02_投資成本_CAPEX'!$N62-1),$F61/'02_投資成本_CAPEX'!$N62,0))</f>
        <v>0</v>
      </c>
      <c r="J61" s="127" t="n">
        <f aca="false">IF(OR('02_投資成本_CAPEX'!$C62="",'02_投資成本_CAPEX'!$N62=0),0,IF(AND(4&gt;=1,4&lt;='02_投資成本_CAPEX'!$N62),$F61/'02_投資成本_CAPEX'!$N62,0)+IF(AND('02_投資成本_CAPEX'!$O62&gt;0,4&gt;='02_投資成本_CAPEX'!$O62,4&lt;='02_投資成本_CAPEX'!$O62+'02_投資成本_CAPEX'!$N62-1),$F61/'02_投資成本_CAPEX'!$N62,0))</f>
        <v>0</v>
      </c>
      <c r="K61" s="127" t="n">
        <f aca="false">IF(OR('02_投資成本_CAPEX'!$C62="",'02_投資成本_CAPEX'!$N62=0),0,IF(AND(5&gt;=1,5&lt;='02_投資成本_CAPEX'!$N62),$F61/'02_投資成本_CAPEX'!$N62,0)+IF(AND('02_投資成本_CAPEX'!$O62&gt;0,5&gt;='02_投資成本_CAPEX'!$O62,5&lt;='02_投資成本_CAPEX'!$O62+'02_投資成本_CAPEX'!$N62-1),$F61/'02_投資成本_CAPEX'!$N62,0))</f>
        <v>0</v>
      </c>
      <c r="L61" s="127" t="n">
        <f aca="false">IF(OR('02_投資成本_CAPEX'!$C62="",'02_投資成本_CAPEX'!$N62=0),0,IF(AND(6&gt;=1,6&lt;='02_投資成本_CAPEX'!$N62),$F61/'02_投資成本_CAPEX'!$N62,0)+IF(AND('02_投資成本_CAPEX'!$O62&gt;0,6&gt;='02_投資成本_CAPEX'!$O62,6&lt;='02_投資成本_CAPEX'!$O62+'02_投資成本_CAPEX'!$N62-1),$F61/'02_投資成本_CAPEX'!$N62,0))</f>
        <v>0</v>
      </c>
      <c r="M61" s="127" t="n">
        <f aca="false">IF(OR('02_投資成本_CAPEX'!$C62="",'02_投資成本_CAPEX'!$N62=0),0,IF(AND(7&gt;=1,7&lt;='02_投資成本_CAPEX'!$N62),$F61/'02_投資成本_CAPEX'!$N62,0)+IF(AND('02_投資成本_CAPEX'!$O62&gt;0,7&gt;='02_投資成本_CAPEX'!$O62,7&lt;='02_投資成本_CAPEX'!$O62+'02_投資成本_CAPEX'!$N62-1),$F61/'02_投資成本_CAPEX'!$N62,0))</f>
        <v>0</v>
      </c>
      <c r="N61" s="127" t="n">
        <f aca="false">IF(OR('02_投資成本_CAPEX'!$C62="",'02_投資成本_CAPEX'!$N62=0),0,IF(AND(8&gt;=1,8&lt;='02_投資成本_CAPEX'!$N62),$F61/'02_投資成本_CAPEX'!$N62,0)+IF(AND('02_投資成本_CAPEX'!$O62&gt;0,8&gt;='02_投資成本_CAPEX'!$O62,8&lt;='02_投資成本_CAPEX'!$O62+'02_投資成本_CAPEX'!$N62-1),$F61/'02_投資成本_CAPEX'!$N62,0))</f>
        <v>0</v>
      </c>
      <c r="O61" s="127" t="n">
        <f aca="false">IF(OR('02_投資成本_CAPEX'!$C62="",'02_投資成本_CAPEX'!$N62=0),0,IF(AND(9&gt;=1,9&lt;='02_投資成本_CAPEX'!$N62),$F61/'02_投資成本_CAPEX'!$N62,0)+IF(AND('02_投資成本_CAPEX'!$O62&gt;0,9&gt;='02_投資成本_CAPEX'!$O62,9&lt;='02_投資成本_CAPEX'!$O62+'02_投資成本_CAPEX'!$N62-1),$F61/'02_投資成本_CAPEX'!$N62,0))</f>
        <v>0</v>
      </c>
      <c r="P61" s="127" t="n">
        <f aca="false">IF(OR('02_投資成本_CAPEX'!$C62="",'02_投資成本_CAPEX'!$N62=0),0,IF(AND(10&gt;=1,10&lt;='02_投資成本_CAPEX'!$N62),$F61/'02_投資成本_CAPEX'!$N62,0)+IF(AND('02_投資成本_CAPEX'!$O62&gt;0,10&gt;='02_投資成本_CAPEX'!$O62,10&lt;='02_投資成本_CAPEX'!$O62+'02_投資成本_CAPEX'!$N62-1),$F61/'02_投資成本_CAPEX'!$N62,0))</f>
        <v>0</v>
      </c>
    </row>
    <row r="62" customFormat="false" ht="15.75" hidden="false" customHeight="true" outlineLevel="0" collapsed="false">
      <c r="A62" s="123" t="str">
        <f aca="false">IF('02_投資成本_CAPEX'!$C63="","",'02_投資成本_CAPEX'!$A63)</f>
        <v/>
      </c>
      <c r="B62" s="124" t="str">
        <f aca="false">IF('02_投資成本_CAPEX'!$C63="","",'02_投資成本_CAPEX'!$C63)</f>
        <v/>
      </c>
      <c r="C62" s="124" t="str">
        <f aca="false">IF('02_投資成本_CAPEX'!$C63="","",'02_投資成本_CAPEX'!$M63)</f>
        <v/>
      </c>
      <c r="D62" s="124" t="str">
        <f aca="false">IF('02_投資成本_CAPEX'!$C63="","",'02_投資成本_CAPEX'!$N63)</f>
        <v/>
      </c>
      <c r="E62" s="124" t="str">
        <f aca="false">IF('02_投資成本_CAPEX'!$C63="","",'02_投資成本_CAPEX'!$O63)</f>
        <v/>
      </c>
      <c r="F62" s="126" t="n">
        <f aca="false">IF('02_投資成本_CAPEX'!$C63="",0,'02_投資成本_CAPEX'!$L63*(1-'02_投資成本_CAPEX'!$P63)*'01_專案設定_Setup'!$B$30)</f>
        <v>0</v>
      </c>
      <c r="G62" s="127" t="n">
        <f aca="false">IF(OR('02_投資成本_CAPEX'!$C63="",'02_投資成本_CAPEX'!$N63=0),0,IF(AND(1&gt;=1,1&lt;='02_投資成本_CAPEX'!$N63),$F62/'02_投資成本_CAPEX'!$N63,0)+IF(AND('02_投資成本_CAPEX'!$O63&gt;0,1&gt;='02_投資成本_CAPEX'!$O63,1&lt;='02_投資成本_CAPEX'!$O63+'02_投資成本_CAPEX'!$N63-1),$F62/'02_投資成本_CAPEX'!$N63,0))</f>
        <v>0</v>
      </c>
      <c r="H62" s="127" t="n">
        <f aca="false">IF(OR('02_投資成本_CAPEX'!$C63="",'02_投資成本_CAPEX'!$N63=0),0,IF(AND(2&gt;=1,2&lt;='02_投資成本_CAPEX'!$N63),$F62/'02_投資成本_CAPEX'!$N63,0)+IF(AND('02_投資成本_CAPEX'!$O63&gt;0,2&gt;='02_投資成本_CAPEX'!$O63,2&lt;='02_投資成本_CAPEX'!$O63+'02_投資成本_CAPEX'!$N63-1),$F62/'02_投資成本_CAPEX'!$N63,0))</f>
        <v>0</v>
      </c>
      <c r="I62" s="127" t="n">
        <f aca="false">IF(OR('02_投資成本_CAPEX'!$C63="",'02_投資成本_CAPEX'!$N63=0),0,IF(AND(3&gt;=1,3&lt;='02_投資成本_CAPEX'!$N63),$F62/'02_投資成本_CAPEX'!$N63,0)+IF(AND('02_投資成本_CAPEX'!$O63&gt;0,3&gt;='02_投資成本_CAPEX'!$O63,3&lt;='02_投資成本_CAPEX'!$O63+'02_投資成本_CAPEX'!$N63-1),$F62/'02_投資成本_CAPEX'!$N63,0))</f>
        <v>0</v>
      </c>
      <c r="J62" s="127" t="n">
        <f aca="false">IF(OR('02_投資成本_CAPEX'!$C63="",'02_投資成本_CAPEX'!$N63=0),0,IF(AND(4&gt;=1,4&lt;='02_投資成本_CAPEX'!$N63),$F62/'02_投資成本_CAPEX'!$N63,0)+IF(AND('02_投資成本_CAPEX'!$O63&gt;0,4&gt;='02_投資成本_CAPEX'!$O63,4&lt;='02_投資成本_CAPEX'!$O63+'02_投資成本_CAPEX'!$N63-1),$F62/'02_投資成本_CAPEX'!$N63,0))</f>
        <v>0</v>
      </c>
      <c r="K62" s="127" t="n">
        <f aca="false">IF(OR('02_投資成本_CAPEX'!$C63="",'02_投資成本_CAPEX'!$N63=0),0,IF(AND(5&gt;=1,5&lt;='02_投資成本_CAPEX'!$N63),$F62/'02_投資成本_CAPEX'!$N63,0)+IF(AND('02_投資成本_CAPEX'!$O63&gt;0,5&gt;='02_投資成本_CAPEX'!$O63,5&lt;='02_投資成本_CAPEX'!$O63+'02_投資成本_CAPEX'!$N63-1),$F62/'02_投資成本_CAPEX'!$N63,0))</f>
        <v>0</v>
      </c>
      <c r="L62" s="127" t="n">
        <f aca="false">IF(OR('02_投資成本_CAPEX'!$C63="",'02_投資成本_CAPEX'!$N63=0),0,IF(AND(6&gt;=1,6&lt;='02_投資成本_CAPEX'!$N63),$F62/'02_投資成本_CAPEX'!$N63,0)+IF(AND('02_投資成本_CAPEX'!$O63&gt;0,6&gt;='02_投資成本_CAPEX'!$O63,6&lt;='02_投資成本_CAPEX'!$O63+'02_投資成本_CAPEX'!$N63-1),$F62/'02_投資成本_CAPEX'!$N63,0))</f>
        <v>0</v>
      </c>
      <c r="M62" s="127" t="n">
        <f aca="false">IF(OR('02_投資成本_CAPEX'!$C63="",'02_投資成本_CAPEX'!$N63=0),0,IF(AND(7&gt;=1,7&lt;='02_投資成本_CAPEX'!$N63),$F62/'02_投資成本_CAPEX'!$N63,0)+IF(AND('02_投資成本_CAPEX'!$O63&gt;0,7&gt;='02_投資成本_CAPEX'!$O63,7&lt;='02_投資成本_CAPEX'!$O63+'02_投資成本_CAPEX'!$N63-1),$F62/'02_投資成本_CAPEX'!$N63,0))</f>
        <v>0</v>
      </c>
      <c r="N62" s="127" t="n">
        <f aca="false">IF(OR('02_投資成本_CAPEX'!$C63="",'02_投資成本_CAPEX'!$N63=0),0,IF(AND(8&gt;=1,8&lt;='02_投資成本_CAPEX'!$N63),$F62/'02_投資成本_CAPEX'!$N63,0)+IF(AND('02_投資成本_CAPEX'!$O63&gt;0,8&gt;='02_投資成本_CAPEX'!$O63,8&lt;='02_投資成本_CAPEX'!$O63+'02_投資成本_CAPEX'!$N63-1),$F62/'02_投資成本_CAPEX'!$N63,0))</f>
        <v>0</v>
      </c>
      <c r="O62" s="127" t="n">
        <f aca="false">IF(OR('02_投資成本_CAPEX'!$C63="",'02_投資成本_CAPEX'!$N63=0),0,IF(AND(9&gt;=1,9&lt;='02_投資成本_CAPEX'!$N63),$F62/'02_投資成本_CAPEX'!$N63,0)+IF(AND('02_投資成本_CAPEX'!$O63&gt;0,9&gt;='02_投資成本_CAPEX'!$O63,9&lt;='02_投資成本_CAPEX'!$O63+'02_投資成本_CAPEX'!$N63-1),$F62/'02_投資成本_CAPEX'!$N63,0))</f>
        <v>0</v>
      </c>
      <c r="P62" s="127" t="n">
        <f aca="false">IF(OR('02_投資成本_CAPEX'!$C63="",'02_投資成本_CAPEX'!$N63=0),0,IF(AND(10&gt;=1,10&lt;='02_投資成本_CAPEX'!$N63),$F62/'02_投資成本_CAPEX'!$N63,0)+IF(AND('02_投資成本_CAPEX'!$O63&gt;0,10&gt;='02_投資成本_CAPEX'!$O63,10&lt;='02_投資成本_CAPEX'!$O63+'02_投資成本_CAPEX'!$N63-1),$F62/'02_投資成本_CAPEX'!$N63,0))</f>
        <v>0</v>
      </c>
    </row>
    <row r="63" customFormat="false" ht="24" hidden="false" customHeight="true" outlineLevel="0" collapsed="false">
      <c r="A63" s="96"/>
      <c r="B63" s="97" t="s">
        <v>449</v>
      </c>
      <c r="C63" s="96"/>
      <c r="D63" s="96"/>
      <c r="E63" s="96"/>
      <c r="F63" s="96"/>
      <c r="G63" s="128" t="n">
        <f aca="false">SUM(G5:G62)</f>
        <v>5326.0116</v>
      </c>
      <c r="H63" s="128" t="n">
        <f aca="false">SUM(H5:H62)</f>
        <v>5326.0116</v>
      </c>
      <c r="I63" s="128" t="n">
        <f aca="false">SUM(I5:I62)</f>
        <v>5326.0116</v>
      </c>
      <c r="J63" s="128" t="n">
        <f aca="false">SUM(J5:J62)</f>
        <v>5326.0116</v>
      </c>
      <c r="K63" s="128" t="n">
        <f aca="false">SUM(K5:K62)</f>
        <v>5567.6156</v>
      </c>
      <c r="L63" s="128" t="n">
        <f aca="false">SUM(L5:L62)</f>
        <v>835.6656</v>
      </c>
      <c r="M63" s="128" t="n">
        <f aca="false">SUM(M5:M62)</f>
        <v>835.6656</v>
      </c>
      <c r="N63" s="128" t="n">
        <f aca="false">SUM(N5:N62)</f>
        <v>835.6656</v>
      </c>
      <c r="O63" s="128" t="n">
        <f aca="false">SUM(O5:O62)</f>
        <v>835.6656</v>
      </c>
      <c r="P63" s="128" t="n">
        <f aca="false">SUM(P5:P62)</f>
        <v>594.0616</v>
      </c>
    </row>
    <row r="65" customFormat="false" ht="19.4" hidden="false" customHeight="false" outlineLevel="0" collapsed="false">
      <c r="A65" s="3" t="s">
        <v>450</v>
      </c>
    </row>
    <row r="66" customFormat="false" ht="25.5" hidden="false" customHeight="true" outlineLevel="0" collapsed="false">
      <c r="A66" s="5" t="s">
        <v>435</v>
      </c>
      <c r="F66" s="5" t="s">
        <v>451</v>
      </c>
      <c r="G66" s="5" t="s">
        <v>423</v>
      </c>
      <c r="H66" s="5" t="s">
        <v>424</v>
      </c>
      <c r="I66" s="5" t="s">
        <v>425</v>
      </c>
      <c r="J66" s="5" t="s">
        <v>426</v>
      </c>
      <c r="K66" s="5" t="s">
        <v>427</v>
      </c>
      <c r="L66" s="5" t="s">
        <v>428</v>
      </c>
      <c r="M66" s="5" t="s">
        <v>429</v>
      </c>
      <c r="N66" s="5" t="s">
        <v>430</v>
      </c>
      <c r="O66" s="5" t="s">
        <v>431</v>
      </c>
      <c r="P66" s="5" t="s">
        <v>432</v>
      </c>
    </row>
    <row r="67" customFormat="false" ht="15" hidden="false" customHeight="true" outlineLevel="0" collapsed="false">
      <c r="A67" s="129" t="s">
        <v>452</v>
      </c>
      <c r="B67" s="129"/>
      <c r="C67" s="129"/>
      <c r="D67" s="129"/>
      <c r="E67" s="129"/>
      <c r="F67" s="130" t="n">
        <f aca="false">SUM('02_投資成本_CAPEX'!$Q$6:$Q$63)</f>
        <v>41019.602</v>
      </c>
      <c r="G67" s="130" t="n">
        <v>0</v>
      </c>
      <c r="H67" s="130" t="n">
        <v>0</v>
      </c>
      <c r="I67" s="130" t="n">
        <v>0</v>
      </c>
      <c r="J67" s="130" t="n">
        <v>0</v>
      </c>
      <c r="K67" s="130" t="n">
        <v>0</v>
      </c>
      <c r="L67" s="130" t="n">
        <v>0</v>
      </c>
      <c r="M67" s="130" t="n">
        <v>0</v>
      </c>
      <c r="N67" s="130" t="n">
        <v>0</v>
      </c>
      <c r="O67" s="130" t="n">
        <v>0</v>
      </c>
      <c r="P67" s="130" t="n">
        <v>0</v>
      </c>
    </row>
    <row r="68" customFormat="false" ht="15" hidden="false" customHeight="true" outlineLevel="0" collapsed="false">
      <c r="A68" s="129" t="s">
        <v>453</v>
      </c>
      <c r="B68" s="129"/>
      <c r="C68" s="129"/>
      <c r="D68" s="129"/>
      <c r="E68" s="129"/>
      <c r="F68" s="130" t="n">
        <v>0</v>
      </c>
      <c r="G68" s="130" t="n">
        <f aca="false">SUMIF('02_投資成本_CAPEX'!$O$6:$O$63,1,'02_投資成本_CAPEX'!$Q$6:$Q$63)</f>
        <v>0</v>
      </c>
      <c r="H68" s="130" t="n">
        <f aca="false">SUMIF('02_投資成本_CAPEX'!$O$6:$O$63,2,'02_投資成本_CAPEX'!$Q$6:$Q$63)</f>
        <v>0</v>
      </c>
      <c r="I68" s="130" t="n">
        <f aca="false">SUMIF('02_投資成本_CAPEX'!$O$6:$O$63,3,'02_投資成本_CAPEX'!$Q$6:$Q$63)</f>
        <v>0</v>
      </c>
      <c r="J68" s="130" t="n">
        <f aca="false">SUMIF('02_投資成本_CAPEX'!$O$6:$O$63,4,'02_投資成本_CAPEX'!$Q$6:$Q$63)</f>
        <v>0</v>
      </c>
      <c r="K68" s="130" t="n">
        <f aca="false">SUMIF('02_投資成本_CAPEX'!$O$6:$O$63,5,'02_投資成本_CAPEX'!$Q$6:$Q$63)</f>
        <v>1208.02</v>
      </c>
      <c r="L68" s="130" t="n">
        <f aca="false">SUMIF('02_投資成本_CAPEX'!$O$6:$O$63,6,'02_投資成本_CAPEX'!$Q$6:$Q$63)</f>
        <v>3126.64</v>
      </c>
      <c r="M68" s="130" t="n">
        <f aca="false">SUMIF('02_投資成本_CAPEX'!$O$6:$O$63,7,'02_投資成本_CAPEX'!$Q$6:$Q$63)</f>
        <v>0</v>
      </c>
      <c r="N68" s="130" t="n">
        <f aca="false">SUMIF('02_投資成本_CAPEX'!$O$6:$O$63,8,'02_投資成本_CAPEX'!$Q$6:$Q$63)</f>
        <v>0</v>
      </c>
      <c r="O68" s="130" t="n">
        <f aca="false">SUMIF('02_投資成本_CAPEX'!$O$6:$O$63,9,'02_投資成本_CAPEX'!$Q$6:$Q$63)</f>
        <v>0</v>
      </c>
      <c r="P68" s="130" t="n">
        <f aca="false">SUMIF('02_投資成本_CAPEX'!$O$6:$O$63,10,'02_投資成本_CAPEX'!$Q$6:$Q$63)</f>
        <v>0</v>
      </c>
    </row>
    <row r="69" customFormat="false" ht="16.4" hidden="false" customHeight="true" outlineLevel="0" collapsed="false">
      <c r="A69" s="131" t="s">
        <v>454</v>
      </c>
      <c r="B69" s="131"/>
      <c r="C69" s="131"/>
      <c r="D69" s="131"/>
      <c r="E69" s="131"/>
      <c r="F69" s="132" t="n">
        <f aca="false">$F67+$F68</f>
        <v>41019.602</v>
      </c>
      <c r="G69" s="132" t="n">
        <f aca="false">G67+G68</f>
        <v>0</v>
      </c>
      <c r="H69" s="132" t="n">
        <f aca="false">H67+H68</f>
        <v>0</v>
      </c>
      <c r="I69" s="132" t="n">
        <f aca="false">I67+I68</f>
        <v>0</v>
      </c>
      <c r="J69" s="132" t="n">
        <f aca="false">J67+J68</f>
        <v>0</v>
      </c>
      <c r="K69" s="132" t="n">
        <f aca="false">K67+K68</f>
        <v>1208.02</v>
      </c>
      <c r="L69" s="132" t="n">
        <f aca="false">L67+L68</f>
        <v>3126.64</v>
      </c>
      <c r="M69" s="132" t="n">
        <f aca="false">M67+M68</f>
        <v>0</v>
      </c>
      <c r="N69" s="132" t="n">
        <f aca="false">N67+N68</f>
        <v>0</v>
      </c>
      <c r="O69" s="132" t="n">
        <f aca="false">O67+O68</f>
        <v>0</v>
      </c>
      <c r="P69" s="132" t="n">
        <f aca="false">P67+P68</f>
        <v>0</v>
      </c>
    </row>
    <row r="71" customFormat="false" ht="15" hidden="false" customHeight="true" outlineLevel="0" collapsed="false">
      <c r="A71" s="133" t="s">
        <v>455</v>
      </c>
      <c r="B71" s="133"/>
      <c r="C71" s="133"/>
      <c r="D71" s="133"/>
      <c r="E71" s="133"/>
      <c r="F71" s="134" t="n">
        <f aca="false">SUMPRODUCT('02_投資成本_CAPEX'!$L$6:$L$63,'02_投資成本_CAPEX'!$P$6:$P$63)*'01_專案設定_Setup'!$B$30</f>
        <v>156.332</v>
      </c>
    </row>
    <row r="73" customFormat="false" ht="15" hidden="false" customHeight="true" outlineLevel="0" collapsed="false">
      <c r="A73" s="135" t="s">
        <v>456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</row>
    <row r="74" customFormat="false" ht="15" hidden="false" customHeight="false" outlineLevel="0" collapsed="false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</row>
  </sheetData>
  <sheetProtection sheet="true" formatCells="false" formatColumns="false" formatRows="false" insertRows="false" deleteRows="false" sort="false" autoFilter="false"/>
  <mergeCells count="7">
    <mergeCell ref="A1:N1"/>
    <mergeCell ref="A2:N2"/>
    <mergeCell ref="A67:E67"/>
    <mergeCell ref="A68:E68"/>
    <mergeCell ref="A69:E69"/>
    <mergeCell ref="A71:E71"/>
    <mergeCell ref="A73:P74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&amp;L05_折舊攤提_Depreciation</oddHeader>
    <oddFooter>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2" min="2" style="0" width="15"/>
  </cols>
  <sheetData>
    <row r="1" customFormat="false" ht="30" hidden="false" customHeight="true" outlineLevel="0" collapsed="false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458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5" t="s">
        <v>459</v>
      </c>
      <c r="B4" s="5" t="s">
        <v>451</v>
      </c>
      <c r="C4" s="5" t="str">
        <f aca="false">CONCATENATE("第 1 年",CHAR(10),"(",'01_專案設定_Setup'!$B$36+0,")")</f>
        <v>第 1 年
(2027)</v>
      </c>
      <c r="D4" s="5" t="str">
        <f aca="false">CONCATENATE("第 2 年",CHAR(10),"(",'01_專案設定_Setup'!$B$36+1,")")</f>
        <v>第 2 年
(2028)</v>
      </c>
      <c r="E4" s="5" t="str">
        <f aca="false">CONCATENATE("第 3 年",CHAR(10),"(",'01_專案設定_Setup'!$B$36+2,")")</f>
        <v>第 3 年
(2029)</v>
      </c>
      <c r="F4" s="5" t="str">
        <f aca="false">CONCATENATE("第 4 年",CHAR(10),"(",'01_專案設定_Setup'!$B$36+3,")")</f>
        <v>第 4 年
(2030)</v>
      </c>
      <c r="G4" s="5" t="str">
        <f aca="false">CONCATENATE("第 5 年",CHAR(10),"(",'01_專案設定_Setup'!$B$36+4,")")</f>
        <v>第 5 年
(2031)</v>
      </c>
      <c r="H4" s="5" t="str">
        <f aca="false">CONCATENATE("第 6 年",CHAR(10),"(",'01_專案設定_Setup'!$B$36+5,")")</f>
        <v>第 6 年
(2032)</v>
      </c>
      <c r="I4" s="5" t="str">
        <f aca="false">CONCATENATE("第 7 年",CHAR(10),"(",'01_專案設定_Setup'!$B$36+6,")")</f>
        <v>第 7 年
(2033)</v>
      </c>
      <c r="J4" s="5" t="str">
        <f aca="false">CONCATENATE("第 8 年",CHAR(10),"(",'01_專案設定_Setup'!$B$36+7,")")</f>
        <v>第 8 年
(2034)</v>
      </c>
      <c r="K4" s="5" t="str">
        <f aca="false">CONCATENATE("第 9 年",CHAR(10),"(",'01_專案設定_Setup'!$B$36+8,")")</f>
        <v>第 9 年
(2035)</v>
      </c>
      <c r="L4" s="5" t="str">
        <f aca="false">CONCATENATE("第 10 年",CHAR(10),"(",'01_專案設定_Setup'!$B$36+9,")")</f>
        <v>第 10 年
(2036)</v>
      </c>
    </row>
    <row r="5" customFormat="false" ht="19.4" hidden="false" customHeight="false" outlineLevel="0" collapsed="false">
      <c r="A5" s="28" t="s">
        <v>460</v>
      </c>
    </row>
    <row r="6" customFormat="false" ht="18" hidden="false" customHeight="true" outlineLevel="0" collapsed="false">
      <c r="A6" s="136" t="s">
        <v>461</v>
      </c>
      <c r="B6" s="117" t="n">
        <v>0</v>
      </c>
      <c r="C6" s="117" t="n">
        <f aca="false">'04_收入產能_Revenue'!B$27</f>
        <v>3225.6</v>
      </c>
      <c r="D6" s="117" t="n">
        <f aca="false">'04_收入產能_Revenue'!C$27</f>
        <v>6354.0288</v>
      </c>
      <c r="E6" s="117" t="n">
        <f aca="false">'04_收入產能_Revenue'!D$27</f>
        <v>8900.72354304</v>
      </c>
      <c r="F6" s="117" t="n">
        <f aca="false">'04_收入產能_Revenue'!E$27</f>
        <v>9351.10015431782</v>
      </c>
      <c r="G6" s="117" t="n">
        <f aca="false">'04_收入產能_Revenue'!F$27</f>
        <v>9824.26582212631</v>
      </c>
      <c r="H6" s="117" t="n">
        <f aca="false">'04_收入產能_Revenue'!G$27</f>
        <v>10321.3736727259</v>
      </c>
      <c r="I6" s="117" t="n">
        <f aca="false">'04_收入產能_Revenue'!H$27</f>
        <v>10843.6351805658</v>
      </c>
      <c r="J6" s="117" t="n">
        <f aca="false">'04_收入產能_Revenue'!I$27</f>
        <v>11392.3231207025</v>
      </c>
      <c r="K6" s="117" t="n">
        <f aca="false">'04_收入產能_Revenue'!J$27</f>
        <v>11968.77467061</v>
      </c>
      <c r="L6" s="117" t="n">
        <f aca="false">'04_收入產能_Revenue'!K$27</f>
        <v>12574.3946689429</v>
      </c>
    </row>
    <row r="7" customFormat="false" ht="18" hidden="false" customHeight="true" outlineLevel="0" collapsed="false">
      <c r="A7" s="136" t="s">
        <v>462</v>
      </c>
      <c r="B7" s="117" t="n">
        <v>0</v>
      </c>
      <c r="C7" s="117" t="n">
        <f aca="false">'04_收入產能_Revenue'!B$28</f>
        <v>1161.6</v>
      </c>
      <c r="D7" s="117" t="n">
        <f aca="false">'04_收入產能_Revenue'!C$28</f>
        <v>2288.2068</v>
      </c>
      <c r="E7" s="117" t="n">
        <f aca="false">'04_收入產能_Revenue'!D$28</f>
        <v>3205.32008544</v>
      </c>
      <c r="F7" s="117" t="n">
        <f aca="false">'04_收入產能_Revenue'!E$28</f>
        <v>3367.50928176326</v>
      </c>
      <c r="G7" s="117" t="n">
        <f aca="false">'04_收入產能_Revenue'!F$28</f>
        <v>3537.90525142049</v>
      </c>
      <c r="H7" s="117" t="n">
        <f aca="false">'04_收入產能_Revenue'!G$28</f>
        <v>3716.92325714236</v>
      </c>
      <c r="I7" s="117" t="n">
        <f aca="false">'04_收入產能_Revenue'!H$28</f>
        <v>3904.99957395377</v>
      </c>
      <c r="J7" s="117" t="n">
        <f aca="false">'04_收入產能_Revenue'!I$28</f>
        <v>4102.59255239583</v>
      </c>
      <c r="K7" s="117" t="n">
        <f aca="false">'04_收入產能_Revenue'!J$28</f>
        <v>4310.18373554706</v>
      </c>
      <c r="L7" s="117" t="n">
        <f aca="false">'04_收入產能_Revenue'!K$28</f>
        <v>4528.27903256574</v>
      </c>
    </row>
    <row r="8" customFormat="false" ht="18" hidden="false" customHeight="true" outlineLevel="0" collapsed="false">
      <c r="A8" s="137" t="s">
        <v>463</v>
      </c>
      <c r="B8" s="119" t="n">
        <v>0</v>
      </c>
      <c r="C8" s="119" t="n">
        <f aca="false">C6+C7</f>
        <v>4387.2</v>
      </c>
      <c r="D8" s="119" t="n">
        <f aca="false">D6+D7</f>
        <v>8642.2356</v>
      </c>
      <c r="E8" s="119" t="n">
        <f aca="false">E6+E7</f>
        <v>12106.04362848</v>
      </c>
      <c r="F8" s="119" t="n">
        <f aca="false">F6+F7</f>
        <v>12718.6094360811</v>
      </c>
      <c r="G8" s="119" t="n">
        <f aca="false">G6+G7</f>
        <v>13362.1710735468</v>
      </c>
      <c r="H8" s="119" t="n">
        <f aca="false">H6+H7</f>
        <v>14038.2969298683</v>
      </c>
      <c r="I8" s="119" t="n">
        <f aca="false">I6+I7</f>
        <v>14748.6347545196</v>
      </c>
      <c r="J8" s="119" t="n">
        <f aca="false">J6+J7</f>
        <v>15494.9156730983</v>
      </c>
      <c r="K8" s="119" t="n">
        <f aca="false">K6+K7</f>
        <v>16278.9584061571</v>
      </c>
      <c r="L8" s="119" t="n">
        <f aca="false">L6+L7</f>
        <v>17102.6737015086</v>
      </c>
    </row>
    <row r="9" customFormat="false" ht="18" hidden="false" customHeight="true" outlineLevel="0" collapsed="false">
      <c r="A9" s="136" t="s">
        <v>464</v>
      </c>
      <c r="B9" s="117" t="n">
        <v>0</v>
      </c>
      <c r="C9" s="117" t="n">
        <f aca="false">-SUMPRODUCT(('03_營運成本_OPEX'!$I$5:$I$34="變動")*'03_營運成本_OPEX'!$G$5:$G$34*(1+'03_營運成本_OPEX'!$H$5:$H$34)^0)*'01_專案設定_Setup'!$B$30*'04_收入產能_Revenue'!B$21*(1+'04_收入產能_Revenue'!$B$16)^0</f>
        <v>-129.2</v>
      </c>
      <c r="D9" s="117" t="n">
        <f aca="false">-SUMPRODUCT(('03_營運成本_OPEX'!$I$5:$I$34="變動")*'03_營運成本_OPEX'!$G$5:$G$34*(1+'03_營運成本_OPEX'!$H$5:$H$34)^1)*'01_專案設定_Setup'!$B$30*'04_收入產能_Revenue'!C$21*(1+'04_收入產能_Revenue'!$B$16)^1</f>
        <v>-259.44975</v>
      </c>
      <c r="E9" s="117" t="n">
        <f aca="false">-SUMPRODUCT(('03_營運成本_OPEX'!$I$5:$I$34="變動")*'03_營運成本_OPEX'!$G$5:$G$34*(1+'03_營運成本_OPEX'!$H$5:$H$34)^2)*'01_專案設定_Setup'!$B$30*'04_收入產能_Revenue'!D$21*(1+'04_收入產能_Revenue'!$B$16)^2</f>
        <v>-370.494243</v>
      </c>
      <c r="F9" s="117" t="n">
        <f aca="false">-SUMPRODUCT(('03_營運成本_OPEX'!$I$5:$I$34="變動")*'03_營運成本_OPEX'!$G$5:$G$34*(1+'03_營運成本_OPEX'!$H$5:$H$34)^3)*'01_專案設定_Setup'!$B$30*'04_收入產能_Revenue'!E$21*(1+'04_收入產能_Revenue'!$B$16)^3</f>
        <v>-396.799334253</v>
      </c>
      <c r="G9" s="117" t="n">
        <f aca="false">-SUMPRODUCT(('03_營運成本_OPEX'!$I$5:$I$34="變動")*'03_營運成本_OPEX'!$G$5:$G$34*(1+'03_營運成本_OPEX'!$H$5:$H$34)^4)*'01_專案設定_Setup'!$B$30*'04_收入產能_Revenue'!F$21*(1+'04_收入產能_Revenue'!$B$16)^4</f>
        <v>-424.972086984963</v>
      </c>
      <c r="H9" s="117" t="n">
        <f aca="false">-SUMPRODUCT(('03_營運成本_OPEX'!$I$5:$I$34="變動")*'03_營運成本_OPEX'!$G$5:$G$34*(1+'03_營運成本_OPEX'!$H$5:$H$34)^5)*'01_專案設定_Setup'!$B$30*'04_收入產能_Revenue'!G$21*(1+'04_收入產能_Revenue'!$B$16)^5</f>
        <v>-455.145105160896</v>
      </c>
      <c r="I9" s="117" t="n">
        <f aca="false">-SUMPRODUCT(('03_營運成本_OPEX'!$I$5:$I$34="變動")*'03_營運成本_OPEX'!$G$5:$G$34*(1+'03_營運成本_OPEX'!$H$5:$H$34)^6)*'01_專案設定_Setup'!$B$30*'04_收入產能_Revenue'!H$21*(1+'04_收入產能_Revenue'!$B$16)^6</f>
        <v>-487.460407627319</v>
      </c>
      <c r="J9" s="117" t="n">
        <f aca="false">-SUMPRODUCT(('03_營運成本_OPEX'!$I$5:$I$34="變動")*'03_營運成本_OPEX'!$G$5:$G$34*(1+'03_營運成本_OPEX'!$H$5:$H$34)^7)*'01_專案設定_Setup'!$B$30*'04_收入產能_Revenue'!I$21*(1+'04_收入產能_Revenue'!$B$16)^7</f>
        <v>-522.070096568859</v>
      </c>
      <c r="K9" s="117" t="n">
        <f aca="false">-SUMPRODUCT(('03_營運成本_OPEX'!$I$5:$I$34="變動")*'03_營運成本_OPEX'!$G$5:$G$34*(1+'03_營運成本_OPEX'!$H$5:$H$34)^8)*'01_專案設定_Setup'!$B$30*'04_收入產能_Revenue'!J$21*(1+'04_收入產能_Revenue'!$B$16)^8</f>
        <v>-559.137073425248</v>
      </c>
      <c r="L9" s="117" t="n">
        <f aca="false">-SUMPRODUCT(('03_營運成本_OPEX'!$I$5:$I$34="變動")*'03_營運成本_OPEX'!$G$5:$G$34*(1+'03_營運成本_OPEX'!$H$5:$H$34)^9)*'01_專案設定_Setup'!$B$30*'04_收入產能_Revenue'!K$21*(1+'04_收入產能_Revenue'!$B$16)^9</f>
        <v>-598.83580563844</v>
      </c>
    </row>
    <row r="10" customFormat="false" ht="18" hidden="false" customHeight="true" outlineLevel="0" collapsed="false">
      <c r="A10" s="136" t="s">
        <v>465</v>
      </c>
      <c r="B10" s="117" t="n">
        <v>0</v>
      </c>
      <c r="C10" s="117" t="n">
        <f aca="false">-SUMPRODUCT(('03_營運成本_OPEX'!$I$5:$I$34="固定")*'03_營運成本_OPEX'!$G$5:$G$34*(1+'03_營運成本_OPEX'!$H$5:$H$34)^0)*'01_專案設定_Setup'!$B$30</f>
        <v>-6397.5</v>
      </c>
      <c r="D10" s="117" t="n">
        <f aca="false">-SUMPRODUCT(('03_營運成本_OPEX'!$I$5:$I$34="固定")*'03_營運成本_OPEX'!$G$5:$G$34*(1+'03_營運成本_OPEX'!$H$5:$H$34)^1)*'01_專案設定_Setup'!$B$30</f>
        <v>-6760.72</v>
      </c>
      <c r="E10" s="117" t="n">
        <f aca="false">-SUMPRODUCT(('03_營運成本_OPEX'!$I$5:$I$34="固定")*'03_營運成本_OPEX'!$G$5:$G$34*(1+'03_營運成本_OPEX'!$H$5:$H$34)^2)*'01_專案設定_Setup'!$B$30</f>
        <v>-7146.62158</v>
      </c>
      <c r="F10" s="117" t="n">
        <f aca="false">-SUMPRODUCT(('03_營運成本_OPEX'!$I$5:$I$34="固定")*'03_營運成本_OPEX'!$G$5:$G$34*(1+'03_營運成本_OPEX'!$H$5:$H$34)^3)*'01_專案設定_Setup'!$B$30</f>
        <v>-7556.7295354</v>
      </c>
      <c r="G10" s="117" t="n">
        <f aca="false">-SUMPRODUCT(('03_營運成本_OPEX'!$I$5:$I$34="固定")*'03_營運成本_OPEX'!$G$5:$G$34*(1+'03_營運成本_OPEX'!$H$5:$H$34)^4)*'01_專案設定_Setup'!$B$30</f>
        <v>-7992.67684861</v>
      </c>
      <c r="H10" s="117" t="n">
        <f aca="false">-SUMPRODUCT(('03_營運成本_OPEX'!$I$5:$I$34="固定")*'03_營運成本_OPEX'!$G$5:$G$34*(1+'03_營運成本_OPEX'!$H$5:$H$34)^5)*'01_專案設定_Setup'!$B$30</f>
        <v>-8456.2126627069</v>
      </c>
      <c r="I10" s="117" t="n">
        <f aca="false">-SUMPRODUCT(('03_營運成本_OPEX'!$I$5:$I$34="固定")*'03_營運成本_OPEX'!$G$5:$G$34*(1+'03_營運成本_OPEX'!$H$5:$H$34)^6)*'01_專案設定_Setup'!$B$30</f>
        <v>-8949.21085839473</v>
      </c>
      <c r="J10" s="117" t="n">
        <f aca="false">-SUMPRODUCT(('03_營運成本_OPEX'!$I$5:$I$34="固定")*'03_營運成本_OPEX'!$G$5:$G$34*(1+'03_營運成本_OPEX'!$H$5:$H$34)^7)*'01_專案設定_Setup'!$B$30</f>
        <v>-9473.67928073847</v>
      </c>
      <c r="K10" s="117" t="n">
        <f aca="false">-SUMPRODUCT(('03_營運成本_OPEX'!$I$5:$I$34="固定")*'03_營運成本_OPEX'!$G$5:$G$34*(1+'03_營運成本_OPEX'!$H$5:$H$34)^8)*'01_專案設定_Setup'!$B$30</f>
        <v>-10031.7696657649</v>
      </c>
      <c r="L10" s="117" t="n">
        <f aca="false">-SUMPRODUCT(('03_營運成本_OPEX'!$I$5:$I$34="固定")*'03_營運成本_OPEX'!$G$5:$G$34*(1+'03_營運成本_OPEX'!$H$5:$H$34)^9)*'01_專案設定_Setup'!$B$30</f>
        <v>-10625.7883209312</v>
      </c>
    </row>
    <row r="11" customFormat="false" ht="18" hidden="false" customHeight="true" outlineLevel="0" collapsed="false">
      <c r="A11" s="31" t="s">
        <v>466</v>
      </c>
      <c r="B11" s="138" t="n">
        <v>0</v>
      </c>
      <c r="C11" s="138" t="n">
        <f aca="false">C9+C10</f>
        <v>-6526.7</v>
      </c>
      <c r="D11" s="138" t="n">
        <f aca="false">D9+D10</f>
        <v>-7020.16975</v>
      </c>
      <c r="E11" s="138" t="n">
        <f aca="false">E9+E10</f>
        <v>-7517.115823</v>
      </c>
      <c r="F11" s="138" t="n">
        <f aca="false">F9+F10</f>
        <v>-7953.528869653</v>
      </c>
      <c r="G11" s="138" t="n">
        <f aca="false">G9+G10</f>
        <v>-8417.64893559497</v>
      </c>
      <c r="H11" s="138" t="n">
        <f aca="false">H9+H10</f>
        <v>-8911.3577678678</v>
      </c>
      <c r="I11" s="138" t="n">
        <f aca="false">I9+I10</f>
        <v>-9436.67126602204</v>
      </c>
      <c r="J11" s="138" t="n">
        <f aca="false">J9+J10</f>
        <v>-9995.74937730732</v>
      </c>
      <c r="K11" s="138" t="n">
        <f aca="false">K9+K10</f>
        <v>-10590.9067391901</v>
      </c>
      <c r="L11" s="138" t="n">
        <f aca="false">L9+L10</f>
        <v>-11224.6241265696</v>
      </c>
    </row>
    <row r="12" customFormat="false" ht="18" hidden="false" customHeight="true" outlineLevel="0" collapsed="false">
      <c r="A12" s="139" t="s">
        <v>467</v>
      </c>
      <c r="B12" s="140" t="n">
        <v>0</v>
      </c>
      <c r="C12" s="140" t="n">
        <f aca="false">C8+C11</f>
        <v>-2139.5</v>
      </c>
      <c r="D12" s="140" t="n">
        <f aca="false">D8+D11</f>
        <v>1622.06585</v>
      </c>
      <c r="E12" s="140" t="n">
        <f aca="false">E8+E11</f>
        <v>4588.92780548</v>
      </c>
      <c r="F12" s="140" t="n">
        <f aca="false">F8+F11</f>
        <v>4765.08056642809</v>
      </c>
      <c r="G12" s="140" t="n">
        <f aca="false">G8+G11</f>
        <v>4944.52213795183</v>
      </c>
      <c r="H12" s="140" t="n">
        <f aca="false">H8+H11</f>
        <v>5126.93916200046</v>
      </c>
      <c r="I12" s="140" t="n">
        <f aca="false">I8+I11</f>
        <v>5311.96348849755</v>
      </c>
      <c r="J12" s="140" t="n">
        <f aca="false">J8+J11</f>
        <v>5499.16629579097</v>
      </c>
      <c r="K12" s="140" t="n">
        <f aca="false">K8+K11</f>
        <v>5688.05166696696</v>
      </c>
      <c r="L12" s="140" t="n">
        <f aca="false">L8+L11</f>
        <v>5878.04957493901</v>
      </c>
    </row>
    <row r="13" customFormat="false" ht="18" hidden="false" customHeight="true" outlineLevel="0" collapsed="false">
      <c r="A13" s="136" t="s">
        <v>468</v>
      </c>
      <c r="B13" s="141"/>
      <c r="C13" s="141" t="n">
        <f aca="false">IFERROR(C12/C8,"")</f>
        <v>-0.487668672501824</v>
      </c>
      <c r="D13" s="141" t="n">
        <f aca="false">IFERROR(D12/D8,"")</f>
        <v>0.18769053808253</v>
      </c>
      <c r="E13" s="141" t="n">
        <f aca="false">IFERROR(E12/E8,"")</f>
        <v>0.379060901010165</v>
      </c>
      <c r="F13" s="141" t="n">
        <f aca="false">IFERROR(F12/F8,"")</f>
        <v>0.374654209674067</v>
      </c>
      <c r="G13" s="141" t="n">
        <f aca="false">IFERROR(G12/G8,"")</f>
        <v>0.370038829074756</v>
      </c>
      <c r="H13" s="141" t="n">
        <f aca="false">IFERROR(H12/H8,"")</f>
        <v>0.36521090753482</v>
      </c>
      <c r="I13" s="141" t="n">
        <f aca="false">IFERROR(I12/I8,"")</f>
        <v>0.360166454516731</v>
      </c>
      <c r="J13" s="141" t="n">
        <f aca="false">IFERROR(J12/J8,"")</f>
        <v>0.354901337432795</v>
      </c>
      <c r="K13" s="141" t="n">
        <f aca="false">IFERROR(K12/K8,"")</f>
        <v>0.349411278354001</v>
      </c>
      <c r="L13" s="141" t="n">
        <f aca="false">IFERROR(L12/L8,"")</f>
        <v>0.343691850615177</v>
      </c>
    </row>
    <row r="14" customFormat="false" ht="18" hidden="false" customHeight="true" outlineLevel="0" collapsed="false">
      <c r="A14" s="136" t="s">
        <v>469</v>
      </c>
      <c r="B14" s="117" t="n">
        <v>0</v>
      </c>
      <c r="C14" s="117" t="n">
        <f aca="false">-'05_折舊攤提_Depreciation'!G$63</f>
        <v>-5326.0116</v>
      </c>
      <c r="D14" s="117" t="n">
        <f aca="false">-'05_折舊攤提_Depreciation'!H$63</f>
        <v>-5326.0116</v>
      </c>
      <c r="E14" s="117" t="n">
        <f aca="false">-'05_折舊攤提_Depreciation'!I$63</f>
        <v>-5326.0116</v>
      </c>
      <c r="F14" s="117" t="n">
        <f aca="false">-'05_折舊攤提_Depreciation'!J$63</f>
        <v>-5326.0116</v>
      </c>
      <c r="G14" s="117" t="n">
        <f aca="false">-'05_折舊攤提_Depreciation'!K$63</f>
        <v>-5567.6156</v>
      </c>
      <c r="H14" s="117" t="n">
        <f aca="false">-'05_折舊攤提_Depreciation'!L$63</f>
        <v>-835.6656</v>
      </c>
      <c r="I14" s="117" t="n">
        <f aca="false">-'05_折舊攤提_Depreciation'!M$63</f>
        <v>-835.6656</v>
      </c>
      <c r="J14" s="117" t="n">
        <f aca="false">-'05_折舊攤提_Depreciation'!N$63</f>
        <v>-835.6656</v>
      </c>
      <c r="K14" s="117" t="n">
        <f aca="false">-'05_折舊攤提_Depreciation'!O$63</f>
        <v>-835.6656</v>
      </c>
      <c r="L14" s="117" t="n">
        <f aca="false">-'05_折舊攤提_Depreciation'!P$63</f>
        <v>-594.0616</v>
      </c>
    </row>
    <row r="15" customFormat="false" ht="18" hidden="false" customHeight="true" outlineLevel="0" collapsed="false">
      <c r="A15" s="139" t="s">
        <v>470</v>
      </c>
      <c r="B15" s="140" t="n">
        <v>0</v>
      </c>
      <c r="C15" s="140" t="n">
        <f aca="false">C12+C14</f>
        <v>-7465.5116</v>
      </c>
      <c r="D15" s="140" t="n">
        <f aca="false">D12+D14</f>
        <v>-3703.94575</v>
      </c>
      <c r="E15" s="140" t="n">
        <f aca="false">E12+E14</f>
        <v>-737.083794520001</v>
      </c>
      <c r="F15" s="140" t="n">
        <f aca="false">F12+F14</f>
        <v>-560.931033571912</v>
      </c>
      <c r="G15" s="140" t="n">
        <f aca="false">G12+G14</f>
        <v>-623.093462048174</v>
      </c>
      <c r="H15" s="140" t="n">
        <f aca="false">H12+H14</f>
        <v>4291.27356200046</v>
      </c>
      <c r="I15" s="140" t="n">
        <f aca="false">I12+I14</f>
        <v>4476.29788849755</v>
      </c>
      <c r="J15" s="140" t="n">
        <f aca="false">J12+J14</f>
        <v>4663.50069579096</v>
      </c>
      <c r="K15" s="140" t="n">
        <f aca="false">K12+K14</f>
        <v>4852.38606696696</v>
      </c>
      <c r="L15" s="140" t="n">
        <f aca="false">L12+L14</f>
        <v>5283.98797493901</v>
      </c>
    </row>
    <row r="17" customFormat="false" ht="19.4" hidden="false" customHeight="false" outlineLevel="0" collapsed="false">
      <c r="A17" s="28" t="s">
        <v>471</v>
      </c>
    </row>
    <row r="18" customFormat="false" ht="18" hidden="false" customHeight="true" outlineLevel="0" collapsed="false">
      <c r="A18" s="136" t="s">
        <v>472</v>
      </c>
      <c r="B18" s="142" t="n">
        <v>0</v>
      </c>
      <c r="C18" s="142" t="n">
        <f aca="false">MAX(0,-C15)</f>
        <v>7465.5116</v>
      </c>
      <c r="D18" s="142" t="n">
        <f aca="false">MAX(0,-D15)</f>
        <v>3703.94575</v>
      </c>
      <c r="E18" s="142" t="n">
        <f aca="false">MAX(0,-E15)</f>
        <v>737.083794520001</v>
      </c>
      <c r="F18" s="142" t="n">
        <f aca="false">MAX(0,-F15)</f>
        <v>560.931033571912</v>
      </c>
      <c r="G18" s="142" t="n">
        <f aca="false">MAX(0,-G15)</f>
        <v>623.093462048174</v>
      </c>
      <c r="H18" s="142" t="n">
        <f aca="false">MAX(0,-H15)</f>
        <v>0</v>
      </c>
      <c r="I18" s="142" t="n">
        <f aca="false">MAX(0,-I15)</f>
        <v>0</v>
      </c>
      <c r="J18" s="142" t="n">
        <f aca="false">MAX(0,-J15)</f>
        <v>0</v>
      </c>
      <c r="K18" s="142" t="n">
        <f aca="false">MAX(0,-K15)</f>
        <v>0</v>
      </c>
      <c r="L18" s="142" t="n">
        <f aca="false">MAX(0,-L15)</f>
        <v>0</v>
      </c>
    </row>
    <row r="19" customFormat="false" ht="18" hidden="false" customHeight="true" outlineLevel="0" collapsed="false">
      <c r="A19" s="136" t="s">
        <v>473</v>
      </c>
      <c r="B19" s="143" t="n">
        <v>0</v>
      </c>
      <c r="C19" s="142" t="n">
        <f aca="false">0</f>
        <v>0</v>
      </c>
      <c r="D19" s="142" t="n">
        <f aca="false">MAX(0,SUM(C18:C18)-SUM(C20:C20))</f>
        <v>7465.5116</v>
      </c>
      <c r="E19" s="142" t="n">
        <f aca="false">MAX(0,SUM(C18:D18)-SUM(C20:D20))</f>
        <v>11169.45735</v>
      </c>
      <c r="F19" s="142" t="n">
        <f aca="false">MAX(0,SUM(C18:E18)-SUM(C20:E20))</f>
        <v>11906.54114452</v>
      </c>
      <c r="G19" s="142" t="n">
        <f aca="false">MAX(0,SUM(C18:F18)-SUM(C20:F20))</f>
        <v>12467.4721780919</v>
      </c>
      <c r="H19" s="142" t="n">
        <f aca="false">MAX(0,SUM(C18:G18)-SUM(C20:G20))</f>
        <v>13090.5656401401</v>
      </c>
      <c r="I19" s="142" t="n">
        <f aca="false">MAX(0,SUM(D18:H18)-SUM(D20:H20))</f>
        <v>5625.05404014009</v>
      </c>
      <c r="J19" s="142" t="n">
        <f aca="false">MAX(0,SUM(E18:I18)-SUM(E20:I20))</f>
        <v>1921.10829014009</v>
      </c>
      <c r="K19" s="142" t="n">
        <f aca="false">MAX(0,SUM(F18:J18)-SUM(F20:J20))</f>
        <v>0</v>
      </c>
      <c r="L19" s="142" t="n">
        <f aca="false">MAX(0,SUM(G18:K18)-SUM(G20:K20))</f>
        <v>0</v>
      </c>
    </row>
    <row r="20" customFormat="false" ht="18" hidden="false" customHeight="true" outlineLevel="0" collapsed="false">
      <c r="A20" s="136" t="s">
        <v>474</v>
      </c>
      <c r="B20" s="142" t="n">
        <v>0</v>
      </c>
      <c r="C20" s="142" t="n">
        <f aca="false">IF(C24=0,0,MIN(C19,MAX(0,C15)))</f>
        <v>0</v>
      </c>
      <c r="D20" s="142" t="n">
        <f aca="false">IF(D24=0,0,MIN(D19,MAX(0,D15)))</f>
        <v>0</v>
      </c>
      <c r="E20" s="142" t="n">
        <f aca="false">IF(E24=0,0,MIN(E19,MAX(0,E15)))</f>
        <v>0</v>
      </c>
      <c r="F20" s="142" t="n">
        <f aca="false">IF(F24=0,0,MIN(F19,MAX(0,F15)))</f>
        <v>0</v>
      </c>
      <c r="G20" s="142" t="n">
        <f aca="false">IF(G24=0,0,MIN(G19,MAX(0,G15)))</f>
        <v>0</v>
      </c>
      <c r="H20" s="142" t="n">
        <f aca="false">IF(H24=0,0,MIN(H19,MAX(0,H15)))</f>
        <v>0</v>
      </c>
      <c r="I20" s="142" t="n">
        <f aca="false">IF(I24=0,0,MIN(I19,MAX(0,I15)))</f>
        <v>0</v>
      </c>
      <c r="J20" s="142" t="n">
        <f aca="false">IF(J24=0,0,MIN(J19,MAX(0,J15)))</f>
        <v>1921.10829014009</v>
      </c>
      <c r="K20" s="142" t="n">
        <f aca="false">IF(K24=0,0,MIN(K19,MAX(0,K15)))</f>
        <v>0</v>
      </c>
      <c r="L20" s="142" t="n">
        <f aca="false">IF(L24=0,0,MIN(L19,MAX(0,L15)))</f>
        <v>0</v>
      </c>
    </row>
    <row r="21" customFormat="false" ht="18" hidden="false" customHeight="true" outlineLevel="0" collapsed="false">
      <c r="A21" s="136" t="s">
        <v>475</v>
      </c>
      <c r="B21" s="117" t="n">
        <v>0</v>
      </c>
      <c r="C21" s="117" t="n">
        <f aca="false">MAX(0,C15-C20)</f>
        <v>0</v>
      </c>
      <c r="D21" s="117" t="n">
        <f aca="false">MAX(0,D15-D20)</f>
        <v>0</v>
      </c>
      <c r="E21" s="117" t="n">
        <f aca="false">MAX(0,E15-E20)</f>
        <v>0</v>
      </c>
      <c r="F21" s="117" t="n">
        <f aca="false">MAX(0,F15-F20)</f>
        <v>0</v>
      </c>
      <c r="G21" s="117" t="n">
        <f aca="false">MAX(0,G15-G20)</f>
        <v>0</v>
      </c>
      <c r="H21" s="117" t="n">
        <f aca="false">MAX(0,H15-H20)</f>
        <v>4291.27356200046</v>
      </c>
      <c r="I21" s="117" t="n">
        <f aca="false">MAX(0,I15-I20)</f>
        <v>4476.29788849755</v>
      </c>
      <c r="J21" s="117" t="n">
        <f aca="false">MAX(0,J15-J20)</f>
        <v>2742.39240565088</v>
      </c>
      <c r="K21" s="117" t="n">
        <f aca="false">MAX(0,K15-K20)</f>
        <v>4852.38606696696</v>
      </c>
      <c r="L21" s="117" t="n">
        <f aca="false">MAX(0,L15-L20)</f>
        <v>5283.98797493901</v>
      </c>
    </row>
    <row r="22" customFormat="false" ht="15" hidden="false" customHeight="true" outlineLevel="0" collapsed="false">
      <c r="A22" s="144" t="s">
        <v>476</v>
      </c>
      <c r="B22" s="145" t="n">
        <f aca="false">IFERROR(MATCH(TRUE(),INDEX(C15:L15&gt;0,0),0),99)</f>
        <v>6</v>
      </c>
      <c r="D22" s="146" t="s">
        <v>477</v>
      </c>
      <c r="E22" s="146"/>
      <c r="F22" s="146"/>
      <c r="G22" s="146"/>
      <c r="H22" s="146"/>
      <c r="I22" s="146"/>
      <c r="J22" s="146"/>
      <c r="K22" s="146"/>
      <c r="L22" s="146"/>
    </row>
    <row r="23" customFormat="false" ht="15" hidden="false" customHeight="false" outlineLevel="0" collapsed="false">
      <c r="A23" s="144" t="s">
        <v>478</v>
      </c>
      <c r="B23" s="147" t="n">
        <f aca="false">MIN($B$22,1+'01_專案設定_Setup'!$B$41)</f>
        <v>4</v>
      </c>
    </row>
    <row r="24" customFormat="false" ht="18" hidden="false" customHeight="true" outlineLevel="0" collapsed="false">
      <c r="A24" s="136" t="s">
        <v>479</v>
      </c>
      <c r="B24" s="148" t="n">
        <v>0</v>
      </c>
      <c r="C24" s="148" t="n">
        <f aca="false">IF(1&lt;$B$23,0,IF(1&lt;=$B$23+'01_專案設定_Setup'!$B$39-1,0,IF(1&lt;=$B$23+'01_專案設定_Setup'!$B$39+'01_專案設定_Setup'!$B$40-1,'01_專案設定_Setup'!$B$38*0.5,'01_專案設定_Setup'!$B$38)))</f>
        <v>0</v>
      </c>
      <c r="D24" s="148" t="n">
        <f aca="false">IF(2&lt;$B$23,0,IF(2&lt;=$B$23+'01_專案設定_Setup'!$B$39-1,0,IF(2&lt;=$B$23+'01_專案設定_Setup'!$B$39+'01_專案設定_Setup'!$B$40-1,'01_專案設定_Setup'!$B$38*0.5,'01_專案設定_Setup'!$B$38)))</f>
        <v>0</v>
      </c>
      <c r="E24" s="148" t="n">
        <f aca="false">IF(3&lt;$B$23,0,IF(3&lt;=$B$23+'01_專案設定_Setup'!$B$39-1,0,IF(3&lt;=$B$23+'01_專案設定_Setup'!$B$39+'01_專案設定_Setup'!$B$40-1,'01_專案設定_Setup'!$B$38*0.5,'01_專案設定_Setup'!$B$38)))</f>
        <v>0</v>
      </c>
      <c r="F24" s="148" t="n">
        <f aca="false">IF(4&lt;$B$23,0,IF(4&lt;=$B$23+'01_專案設定_Setup'!$B$39-1,0,IF(4&lt;=$B$23+'01_專案設定_Setup'!$B$39+'01_專案設定_Setup'!$B$40-1,'01_專案設定_Setup'!$B$38*0.5,'01_專案設定_Setup'!$B$38)))</f>
        <v>0</v>
      </c>
      <c r="G24" s="148" t="n">
        <f aca="false">IF(5&lt;$B$23,0,IF(5&lt;=$B$23+'01_專案設定_Setup'!$B$39-1,0,IF(5&lt;=$B$23+'01_專案設定_Setup'!$B$39+'01_專案設定_Setup'!$B$40-1,'01_專案設定_Setup'!$B$38*0.5,'01_專案設定_Setup'!$B$38)))</f>
        <v>0</v>
      </c>
      <c r="H24" s="148" t="n">
        <f aca="false">IF(6&lt;$B$23,0,IF(6&lt;=$B$23+'01_專案設定_Setup'!$B$39-1,0,IF(6&lt;=$B$23+'01_專案設定_Setup'!$B$39+'01_專案設定_Setup'!$B$40-1,'01_專案設定_Setup'!$B$38*0.5,'01_專案設定_Setup'!$B$38)))</f>
        <v>0</v>
      </c>
      <c r="I24" s="148" t="n">
        <f aca="false">IF(7&lt;$B$23,0,IF(7&lt;=$B$23+'01_專案設定_Setup'!$B$39-1,0,IF(7&lt;=$B$23+'01_專案設定_Setup'!$B$39+'01_專案設定_Setup'!$B$40-1,'01_專案設定_Setup'!$B$38*0.5,'01_專案設定_Setup'!$B$38)))</f>
        <v>0</v>
      </c>
      <c r="J24" s="148" t="n">
        <f aca="false">IF(8&lt;$B$23,0,IF(8&lt;=$B$23+'01_專案設定_Setup'!$B$39-1,0,IF(8&lt;=$B$23+'01_專案設定_Setup'!$B$39+'01_專案設定_Setup'!$B$40-1,'01_專案設定_Setup'!$B$38*0.5,'01_專案設定_Setup'!$B$38)))</f>
        <v>0.05</v>
      </c>
      <c r="K24" s="148" t="n">
        <f aca="false">IF(9&lt;$B$23,0,IF(9&lt;=$B$23+'01_專案設定_Setup'!$B$39-1,0,IF(9&lt;=$B$23+'01_專案設定_Setup'!$B$39+'01_專案設定_Setup'!$B$40-1,'01_專案設定_Setup'!$B$38*0.5,'01_專案設定_Setup'!$B$38)))</f>
        <v>0.05</v>
      </c>
      <c r="L24" s="148" t="n">
        <f aca="false">IF(10&lt;$B$23,0,IF(10&lt;=$B$23+'01_專案設定_Setup'!$B$39-1,0,IF(10&lt;=$B$23+'01_專案設定_Setup'!$B$39+'01_專案設定_Setup'!$B$40-1,'01_專案設定_Setup'!$B$38*0.5,'01_專案設定_Setup'!$B$38)))</f>
        <v>0.05</v>
      </c>
    </row>
    <row r="25" customFormat="false" ht="18" hidden="false" customHeight="true" outlineLevel="0" collapsed="false">
      <c r="A25" s="136" t="s">
        <v>480</v>
      </c>
      <c r="B25" s="149" t="n">
        <v>0</v>
      </c>
      <c r="C25" s="149" t="n">
        <f aca="false">-C21*C24</f>
        <v>-0</v>
      </c>
      <c r="D25" s="149" t="n">
        <f aca="false">-D21*D24</f>
        <v>-0</v>
      </c>
      <c r="E25" s="149" t="n">
        <f aca="false">-E21*E24</f>
        <v>-0</v>
      </c>
      <c r="F25" s="149" t="n">
        <f aca="false">-F21*F24</f>
        <v>-0</v>
      </c>
      <c r="G25" s="149" t="n">
        <f aca="false">-G21*G24</f>
        <v>-0</v>
      </c>
      <c r="H25" s="149" t="n">
        <f aca="false">-H21*H24</f>
        <v>-0</v>
      </c>
      <c r="I25" s="149" t="n">
        <f aca="false">-I21*I24</f>
        <v>-0</v>
      </c>
      <c r="J25" s="149" t="n">
        <f aca="false">-J21*J24</f>
        <v>-137.119620282544</v>
      </c>
      <c r="K25" s="149" t="n">
        <f aca="false">-K21*K24</f>
        <v>-242.619303348348</v>
      </c>
      <c r="L25" s="149" t="n">
        <f aca="false">-L21*L24</f>
        <v>-264.199398746951</v>
      </c>
    </row>
    <row r="26" customFormat="false" ht="18" hidden="false" customHeight="true" outlineLevel="0" collapsed="false">
      <c r="A26" s="139" t="s">
        <v>481</v>
      </c>
      <c r="B26" s="140" t="n">
        <v>0</v>
      </c>
      <c r="C26" s="140" t="n">
        <f aca="false">C15+C25</f>
        <v>-7465.5116</v>
      </c>
      <c r="D26" s="140" t="n">
        <f aca="false">D15+D25</f>
        <v>-3703.94575</v>
      </c>
      <c r="E26" s="140" t="n">
        <f aca="false">E15+E25</f>
        <v>-737.083794520001</v>
      </c>
      <c r="F26" s="140" t="n">
        <f aca="false">F15+F25</f>
        <v>-560.931033571912</v>
      </c>
      <c r="G26" s="140" t="n">
        <f aca="false">G15+G25</f>
        <v>-623.093462048174</v>
      </c>
      <c r="H26" s="140" t="n">
        <f aca="false">H15+H25</f>
        <v>4291.27356200046</v>
      </c>
      <c r="I26" s="140" t="n">
        <f aca="false">I15+I25</f>
        <v>4476.29788849755</v>
      </c>
      <c r="J26" s="140" t="n">
        <f aca="false">J15+J25</f>
        <v>4526.38107550842</v>
      </c>
      <c r="K26" s="140" t="n">
        <f aca="false">K15+K25</f>
        <v>4609.76676361861</v>
      </c>
      <c r="L26" s="140" t="n">
        <f aca="false">L15+L25</f>
        <v>5019.78857619206</v>
      </c>
    </row>
    <row r="28" customFormat="false" ht="19.4" hidden="false" customHeight="false" outlineLevel="0" collapsed="false">
      <c r="A28" s="28" t="s">
        <v>482</v>
      </c>
    </row>
    <row r="29" customFormat="false" ht="18" hidden="false" customHeight="true" outlineLevel="0" collapsed="false">
      <c r="A29" s="136" t="s">
        <v>483</v>
      </c>
      <c r="B29" s="142" t="n">
        <v>0</v>
      </c>
      <c r="C29" s="142" t="n">
        <f aca="false">C6*'01_專案設定_Setup'!$B$54/365+C7*'01_專案設定_Setup'!$B$55/365</f>
        <v>1081.77534246575</v>
      </c>
      <c r="D29" s="142" t="n">
        <f aca="false">D6*'01_專案設定_Setup'!$B$54/365+D7*'01_專案設定_Setup'!$B$55/365</f>
        <v>2130.96220273973</v>
      </c>
      <c r="E29" s="142" t="n">
        <f aca="false">E6*'01_專案設定_Setup'!$B$54/365+E7*'01_專案設定_Setup'!$B$55/365</f>
        <v>2985.05185359781</v>
      </c>
      <c r="F29" s="142" t="n">
        <f aca="false">F6*'01_專案設定_Setup'!$B$54/365+F7*'01_專案設定_Setup'!$B$55/365</f>
        <v>3136.09547738986</v>
      </c>
      <c r="G29" s="142" t="n">
        <f aca="false">G6*'01_專案設定_Setup'!$B$54/365+G7*'01_專案設定_Setup'!$B$55/365</f>
        <v>3294.78190854578</v>
      </c>
      <c r="H29" s="142" t="n">
        <f aca="false">H6*'01_專案設定_Setup'!$B$54/365+H7*'01_專案設定_Setup'!$B$55/365</f>
        <v>3461.4978731182</v>
      </c>
      <c r="I29" s="142" t="n">
        <f aca="false">I6*'01_專案設定_Setup'!$B$54/365+I7*'01_專案設定_Setup'!$B$55/365</f>
        <v>3636.64966549798</v>
      </c>
      <c r="J29" s="142" t="n">
        <f aca="false">J6*'01_專案設定_Setup'!$B$54/365+J7*'01_專案設定_Setup'!$B$55/365</f>
        <v>3820.66413857218</v>
      </c>
      <c r="K29" s="142" t="n">
        <f aca="false">K6*'01_專案設定_Setup'!$B$54/365+K7*'01_專案設定_Setup'!$B$55/365</f>
        <v>4013.98974398393</v>
      </c>
      <c r="L29" s="142" t="n">
        <f aca="false">L6*'01_專案設定_Setup'!$B$54/365+L7*'01_專案設定_Setup'!$B$55/365</f>
        <v>4217.09762502952</v>
      </c>
    </row>
    <row r="30" customFormat="false" ht="18" hidden="false" customHeight="true" outlineLevel="0" collapsed="false">
      <c r="A30" s="136" t="s">
        <v>484</v>
      </c>
      <c r="B30" s="142" t="n">
        <v>0</v>
      </c>
      <c r="C30" s="142" t="n">
        <f aca="false">-C9*'01_專案設定_Setup'!$B$56/365</f>
        <v>0</v>
      </c>
      <c r="D30" s="142" t="n">
        <f aca="false">-D9*'01_專案設定_Setup'!$B$56/365</f>
        <v>0</v>
      </c>
      <c r="E30" s="142" t="n">
        <f aca="false">-E9*'01_專案設定_Setup'!$B$56/365</f>
        <v>0</v>
      </c>
      <c r="F30" s="142" t="n">
        <f aca="false">-F9*'01_專案設定_Setup'!$B$56/365</f>
        <v>0</v>
      </c>
      <c r="G30" s="142" t="n">
        <f aca="false">-G9*'01_專案設定_Setup'!$B$56/365</f>
        <v>0</v>
      </c>
      <c r="H30" s="142" t="n">
        <f aca="false">-H9*'01_專案設定_Setup'!$B$56/365</f>
        <v>0</v>
      </c>
      <c r="I30" s="142" t="n">
        <f aca="false">-I9*'01_專案設定_Setup'!$B$56/365</f>
        <v>0</v>
      </c>
      <c r="J30" s="142" t="n">
        <f aca="false">-J9*'01_專案設定_Setup'!$B$56/365</f>
        <v>0</v>
      </c>
      <c r="K30" s="142" t="n">
        <f aca="false">-K9*'01_專案設定_Setup'!$B$56/365</f>
        <v>0</v>
      </c>
      <c r="L30" s="142" t="n">
        <f aca="false">-L9*'01_專案設定_Setup'!$B$56/365</f>
        <v>0</v>
      </c>
    </row>
    <row r="31" customFormat="false" ht="18" hidden="false" customHeight="true" outlineLevel="0" collapsed="false">
      <c r="A31" s="136" t="s">
        <v>485</v>
      </c>
      <c r="B31" s="142" t="n">
        <v>0</v>
      </c>
      <c r="C31" s="142" t="n">
        <f aca="false">C11*'01_專案設定_Setup'!$B$57/365</f>
        <v>-804.661643835617</v>
      </c>
      <c r="D31" s="142" t="n">
        <f aca="false">D11*'01_專案設定_Setup'!$B$57/365</f>
        <v>-865.500380136986</v>
      </c>
      <c r="E31" s="142" t="n">
        <f aca="false">E11*'01_專案設定_Setup'!$B$57/365</f>
        <v>-926.767704205479</v>
      </c>
      <c r="F31" s="142" t="n">
        <f aca="false">F11*'01_專案設定_Setup'!$B$57/365</f>
        <v>-980.572052422973</v>
      </c>
      <c r="G31" s="142" t="n">
        <f aca="false">G11*'01_專案設定_Setup'!$B$57/365</f>
        <v>-1037.79233452541</v>
      </c>
      <c r="H31" s="142" t="n">
        <f aca="false">H11*'01_專案設定_Setup'!$B$57/365</f>
        <v>-1098.66054672343</v>
      </c>
      <c r="I31" s="142" t="n">
        <f aca="false">I11*'01_專案設定_Setup'!$B$57/365</f>
        <v>-1163.42522457806</v>
      </c>
      <c r="J31" s="142" t="n">
        <f aca="false">J11*'01_專案設定_Setup'!$B$57/365</f>
        <v>-1232.3526629557</v>
      </c>
      <c r="K31" s="142" t="n">
        <f aca="false">K11*'01_專案設定_Setup'!$B$57/365</f>
        <v>-1305.72822811933</v>
      </c>
      <c r="L31" s="142" t="n">
        <f aca="false">L11*'01_專案設定_Setup'!$B$57/365</f>
        <v>-1383.85776902913</v>
      </c>
    </row>
    <row r="32" customFormat="false" ht="18" hidden="false" customHeight="true" outlineLevel="0" collapsed="false">
      <c r="A32" s="136" t="s">
        <v>486</v>
      </c>
      <c r="B32" s="150" t="n">
        <v>0</v>
      </c>
      <c r="C32" s="150" t="n">
        <f aca="false">C29+C30+C31</f>
        <v>277.113698630137</v>
      </c>
      <c r="D32" s="150" t="n">
        <f aca="false">D29+D30+D31</f>
        <v>1265.46182260274</v>
      </c>
      <c r="E32" s="150" t="n">
        <f aca="false">E29+E30+E31</f>
        <v>2058.28414939233</v>
      </c>
      <c r="F32" s="150" t="n">
        <f aca="false">F29+F30+F31</f>
        <v>2155.52342496688</v>
      </c>
      <c r="G32" s="150" t="n">
        <f aca="false">G29+G30+G31</f>
        <v>2256.98957402038</v>
      </c>
      <c r="H32" s="150" t="n">
        <f aca="false">H29+H30+H31</f>
        <v>2362.83732639477</v>
      </c>
      <c r="I32" s="150" t="n">
        <f aca="false">I29+I30+I31</f>
        <v>2473.22444091992</v>
      </c>
      <c r="J32" s="150" t="n">
        <f aca="false">J29+J30+J31</f>
        <v>2588.31147561648</v>
      </c>
      <c r="K32" s="150" t="n">
        <f aca="false">K29+K30+K31</f>
        <v>2708.26151586461</v>
      </c>
      <c r="L32" s="150" t="n">
        <f aca="false">L29+L30+L31</f>
        <v>2833.23985600039</v>
      </c>
    </row>
    <row r="33" customFormat="false" ht="18" hidden="false" customHeight="true" outlineLevel="0" collapsed="false">
      <c r="A33" s="136" t="s">
        <v>487</v>
      </c>
      <c r="B33" s="150" t="n">
        <v>0</v>
      </c>
      <c r="C33" s="150" t="n">
        <f aca="false">C32-$B$32</f>
        <v>277.113698630137</v>
      </c>
      <c r="D33" s="150" t="n">
        <f aca="false">D32-C32</f>
        <v>988.348123972603</v>
      </c>
      <c r="E33" s="150" t="n">
        <f aca="false">E32-D32</f>
        <v>792.822326789589</v>
      </c>
      <c r="F33" s="150" t="n">
        <f aca="false">F32-E32</f>
        <v>97.2392755745559</v>
      </c>
      <c r="G33" s="150" t="n">
        <f aca="false">G32-F32</f>
        <v>101.466149053493</v>
      </c>
      <c r="H33" s="150" t="n">
        <f aca="false">H32-G32</f>
        <v>105.847752374397</v>
      </c>
      <c r="I33" s="150" t="n">
        <f aca="false">I32-H32</f>
        <v>110.387114525147</v>
      </c>
      <c r="J33" s="150" t="n">
        <f aca="false">J32-I32</f>
        <v>115.087034696561</v>
      </c>
      <c r="K33" s="150" t="n">
        <f aca="false">K32-J32</f>
        <v>119.950040248122</v>
      </c>
      <c r="L33" s="150" t="n">
        <f aca="false">L32-K32</f>
        <v>124.978340135787</v>
      </c>
    </row>
    <row r="35" customFormat="false" ht="19.4" hidden="false" customHeight="false" outlineLevel="0" collapsed="false">
      <c r="A35" s="28" t="s">
        <v>488</v>
      </c>
    </row>
    <row r="36" customFormat="false" ht="18" hidden="false" customHeight="true" outlineLevel="0" collapsed="false">
      <c r="A36" s="136" t="s">
        <v>489</v>
      </c>
      <c r="B36" s="142" t="n">
        <v>0</v>
      </c>
      <c r="C36" s="142" t="n">
        <f aca="false">-C14</f>
        <v>5326.0116</v>
      </c>
      <c r="D36" s="142" t="n">
        <f aca="false">-D14</f>
        <v>5326.0116</v>
      </c>
      <c r="E36" s="142" t="n">
        <f aca="false">-E14</f>
        <v>5326.0116</v>
      </c>
      <c r="F36" s="142" t="n">
        <f aca="false">-F14</f>
        <v>5326.0116</v>
      </c>
      <c r="G36" s="142" t="n">
        <f aca="false">-G14</f>
        <v>5567.6156</v>
      </c>
      <c r="H36" s="142" t="n">
        <f aca="false">-H14</f>
        <v>835.6656</v>
      </c>
      <c r="I36" s="142" t="n">
        <f aca="false">-I14</f>
        <v>835.6656</v>
      </c>
      <c r="J36" s="142" t="n">
        <f aca="false">-J14</f>
        <v>835.6656</v>
      </c>
      <c r="K36" s="142" t="n">
        <f aca="false">-K14</f>
        <v>835.6656</v>
      </c>
      <c r="L36" s="142" t="n">
        <f aca="false">-L14</f>
        <v>594.0616</v>
      </c>
    </row>
    <row r="37" customFormat="false" ht="18" hidden="false" customHeight="true" outlineLevel="0" collapsed="false">
      <c r="A37" s="136" t="s">
        <v>490</v>
      </c>
      <c r="B37" s="149" t="n">
        <f aca="false">-'05_折舊攤提_Depreciation'!$F$69</f>
        <v>-41019.602</v>
      </c>
      <c r="C37" s="149" t="n">
        <f aca="false">-'05_折舊攤提_Depreciation'!G$69</f>
        <v>-0</v>
      </c>
      <c r="D37" s="149" t="n">
        <f aca="false">-'05_折舊攤提_Depreciation'!H$69</f>
        <v>-0</v>
      </c>
      <c r="E37" s="149" t="n">
        <f aca="false">-'05_折舊攤提_Depreciation'!I$69</f>
        <v>-0</v>
      </c>
      <c r="F37" s="149" t="n">
        <f aca="false">-'05_折舊攤提_Depreciation'!J$69</f>
        <v>-0</v>
      </c>
      <c r="G37" s="149" t="n">
        <f aca="false">-'05_折舊攤提_Depreciation'!K$69</f>
        <v>-1208.02</v>
      </c>
      <c r="H37" s="149" t="n">
        <f aca="false">-'05_折舊攤提_Depreciation'!L$69</f>
        <v>-3126.64</v>
      </c>
      <c r="I37" s="149" t="n">
        <f aca="false">-'05_折舊攤提_Depreciation'!M$69</f>
        <v>-0</v>
      </c>
      <c r="J37" s="149" t="n">
        <f aca="false">-'05_折舊攤提_Depreciation'!N$69</f>
        <v>-0</v>
      </c>
      <c r="K37" s="149" t="n">
        <f aca="false">-'05_折舊攤提_Depreciation'!O$69</f>
        <v>-0</v>
      </c>
      <c r="L37" s="149" t="n">
        <f aca="false">-'05_折舊攤提_Depreciation'!P$69</f>
        <v>-0</v>
      </c>
    </row>
    <row r="38" customFormat="false" ht="18" hidden="false" customHeight="true" outlineLevel="0" collapsed="false">
      <c r="A38" s="136" t="s">
        <v>491</v>
      </c>
      <c r="B38" s="142" t="n">
        <v>0</v>
      </c>
      <c r="C38" s="142" t="n">
        <f aca="false">-C33</f>
        <v>-277.113698630137</v>
      </c>
      <c r="D38" s="142" t="n">
        <f aca="false">-D33</f>
        <v>-988.348123972603</v>
      </c>
      <c r="E38" s="142" t="n">
        <f aca="false">-E33</f>
        <v>-792.822326789589</v>
      </c>
      <c r="F38" s="142" t="n">
        <f aca="false">-F33</f>
        <v>-97.2392755745559</v>
      </c>
      <c r="G38" s="142" t="n">
        <f aca="false">-G33</f>
        <v>-101.466149053493</v>
      </c>
      <c r="H38" s="142" t="n">
        <f aca="false">-H33</f>
        <v>-105.847752374397</v>
      </c>
      <c r="I38" s="142" t="n">
        <f aca="false">-I33</f>
        <v>-110.387114525147</v>
      </c>
      <c r="J38" s="142" t="n">
        <f aca="false">-J33</f>
        <v>-115.087034696561</v>
      </c>
      <c r="K38" s="142" t="n">
        <f aca="false">-K33</f>
        <v>-119.950040248122</v>
      </c>
      <c r="L38" s="142" t="n">
        <f aca="false">-L33</f>
        <v>-124.978340135787</v>
      </c>
    </row>
    <row r="39" customFormat="false" ht="18" hidden="false" customHeight="true" outlineLevel="0" collapsed="false">
      <c r="A39" s="136" t="s">
        <v>492</v>
      </c>
      <c r="B39" s="151" t="n">
        <v>0</v>
      </c>
      <c r="C39" s="151" t="n">
        <f aca="false">0</f>
        <v>0</v>
      </c>
      <c r="D39" s="151" t="n">
        <f aca="false">0</f>
        <v>0</v>
      </c>
      <c r="E39" s="151" t="n">
        <f aca="false">0</f>
        <v>0</v>
      </c>
      <c r="F39" s="151" t="n">
        <f aca="false">0</f>
        <v>0</v>
      </c>
      <c r="G39" s="151" t="n">
        <f aca="false">0</f>
        <v>0</v>
      </c>
      <c r="H39" s="151" t="n">
        <f aca="false">0</f>
        <v>0</v>
      </c>
      <c r="I39" s="151" t="n">
        <f aca="false">0</f>
        <v>0</v>
      </c>
      <c r="J39" s="151" t="n">
        <f aca="false">0</f>
        <v>0</v>
      </c>
      <c r="K39" s="151" t="n">
        <f aca="false">0</f>
        <v>0</v>
      </c>
      <c r="L39" s="151" t="n">
        <f aca="false">'05_折舊攤提_Depreciation'!$F$71</f>
        <v>156.332</v>
      </c>
    </row>
    <row r="40" customFormat="false" ht="21.75" hidden="false" customHeight="true" outlineLevel="0" collapsed="false">
      <c r="A40" s="152" t="s">
        <v>493</v>
      </c>
      <c r="B40" s="153" t="n">
        <f aca="false">$B$37</f>
        <v>-41019.602</v>
      </c>
      <c r="C40" s="153" t="n">
        <f aca="false">C26+C36+C37+C38+C39</f>
        <v>-2416.61369863014</v>
      </c>
      <c r="D40" s="153" t="n">
        <f aca="false">D26+D36+D37+D38+D39</f>
        <v>633.717726027397</v>
      </c>
      <c r="E40" s="153" t="n">
        <f aca="false">E26+E36+E37+E38+E39</f>
        <v>3796.10547869041</v>
      </c>
      <c r="F40" s="153" t="n">
        <f aca="false">F26+F36+F37+F38+F39</f>
        <v>4667.84129085353</v>
      </c>
      <c r="G40" s="153" t="n">
        <f aca="false">G26+G36+G37+G38+G39</f>
        <v>3635.03598889833</v>
      </c>
      <c r="H40" s="153" t="n">
        <f aca="false">H26+H36+H37+H38+H39</f>
        <v>1894.45140962607</v>
      </c>
      <c r="I40" s="153" t="n">
        <f aca="false">I26+I36+I37+I38+I39</f>
        <v>5201.57637397241</v>
      </c>
      <c r="J40" s="153" t="n">
        <f aca="false">J26+J36+J37+J38+J39</f>
        <v>5246.95964081186</v>
      </c>
      <c r="K40" s="153" t="n">
        <f aca="false">K26+K36+K37+K38+K39</f>
        <v>5325.48232337049</v>
      </c>
      <c r="L40" s="153" t="n">
        <f aca="false">L26+L36+L37+L38+L39</f>
        <v>5645.20383605628</v>
      </c>
    </row>
    <row r="41" customFormat="false" ht="18" hidden="false" customHeight="true" outlineLevel="0" collapsed="false">
      <c r="A41" s="136" t="s">
        <v>494</v>
      </c>
      <c r="B41" s="154" t="n">
        <v>1</v>
      </c>
      <c r="C41" s="154" t="n">
        <f aca="false">1/(1+'01_專案設定_Setup'!$B$48)^1</f>
        <v>0.892899418911263</v>
      </c>
      <c r="D41" s="154" t="n">
        <f aca="false">1/(1+'01_專案設定_Setup'!$B$48)^2</f>
        <v>0.797269372292071</v>
      </c>
      <c r="E41" s="154" t="n">
        <f aca="false">1/(1+'01_專案設定_Setup'!$B$48)^3</f>
        <v>0.711881359235337</v>
      </c>
      <c r="F41" s="154" t="n">
        <f aca="false">1/(1+'01_專案設定_Setup'!$B$48)^4</f>
        <v>0.635638451994992</v>
      </c>
      <c r="G41" s="154" t="n">
        <f aca="false">1/(1+'01_專案設定_Setup'!$B$48)^5</f>
        <v>0.567561204423983</v>
      </c>
      <c r="H41" s="154" t="n">
        <f aca="false">1/(1+'01_專案設定_Setup'!$B$48)^6</f>
        <v>0.506775069626751</v>
      </c>
      <c r="I41" s="154" t="n">
        <f aca="false">1/(1+'01_專案設定_Setup'!$B$48)^7</f>
        <v>0.452499165188441</v>
      </c>
      <c r="J41" s="154" t="n">
        <f aca="false">1/(1+'01_專案設定_Setup'!$B$48)^8</f>
        <v>0.40403624165459</v>
      </c>
      <c r="K41" s="154" t="n">
        <f aca="false">1/(1+'01_專案設定_Setup'!$B$48)^9</f>
        <v>0.360763725392474</v>
      </c>
      <c r="L41" s="154" t="n">
        <f aca="false">1/(1+'01_專案設定_Setup'!$B$48)^10</f>
        <v>0.322125720767202</v>
      </c>
    </row>
    <row r="42" customFormat="false" ht="18" hidden="false" customHeight="true" outlineLevel="0" collapsed="false">
      <c r="A42" s="136" t="s">
        <v>495</v>
      </c>
      <c r="B42" s="117" t="n">
        <f aca="false">$B$40*$B$41</f>
        <v>-41019.602</v>
      </c>
      <c r="C42" s="117" t="n">
        <f aca="false">C40*C41</f>
        <v>-2157.79296723985</v>
      </c>
      <c r="D42" s="117" t="n">
        <f aca="false">D40*D41</f>
        <v>505.243733640221</v>
      </c>
      <c r="E42" s="117" t="n">
        <f aca="false">E40*E41</f>
        <v>2702.37672797084</v>
      </c>
      <c r="F42" s="117" t="n">
        <f aca="false">F40*F41</f>
        <v>2967.05941227645</v>
      </c>
      <c r="G42" s="117" t="n">
        <f aca="false">G40*G41</f>
        <v>2063.10540398366</v>
      </c>
      <c r="H42" s="117" t="n">
        <f aca="false">H40*H41</f>
        <v>960.060745017747</v>
      </c>
      <c r="I42" s="117" t="n">
        <f aca="false">I40*I41</f>
        <v>2353.70896688643</v>
      </c>
      <c r="J42" s="117" t="n">
        <f aca="false">J40*J41</f>
        <v>2119.96185338694</v>
      </c>
      <c r="K42" s="117" t="n">
        <f aca="false">K40*K41</f>
        <v>1921.2408424909</v>
      </c>
      <c r="L42" s="117" t="n">
        <f aca="false">L40*L41</f>
        <v>1818.4653545674</v>
      </c>
    </row>
    <row r="43" customFormat="false" ht="21.75" hidden="false" customHeight="true" outlineLevel="0" collapsed="false">
      <c r="A43" s="155" t="s">
        <v>496</v>
      </c>
      <c r="B43" s="140" t="n">
        <f aca="false">$B$42</f>
        <v>-41019.602</v>
      </c>
      <c r="C43" s="140" t="n">
        <f aca="false">$B$43+C42</f>
        <v>-43177.3949672398</v>
      </c>
      <c r="D43" s="140" t="n">
        <f aca="false">C43+D42</f>
        <v>-42672.1512335996</v>
      </c>
      <c r="E43" s="140" t="n">
        <f aca="false">D43+E42</f>
        <v>-39969.7745056288</v>
      </c>
      <c r="F43" s="140" t="n">
        <f aca="false">E43+F42</f>
        <v>-37002.7150933523</v>
      </c>
      <c r="G43" s="140" t="n">
        <f aca="false">F43+G42</f>
        <v>-34939.6096893687</v>
      </c>
      <c r="H43" s="140" t="n">
        <f aca="false">G43+H42</f>
        <v>-33979.5489443509</v>
      </c>
      <c r="I43" s="140" t="n">
        <f aca="false">H43+I42</f>
        <v>-31625.8399774645</v>
      </c>
      <c r="J43" s="140" t="n">
        <f aca="false">I43+J42</f>
        <v>-29505.8781240776</v>
      </c>
      <c r="K43" s="140" t="n">
        <f aca="false">J43+K42</f>
        <v>-27584.6372815867</v>
      </c>
      <c r="L43" s="140" t="n">
        <f aca="false">K43+L42</f>
        <v>-25766.1719270192</v>
      </c>
    </row>
    <row r="45" customFormat="false" ht="19.4" hidden="false" customHeight="false" outlineLevel="0" collapsed="false">
      <c r="A45" s="70" t="s">
        <v>497</v>
      </c>
    </row>
    <row r="46" customFormat="false" ht="25.5" hidden="false" customHeight="true" outlineLevel="0" collapsed="false">
      <c r="A46" s="59" t="s">
        <v>498</v>
      </c>
      <c r="B46" s="156" t="n">
        <f aca="false">SUM($B$42:L$42)</f>
        <v>-25766.1719270192</v>
      </c>
      <c r="C46" s="67" t="s">
        <v>499</v>
      </c>
      <c r="D46" s="67"/>
      <c r="E46" s="67"/>
      <c r="F46" s="67"/>
      <c r="G46" s="67"/>
      <c r="H46" s="67"/>
      <c r="I46" s="67"/>
      <c r="J46" s="67"/>
      <c r="K46" s="67"/>
      <c r="L46" s="67"/>
    </row>
    <row r="47" customFormat="false" ht="25.5" hidden="false" customHeight="true" outlineLevel="0" collapsed="false">
      <c r="A47" s="59" t="s">
        <v>500</v>
      </c>
      <c r="B47" s="157" t="n">
        <f aca="false">IFERROR(IRR($B$40:L$40),"n/a")</f>
        <v>-0.0271213878621312</v>
      </c>
      <c r="C47" s="67" t="s">
        <v>501</v>
      </c>
      <c r="D47" s="67"/>
      <c r="E47" s="67"/>
      <c r="F47" s="67"/>
      <c r="G47" s="67"/>
      <c r="H47" s="67"/>
      <c r="I47" s="67"/>
      <c r="J47" s="67"/>
      <c r="K47" s="67"/>
      <c r="L47" s="67"/>
    </row>
    <row r="48" customFormat="false" ht="25.5" hidden="false" customHeight="true" outlineLevel="0" collapsed="false">
      <c r="A48" s="59" t="s">
        <v>502</v>
      </c>
      <c r="B48" s="157" t="n">
        <f aca="false">IFERROR(MIRR($B$40:L$40,'01_專案設定_Setup'!$B$48,'01_專案設定_Setup'!$B$49),"n/a")</f>
        <v>0.00867740197912537</v>
      </c>
      <c r="C48" s="67" t="s">
        <v>503</v>
      </c>
      <c r="D48" s="67"/>
      <c r="E48" s="67"/>
      <c r="F48" s="67"/>
      <c r="G48" s="67"/>
      <c r="H48" s="67"/>
      <c r="I48" s="67"/>
      <c r="J48" s="67"/>
      <c r="K48" s="67"/>
      <c r="L48" s="67"/>
    </row>
    <row r="49" customFormat="false" ht="25.5" hidden="false" customHeight="true" outlineLevel="0" collapsed="false">
      <c r="A49" s="59" t="s">
        <v>504</v>
      </c>
      <c r="B49" s="158" t="n">
        <f aca="false">IFERROR(SUM(C$42:L$42)/-$B$40,"n/a")</f>
        <v>0.371857095858238</v>
      </c>
      <c r="C49" s="67" t="s">
        <v>505</v>
      </c>
      <c r="D49" s="67"/>
      <c r="E49" s="67"/>
      <c r="F49" s="67"/>
      <c r="G49" s="67"/>
      <c r="H49" s="67"/>
      <c r="I49" s="67"/>
      <c r="J49" s="67"/>
      <c r="K49" s="67"/>
      <c r="L49" s="67"/>
    </row>
    <row r="50" customFormat="false" ht="25.5" hidden="false" customHeight="true" outlineLevel="0" collapsed="false">
      <c r="A50" s="31" t="s">
        <v>506</v>
      </c>
      <c r="B50" s="159" t="str">
        <f aca="false">IFERROR(MATCH(TRUE(),INDEX(C$43:L$43&gt;=0,0),0)-1+(-INDEX(C$43:L$43,MATCH(TRUE(),INDEX(C$43:L$43&gt;=0,0),0)-1))/INDEX(C$42:L$42,MATCH(TRUE(),INDEX(C$43:L$43&gt;=0,0),0)),"未回收")</f>
        <v>未回收</v>
      </c>
      <c r="C50" s="67" t="s">
        <v>507</v>
      </c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25.5" hidden="false" customHeight="true" outlineLevel="0" collapsed="false">
      <c r="A51" s="31" t="s">
        <v>508</v>
      </c>
      <c r="B51" s="159" t="n">
        <f aca="false">IFERROR(MATCH(TRUE(),INDEX(C$40:L$40&gt;0,0),0),"n/a")</f>
        <v>2</v>
      </c>
      <c r="C51" s="67" t="s">
        <v>509</v>
      </c>
      <c r="D51" s="67"/>
      <c r="E51" s="67"/>
      <c r="F51" s="67"/>
      <c r="G51" s="67"/>
      <c r="H51" s="67"/>
      <c r="I51" s="67"/>
      <c r="J51" s="67"/>
      <c r="K51" s="67"/>
      <c r="L51" s="67"/>
    </row>
    <row r="52" customFormat="false" ht="25.5" hidden="false" customHeight="true" outlineLevel="0" collapsed="false">
      <c r="A52" s="59" t="s">
        <v>510</v>
      </c>
      <c r="B52" s="157" t="n">
        <f aca="false">IFERROR(AVERAGE(C$26:L$26)/'02_投資成本_CAPEX'!$Q$64,"n/a")</f>
        <v>0.0239713252841337</v>
      </c>
      <c r="C52" s="67" t="s">
        <v>511</v>
      </c>
      <c r="D52" s="67"/>
      <c r="E52" s="67"/>
      <c r="F52" s="67"/>
      <c r="G52" s="67"/>
      <c r="H52" s="67"/>
      <c r="I52" s="67"/>
      <c r="J52" s="67"/>
      <c r="K52" s="67"/>
      <c r="L52" s="67"/>
    </row>
    <row r="53" customFormat="false" ht="25.5" hidden="false" customHeight="true" outlineLevel="0" collapsed="false">
      <c r="A53" s="31" t="s">
        <v>512</v>
      </c>
      <c r="B53" s="157" t="n">
        <f aca="false">IFERROR(L$12/L$8,"n/a")</f>
        <v>0.343691850615177</v>
      </c>
      <c r="C53" s="67" t="s">
        <v>513</v>
      </c>
      <c r="D53" s="67"/>
      <c r="E53" s="67"/>
      <c r="F53" s="67"/>
      <c r="G53" s="67"/>
      <c r="H53" s="67"/>
      <c r="I53" s="67"/>
      <c r="J53" s="67"/>
      <c r="K53" s="67"/>
      <c r="L53" s="67"/>
    </row>
    <row r="54" customFormat="false" ht="25.5" hidden="false" customHeight="true" outlineLevel="0" collapsed="false">
      <c r="A54" s="31" t="s">
        <v>514</v>
      </c>
      <c r="B54" s="156" t="n">
        <f aca="false">SUM($B$40:L$40)</f>
        <v>-7389.84163032337</v>
      </c>
      <c r="C54" s="67" t="s">
        <v>515</v>
      </c>
      <c r="D54" s="67"/>
      <c r="E54" s="67"/>
      <c r="F54" s="67"/>
      <c r="G54" s="67"/>
      <c r="H54" s="67"/>
      <c r="I54" s="67"/>
      <c r="J54" s="67"/>
      <c r="K54" s="67"/>
      <c r="L54" s="67"/>
    </row>
    <row r="56" customFormat="false" ht="15" hidden="false" customHeight="true" outlineLevel="0" collapsed="false">
      <c r="A56" s="83" t="s">
        <v>516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</row>
    <row r="57" customFormat="false" ht="15" hidden="false" customHeight="false" outlineLevel="0" collapsed="false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</row>
  </sheetData>
  <sheetProtection sheet="true" formatCells="false" formatColumns="false" formatRows="false" insertRows="false" deleteRows="false" sort="false" autoFilter="false"/>
  <mergeCells count="13">
    <mergeCell ref="A1:M1"/>
    <mergeCell ref="A2:M2"/>
    <mergeCell ref="D22:L22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A56:L57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&amp;L06_現金流_Cashflow</oddHead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517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518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28" t="s">
        <v>519</v>
      </c>
    </row>
    <row r="5" customFormat="false" ht="21.75" hidden="false" customHeight="true" outlineLevel="0" collapsed="false">
      <c r="A5" s="31" t="s">
        <v>520</v>
      </c>
      <c r="B5" s="160" t="n">
        <v>0.0454</v>
      </c>
      <c r="C5" s="33"/>
      <c r="D5" s="67" t="s">
        <v>521</v>
      </c>
    </row>
    <row r="6" customFormat="false" ht="30" hidden="false" customHeight="true" outlineLevel="0" collapsed="false">
      <c r="A6" s="31" t="s">
        <v>522</v>
      </c>
      <c r="B6" s="160" t="n">
        <v>0.0423</v>
      </c>
      <c r="C6" s="33"/>
      <c r="D6" s="161" t="s">
        <v>523</v>
      </c>
    </row>
    <row r="7" customFormat="false" ht="30" hidden="false" customHeight="true" outlineLevel="0" collapsed="false">
      <c r="A7" s="31" t="s">
        <v>524</v>
      </c>
      <c r="B7" s="160" t="n">
        <v>0.039</v>
      </c>
      <c r="C7" s="33"/>
      <c r="D7" s="161" t="s">
        <v>525</v>
      </c>
    </row>
    <row r="8" customFormat="false" ht="15" hidden="false" customHeight="false" outlineLevel="0" collapsed="false">
      <c r="A8" s="144" t="s">
        <v>526</v>
      </c>
      <c r="B8" s="162" t="s">
        <v>527</v>
      </c>
      <c r="C8" s="105"/>
      <c r="D8" s="163" t="s">
        <v>528</v>
      </c>
    </row>
    <row r="9" customFormat="false" ht="15" hidden="false" customHeight="false" outlineLevel="0" collapsed="false">
      <c r="A9" s="144" t="s">
        <v>529</v>
      </c>
      <c r="B9" s="164" t="n">
        <v>0.0256</v>
      </c>
      <c r="C9" s="105"/>
      <c r="D9" s="105"/>
    </row>
    <row r="11" customFormat="false" ht="19.4" hidden="false" customHeight="false" outlineLevel="0" collapsed="false">
      <c r="A11" s="28" t="s">
        <v>530</v>
      </c>
    </row>
    <row r="12" customFormat="false" ht="30" hidden="false" customHeight="true" outlineLevel="0" collapsed="false">
      <c r="A12" s="31" t="s">
        <v>531</v>
      </c>
      <c r="B12" s="160" t="s">
        <v>532</v>
      </c>
      <c r="C12" s="33"/>
      <c r="D12" s="67" t="s">
        <v>533</v>
      </c>
    </row>
    <row r="13" customFormat="false" ht="30" hidden="false" customHeight="true" outlineLevel="0" collapsed="false">
      <c r="A13" s="31" t="s">
        <v>534</v>
      </c>
      <c r="B13" s="165" t="n">
        <v>0.92</v>
      </c>
      <c r="C13" s="33"/>
      <c r="D13" s="67" t="s">
        <v>535</v>
      </c>
    </row>
    <row r="14" customFormat="false" ht="21.75" hidden="false" customHeight="true" outlineLevel="0" collapsed="false">
      <c r="A14" s="31" t="s">
        <v>536</v>
      </c>
      <c r="B14" s="165" t="n">
        <v>0.4</v>
      </c>
      <c r="C14" s="33"/>
      <c r="D14" s="67" t="s">
        <v>537</v>
      </c>
    </row>
    <row r="15" customFormat="false" ht="21.75" hidden="false" customHeight="true" outlineLevel="0" collapsed="false">
      <c r="A15" s="31" t="s">
        <v>538</v>
      </c>
      <c r="B15" s="166" t="n">
        <f aca="false">'01_專案設定_Setup'!$B$38</f>
        <v>0.1</v>
      </c>
      <c r="C15" s="33"/>
      <c r="D15" s="67" t="s">
        <v>539</v>
      </c>
    </row>
    <row r="16" customFormat="false" ht="21.75" hidden="false" customHeight="true" outlineLevel="0" collapsed="false">
      <c r="A16" s="31" t="s">
        <v>540</v>
      </c>
      <c r="B16" s="167" t="n">
        <f aca="false">$B$13*(1+(1-$B$15)*$B$14)</f>
        <v>1.2512</v>
      </c>
      <c r="C16" s="33"/>
      <c r="D16" s="161" t="s">
        <v>541</v>
      </c>
    </row>
    <row r="18" customFormat="false" ht="19.4" hidden="false" customHeight="false" outlineLevel="0" collapsed="false">
      <c r="A18" s="28" t="s">
        <v>542</v>
      </c>
    </row>
    <row r="19" customFormat="false" ht="21.75" hidden="false" customHeight="true" outlineLevel="0" collapsed="false">
      <c r="A19" s="31" t="s">
        <v>543</v>
      </c>
      <c r="B19" s="168" t="n">
        <f aca="false">$B$5+$B$16*$B$6+$B$7</f>
        <v>0.13732576</v>
      </c>
      <c r="C19" s="33"/>
      <c r="D19" s="161" t="s">
        <v>544</v>
      </c>
    </row>
    <row r="20" customFormat="false" ht="21.75" hidden="false" customHeight="true" outlineLevel="0" collapsed="false">
      <c r="A20" s="31" t="s">
        <v>545</v>
      </c>
      <c r="B20" s="160" t="n">
        <v>0.085</v>
      </c>
      <c r="C20" s="33"/>
      <c r="D20" s="67" t="s">
        <v>546</v>
      </c>
    </row>
    <row r="21" customFormat="false" ht="21.75" hidden="false" customHeight="true" outlineLevel="0" collapsed="false">
      <c r="A21" s="31" t="s">
        <v>547</v>
      </c>
      <c r="B21" s="168" t="n">
        <f aca="false">$B$20*(1-$B$15)</f>
        <v>0.0765</v>
      </c>
      <c r="C21" s="33"/>
      <c r="D21" s="67" t="s">
        <v>548</v>
      </c>
    </row>
    <row r="22" customFormat="false" ht="21.75" hidden="false" customHeight="true" outlineLevel="0" collapsed="false">
      <c r="A22" s="31" t="s">
        <v>549</v>
      </c>
      <c r="B22" s="166" t="n">
        <f aca="false">1/(1+$B$14)</f>
        <v>0.714285714285714</v>
      </c>
      <c r="C22" s="33"/>
      <c r="D22" s="67" t="s">
        <v>550</v>
      </c>
    </row>
    <row r="23" customFormat="false" ht="21.75" hidden="false" customHeight="true" outlineLevel="0" collapsed="false">
      <c r="A23" s="31" t="s">
        <v>551</v>
      </c>
      <c r="B23" s="166" t="n">
        <f aca="false">$B$14/(1+$B$14)</f>
        <v>0.285714285714286</v>
      </c>
      <c r="C23" s="33"/>
      <c r="D23" s="67" t="s">
        <v>550</v>
      </c>
    </row>
    <row r="25" customFormat="false" ht="19.4" hidden="false" customHeight="false" outlineLevel="0" collapsed="false">
      <c r="A25" s="70" t="s">
        <v>552</v>
      </c>
    </row>
    <row r="26" customFormat="false" ht="21.75" hidden="false" customHeight="true" outlineLevel="0" collapsed="false">
      <c r="A26" s="59" t="s">
        <v>553</v>
      </c>
      <c r="B26" s="168" t="n">
        <f aca="false">$B$22*$B$19+$B$23*$B$21</f>
        <v>0.119946971428571</v>
      </c>
      <c r="C26" s="33"/>
      <c r="D26" s="67" t="s">
        <v>554</v>
      </c>
    </row>
    <row r="27" customFormat="false" ht="39.75" hidden="false" customHeight="true" outlineLevel="0" collapsed="false">
      <c r="A27" s="169" t="s">
        <v>555</v>
      </c>
      <c r="B27" s="170" t="n">
        <f aca="false">(1+$B$26)*(1+0.025)/(1+0.04)-1</f>
        <v>0.10379389010989</v>
      </c>
      <c r="C27" s="105"/>
      <c r="D27" s="171" t="s">
        <v>556</v>
      </c>
    </row>
    <row r="28" customFormat="false" ht="33.75" hidden="false" customHeight="true" outlineLevel="0" collapsed="false">
      <c r="A28" s="172" t="s">
        <v>557</v>
      </c>
      <c r="B28" s="173" t="n">
        <f aca="false">$B$26</f>
        <v>0.119946971428571</v>
      </c>
      <c r="C28" s="105"/>
      <c r="D28" s="174" t="s">
        <v>558</v>
      </c>
    </row>
    <row r="30" customFormat="false" ht="19.4" hidden="false" customHeight="false" outlineLevel="0" collapsed="false">
      <c r="A30" s="28" t="s">
        <v>559</v>
      </c>
    </row>
    <row r="31" customFormat="false" ht="21.75" hidden="false" customHeight="true" outlineLevel="0" collapsed="false">
      <c r="A31" s="5" t="s">
        <v>560</v>
      </c>
      <c r="B31" s="46" t="s">
        <v>561</v>
      </c>
      <c r="C31" s="46" t="s">
        <v>562</v>
      </c>
      <c r="D31" s="5" t="s">
        <v>563</v>
      </c>
      <c r="E31" s="5" t="s">
        <v>564</v>
      </c>
      <c r="F31" s="5" t="s">
        <v>565</v>
      </c>
    </row>
    <row r="32" customFormat="false" ht="15" hidden="false" customHeight="false" outlineLevel="0" collapsed="false">
      <c r="A32" s="175" t="s">
        <v>566</v>
      </c>
      <c r="B32" s="164" t="n">
        <f aca="false">'01_專案設定_Setup'!$B$48+-0.02</f>
        <v>0.0999469714285715</v>
      </c>
      <c r="C32" s="164" t="n">
        <f aca="false">'01_專案設定_Setup'!$B$48+-0.01</f>
        <v>0.109946971428571</v>
      </c>
      <c r="D32" s="164" t="n">
        <f aca="false">'01_專案設定_Setup'!$B$48+0</f>
        <v>0.119946971428571</v>
      </c>
      <c r="E32" s="164" t="n">
        <f aca="false">'01_專案設定_Setup'!$B$48+0.01</f>
        <v>0.129946971428571</v>
      </c>
      <c r="F32" s="164" t="n">
        <f aca="false">'01_專案設定_Setup'!$B$48+0.02</f>
        <v>0.139946971428571</v>
      </c>
    </row>
    <row r="33" customFormat="false" ht="15" hidden="false" customHeight="false" outlineLevel="0" collapsed="false">
      <c r="A33" s="175" t="s">
        <v>567</v>
      </c>
      <c r="B33" s="176" t="n">
        <f aca="false">NPV('01_專案設定_Setup'!$B$48+-0.02,'06_現金流_Cashflow'!C$40:L$40)+'06_現金流_Cashflow'!$B$40</f>
        <v>-23768.4098714633</v>
      </c>
      <c r="C33" s="176" t="n">
        <f aca="false">NPV('01_專案設定_Setup'!$B$48+-0.01,'06_現金流_Cashflow'!C$40:L$40)+'06_現金流_Cashflow'!$B$40</f>
        <v>-24804.3085957949</v>
      </c>
      <c r="D33" s="176" t="n">
        <f aca="false">NPV('01_專案設定_Setup'!$B$48+0,'06_現金流_Cashflow'!C$40:L$40)+'06_現金流_Cashflow'!$B$40</f>
        <v>-25766.1719270192</v>
      </c>
      <c r="E33" s="176" t="n">
        <f aca="false">NPV('01_專案設定_Setup'!$B$48+0.01,'06_現金流_Cashflow'!C$40:L$40)+'06_現金流_Cashflow'!$B$40</f>
        <v>-26660.211223687</v>
      </c>
      <c r="F33" s="176" t="n">
        <f aca="false">NPV('01_專案設定_Setup'!$B$48+0.02,'06_現金流_Cashflow'!C$40:L$40)+'06_現金流_Cashflow'!$B$40</f>
        <v>-27492.0483852987</v>
      </c>
    </row>
    <row r="35" customFormat="false" ht="15" hidden="false" customHeight="true" outlineLevel="0" collapsed="false">
      <c r="A35" s="83" t="s">
        <v>568</v>
      </c>
      <c r="B35" s="83"/>
      <c r="C35" s="83"/>
      <c r="D35" s="83"/>
      <c r="E35" s="83"/>
      <c r="F35" s="83"/>
    </row>
  </sheetData>
  <sheetProtection sheet="true" formatCells="false" formatColumns="false" formatRows="false" insertRows="false" deleteRows="false" sort="false" autoFilter="false"/>
  <mergeCells count="3">
    <mergeCell ref="A1:F1"/>
    <mergeCell ref="A2:F2"/>
    <mergeCell ref="A35:F35"/>
  </mergeCells>
  <conditionalFormatting sqref="B33:F33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B12" type="list">
      <formula1>L_Industry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&amp;L07_折現率_WACC</oddHead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  <col collapsed="false" customWidth="true" hidden="false" outlineLevel="0" max="6" min="6" style="0" width="52"/>
    <col collapsed="false" customWidth="true" hidden="false" outlineLevel="0" max="8" min="7" style="0" width="14"/>
    <col collapsed="false" customWidth="true" hidden="false" outlineLevel="0" max="9" min="9" style="0" width="46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569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570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4" hidden="false" customHeight="false" outlineLevel="0" collapsed="false">
      <c r="A4" s="28" t="s">
        <v>571</v>
      </c>
    </row>
    <row r="5" customFormat="false" ht="15" hidden="false" customHeight="false" outlineLevel="0" collapsed="false">
      <c r="A5" s="115" t="s">
        <v>572</v>
      </c>
      <c r="B5" s="176" t="n">
        <f aca="false">'06_現金流_Cashflow'!$B$46</f>
        <v>-25766.1719270192</v>
      </c>
    </row>
    <row r="6" customFormat="false" ht="15" hidden="false" customHeight="false" outlineLevel="0" collapsed="false">
      <c r="A6" s="115" t="s">
        <v>573</v>
      </c>
      <c r="B6" s="177" t="n">
        <f aca="false">'06_現金流_Cashflow'!$B$48</f>
        <v>0.00867740197912537</v>
      </c>
    </row>
    <row r="7" customFormat="false" ht="15" hidden="false" customHeight="false" outlineLevel="0" collapsed="false">
      <c r="A7" s="115" t="s">
        <v>574</v>
      </c>
      <c r="B7" s="178" t="n">
        <f aca="false">'06_現金流_Cashflow'!$B$49</f>
        <v>0.371857095858238</v>
      </c>
    </row>
    <row r="8" customFormat="false" ht="15" hidden="false" customHeight="false" outlineLevel="0" collapsed="false">
      <c r="A8" s="115" t="s">
        <v>575</v>
      </c>
      <c r="B8" s="176" t="n">
        <f aca="false">SUMPRODUCT('06_現金流_Cashflow'!C$8:L$8,'06_現金流_Cashflow'!C$41:L$41)</f>
        <v>66524.4520823022</v>
      </c>
    </row>
    <row r="9" customFormat="false" ht="15" hidden="false" customHeight="false" outlineLevel="0" collapsed="false">
      <c r="A9" s="115" t="s">
        <v>576</v>
      </c>
      <c r="B9" s="176" t="n">
        <f aca="false">-SUMPRODUCT('06_現金流_Cashflow'!C$9:L$9,'06_現金流_Cashflow'!C$41:L$41)</f>
        <v>2136.16412235218</v>
      </c>
    </row>
    <row r="10" customFormat="false" ht="15" hidden="false" customHeight="false" outlineLevel="0" collapsed="false">
      <c r="A10" s="115" t="s">
        <v>577</v>
      </c>
      <c r="B10" s="176" t="n">
        <f aca="false">-SUMPRODUCT('06_現金流_Cashflow'!C$10:L$10,'06_現金流_Cashflow'!C$41:L$41)</f>
        <v>44734.2231634051</v>
      </c>
    </row>
    <row r="11" customFormat="false" ht="15" hidden="false" customHeight="false" outlineLevel="0" collapsed="false">
      <c r="A11" s="115" t="s">
        <v>578</v>
      </c>
      <c r="B11" s="176" t="n">
        <f aca="false">'02_投資成本_CAPEX'!$Q$64</f>
        <v>41019.602</v>
      </c>
    </row>
    <row r="12" customFormat="false" ht="15" hidden="false" customHeight="false" outlineLevel="0" collapsed="false">
      <c r="A12" s="115" t="s">
        <v>579</v>
      </c>
      <c r="B12" s="177" t="n">
        <f aca="false">AVERAGE('06_現金流_Cashflow'!C$24:L$24)</f>
        <v>0.015</v>
      </c>
    </row>
    <row r="14" customFormat="false" ht="19.4" hidden="false" customHeight="false" outlineLevel="0" collapsed="false">
      <c r="A14" s="28" t="s">
        <v>580</v>
      </c>
    </row>
    <row r="15" customFormat="false" ht="24" hidden="false" customHeight="true" outlineLevel="0" collapsed="false">
      <c r="A15" s="5" t="s">
        <v>581</v>
      </c>
      <c r="B15" s="5" t="s">
        <v>582</v>
      </c>
      <c r="C15" s="5" t="s">
        <v>583</v>
      </c>
      <c r="D15" s="5" t="s">
        <v>584</v>
      </c>
      <c r="E15" s="5" t="s">
        <v>585</v>
      </c>
      <c r="F15" s="5" t="s">
        <v>560</v>
      </c>
      <c r="G15" s="46" t="s">
        <v>107</v>
      </c>
      <c r="H15" s="5" t="s">
        <v>586</v>
      </c>
      <c r="I15" s="5" t="s">
        <v>587</v>
      </c>
    </row>
    <row r="16" customFormat="false" ht="24" hidden="false" customHeight="true" outlineLevel="0" collapsed="false">
      <c r="A16" s="114" t="s">
        <v>588</v>
      </c>
      <c r="B16" s="179" t="n">
        <v>-0.15</v>
      </c>
      <c r="C16" s="179" t="n">
        <v>-0.1</v>
      </c>
      <c r="D16" s="179" t="n">
        <v>0.1</v>
      </c>
      <c r="E16" s="179" t="n">
        <v>0.1</v>
      </c>
      <c r="F16" s="180" t="n">
        <v>0.01</v>
      </c>
      <c r="G16" s="181" t="n">
        <f aca="false">$B$5+$B$8*((1+$B16)*(1+$C16)-1)*(1-$B$12)-$B$9*$B16*(1-$B$12)-($B$9+$B$10)*$D16*(1-$B$12)-$B$11*$E16+(NPV('01_專案設定_Setup'!$B$48+$F16,'06_現金流_Cashflow'!C$40:L$40)+'06_現金流_Cashflow'!$B$40-$B$5)</f>
        <v>-50462.0338680075</v>
      </c>
      <c r="H16" s="182" t="n">
        <f aca="false">$G16-$B$5</f>
        <v>-24695.8619409882</v>
      </c>
      <c r="I16" s="67" t="s">
        <v>589</v>
      </c>
    </row>
    <row r="17" customFormat="false" ht="24" hidden="false" customHeight="true" outlineLevel="0" collapsed="false">
      <c r="A17" s="183" t="s">
        <v>590</v>
      </c>
      <c r="B17" s="179" t="n">
        <v>0</v>
      </c>
      <c r="C17" s="179" t="n">
        <v>0</v>
      </c>
      <c r="D17" s="179" t="n">
        <v>0</v>
      </c>
      <c r="E17" s="179" t="n">
        <v>0</v>
      </c>
      <c r="F17" s="180" t="n">
        <v>0</v>
      </c>
      <c r="G17" s="181" t="n">
        <f aca="false">$B$5+$B$8*((1+$B17)*(1+$C17)-1)*(1-$B$12)-$B$9*$B17*(1-$B$12)-($B$9+$B$10)*$D17*(1-$B$12)-$B$11*$E17+(NPV('01_專案設定_Setup'!$B$48+$F17,'06_現金流_Cashflow'!C$40:L$40)+'06_現金流_Cashflow'!$B$40-$B$5)</f>
        <v>-25766.1719270192</v>
      </c>
      <c r="H17" s="182" t="n">
        <f aca="false">$G17-$B$5</f>
        <v>0</v>
      </c>
      <c r="I17" s="161" t="s">
        <v>591</v>
      </c>
    </row>
    <row r="18" customFormat="false" ht="24" hidden="false" customHeight="true" outlineLevel="0" collapsed="false">
      <c r="A18" s="114" t="s">
        <v>592</v>
      </c>
      <c r="B18" s="179" t="n">
        <v>0.15</v>
      </c>
      <c r="C18" s="179" t="n">
        <v>0.05</v>
      </c>
      <c r="D18" s="179" t="n">
        <v>-0.05</v>
      </c>
      <c r="E18" s="179" t="n">
        <v>-0.05</v>
      </c>
      <c r="F18" s="180" t="n">
        <v>-0.01</v>
      </c>
      <c r="G18" s="181" t="n">
        <f aca="false">$B$5+$B$8*((1+$B18)*(1+$C18)-1)*(1-$B$12)-$B$9*$B18*(1-$B$12)-($B$9+$B$10)*$D18*(1-$B$12)-$B$11*$E18+(NPV('01_專案設定_Setup'!$B$48+$F18,'06_現金流_Cashflow'!C$40:L$40)+'06_現金流_Cashflow'!$B$40-$B$5)</f>
        <v>-7163.81372107736</v>
      </c>
      <c r="H18" s="182" t="n">
        <f aca="false">$G18-$B$5</f>
        <v>18602.3582059419</v>
      </c>
      <c r="I18" s="67" t="s">
        <v>593</v>
      </c>
    </row>
    <row r="20" customFormat="false" ht="19.4" hidden="false" customHeight="false" outlineLevel="0" collapsed="false">
      <c r="A20" s="28" t="s">
        <v>594</v>
      </c>
    </row>
    <row r="21" customFormat="false" ht="15" hidden="false" customHeight="true" outlineLevel="0" collapsed="false">
      <c r="A21" s="135" t="s">
        <v>595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</row>
    <row r="22" customFormat="false" ht="24" hidden="false" customHeight="true" outlineLevel="0" collapsed="false">
      <c r="A22" s="5" t="s">
        <v>596</v>
      </c>
      <c r="B22" s="46" t="s">
        <v>597</v>
      </c>
      <c r="C22" s="5" t="s">
        <v>598</v>
      </c>
      <c r="D22" s="5" t="s">
        <v>599</v>
      </c>
      <c r="E22" s="5" t="s">
        <v>600</v>
      </c>
      <c r="F22" s="5" t="s">
        <v>601</v>
      </c>
    </row>
    <row r="23" customFormat="false" ht="25.5" hidden="false" customHeight="true" outlineLevel="0" collapsed="false">
      <c r="A23" s="115" t="s">
        <v>602</v>
      </c>
      <c r="B23" s="184" t="n">
        <f aca="false">$B$5+$B$8*(-0.15)*(1-$B$12)-$B$9*(-0.15)*(1-$B$12)</f>
        <v>-35279.5414731019</v>
      </c>
      <c r="C23" s="184" t="n">
        <f aca="false">$B$5+$B$8*(0.15)*(1-$B$12)-$B$9*(0.15)*(1-$B$12)</f>
        <v>-16252.8023809366</v>
      </c>
      <c r="D23" s="184" t="n">
        <f aca="false">ABS($C23-$B23)</f>
        <v>19026.7390921652</v>
      </c>
      <c r="E23" s="185" t="n">
        <f aca="false">RANK($D23,$D$23:$D$28,0)</f>
        <v>2</v>
      </c>
      <c r="F23" s="67" t="s">
        <v>603</v>
      </c>
    </row>
    <row r="24" customFormat="false" ht="25.5" hidden="false" customHeight="true" outlineLevel="0" collapsed="false">
      <c r="A24" s="115" t="s">
        <v>604</v>
      </c>
      <c r="B24" s="184" t="n">
        <f aca="false">$B$5+$B$8*(-0.15)*(1-$B$12)</f>
        <v>-35595.1597221794</v>
      </c>
      <c r="C24" s="184" t="n">
        <f aca="false">$B$5+$B$8*(0.15)*(1-$B$12)</f>
        <v>-15937.1841318591</v>
      </c>
      <c r="D24" s="184" t="n">
        <f aca="false">ABS($C24-$B24)</f>
        <v>19657.9755903203</v>
      </c>
      <c r="E24" s="185" t="n">
        <f aca="false">RANK($D24,$D$23:$D$28,0)</f>
        <v>1</v>
      </c>
      <c r="F24" s="67" t="s">
        <v>605</v>
      </c>
    </row>
    <row r="25" customFormat="false" ht="25.5" hidden="false" customHeight="true" outlineLevel="0" collapsed="false">
      <c r="A25" s="115" t="s">
        <v>606</v>
      </c>
      <c r="B25" s="184" t="n">
        <f aca="false">$B$5+($B$9+$B$10)*(0.15)*(1-$B$12)</f>
        <v>-18841.0722055486</v>
      </c>
      <c r="C25" s="184" t="n">
        <f aca="false">$B$5+-($B$9+$B$10)*(0.15)*(1-$B$12)</f>
        <v>-32691.2716484899</v>
      </c>
      <c r="D25" s="184" t="n">
        <f aca="false">ABS($C25-$B25)</f>
        <v>13850.1994429413</v>
      </c>
      <c r="E25" s="185" t="n">
        <f aca="false">RANK($D25,$D$23:$D$28,0)</f>
        <v>3</v>
      </c>
      <c r="F25" s="67" t="s">
        <v>607</v>
      </c>
    </row>
    <row r="26" customFormat="false" ht="25.5" hidden="false" customHeight="true" outlineLevel="0" collapsed="false">
      <c r="A26" s="115" t="s">
        <v>608</v>
      </c>
      <c r="B26" s="184" t="n">
        <f aca="false">$B$5+$B$11*0.15</f>
        <v>-19613.2316270193</v>
      </c>
      <c r="C26" s="184" t="n">
        <f aca="false">$B$5+-$B$11*0.15</f>
        <v>-31919.1122270192</v>
      </c>
      <c r="D26" s="184" t="n">
        <f aca="false">ABS($C26-$B26)</f>
        <v>12305.8806</v>
      </c>
      <c r="E26" s="185" t="n">
        <f aca="false">RANK($D26,$D$23:$D$28,0)</f>
        <v>4</v>
      </c>
      <c r="F26" s="67" t="s">
        <v>609</v>
      </c>
    </row>
    <row r="27" customFormat="false" ht="25.5" hidden="false" customHeight="true" outlineLevel="0" collapsed="false">
      <c r="A27" s="115" t="s">
        <v>610</v>
      </c>
      <c r="B27" s="184" t="n">
        <f aca="false">$B$5+NPV('01_專案設定_Setup'!$B$48-0.01,'06_現金流_Cashflow'!C$40:L$40)+'06_現金流_Cashflow'!$B$40-$B$5</f>
        <v>-24804.3085957949</v>
      </c>
      <c r="C27" s="184" t="n">
        <f aca="false">$B$5+NPV('01_專案設定_Setup'!$B$48+0.01,'06_現金流_Cashflow'!C$40:L$40)+'06_現金流_Cashflow'!$B$40-$B$5</f>
        <v>-26660.211223687</v>
      </c>
      <c r="D27" s="184" t="n">
        <f aca="false">ABS($C27-$B27)</f>
        <v>1855.90262789211</v>
      </c>
      <c r="E27" s="185" t="n">
        <f aca="false">RANK($D27,$D$23:$D$28,0)</f>
        <v>6</v>
      </c>
      <c r="F27" s="67" t="s">
        <v>611</v>
      </c>
    </row>
    <row r="28" customFormat="false" ht="25.5" hidden="false" customHeight="true" outlineLevel="0" collapsed="false">
      <c r="A28" s="115" t="s">
        <v>612</v>
      </c>
      <c r="B28" s="184" t="n">
        <f aca="false">$B$5+$B$8*(-0.15)*(1-$B$12)*0.5</f>
        <v>-30680.6658245993</v>
      </c>
      <c r="C28" s="184" t="n">
        <f aca="false">$B$5+$B$8*(0.15)*(1-$B$12)*0.5</f>
        <v>-20851.6780294392</v>
      </c>
      <c r="D28" s="184" t="n">
        <f aca="false">ABS($C28-$B28)</f>
        <v>9828.98779516015</v>
      </c>
      <c r="E28" s="185" t="n">
        <f aca="false">RANK($D28,$D$23:$D$28,0)</f>
        <v>5</v>
      </c>
      <c r="F28" s="67" t="s">
        <v>613</v>
      </c>
    </row>
    <row r="30" customFormat="false" ht="19.4" hidden="false" customHeight="false" outlineLevel="0" collapsed="false">
      <c r="A30" s="28" t="s">
        <v>614</v>
      </c>
    </row>
    <row r="31" customFormat="false" ht="21.75" hidden="false" customHeight="true" outlineLevel="0" collapsed="false">
      <c r="A31" s="5" t="s">
        <v>615</v>
      </c>
      <c r="B31" s="46" t="s">
        <v>616</v>
      </c>
      <c r="C31" s="46" t="s">
        <v>617</v>
      </c>
      <c r="D31" s="46" t="s">
        <v>618</v>
      </c>
      <c r="E31" s="46" t="s">
        <v>619</v>
      </c>
      <c r="F31" s="46" t="s">
        <v>620</v>
      </c>
    </row>
    <row r="32" customFormat="false" ht="15" hidden="false" customHeight="false" outlineLevel="0" collapsed="false">
      <c r="A32" s="186" t="s">
        <v>616</v>
      </c>
      <c r="B32" s="184" t="n">
        <f aca="false">$B$5+$B$8*((1+-0.3)*(1+-0.3)-1)*(1-$B$12)-$B$9*-0.3*(1-$B$12)</f>
        <v>-58553.4939324087</v>
      </c>
      <c r="C32" s="184" t="n">
        <f aca="false">$B$5+$B$8*((1+-0.3)*(1+-0.15)-1)*(1-$B$12)-$B$9*-0.3*(1-$B$12)</f>
        <v>-51673.2024757966</v>
      </c>
      <c r="D32" s="184" t="n">
        <f aca="false">$B$5+$B$8*((1+-0.3)*(1+0)-1)*(1-$B$12)-$B$9*-0.3*(1-$B$12)</f>
        <v>-44792.9110191845</v>
      </c>
      <c r="E32" s="184" t="n">
        <f aca="false">$B$5+$B$8*((1+-0.3)*(1+0.15)-1)*(1-$B$12)-$B$9*-0.3*(1-$B$12)</f>
        <v>-37912.6195625724</v>
      </c>
      <c r="F32" s="184" t="n">
        <f aca="false">$B$5+$B$8*((1+-0.3)*(1+0.3)-1)*(1-$B$12)-$B$9*-0.3*(1-$B$12)</f>
        <v>-31032.3281059603</v>
      </c>
    </row>
    <row r="33" customFormat="false" ht="15" hidden="false" customHeight="false" outlineLevel="0" collapsed="false">
      <c r="A33" s="186" t="s">
        <v>617</v>
      </c>
      <c r="B33" s="184" t="n">
        <f aca="false">$B$5+$B$8*((1+-0.15)*(1+-0.3)-1)*(1-$B$12)-$B$9*-0.15*(1-$B$12)</f>
        <v>-51988.8207248741</v>
      </c>
      <c r="C33" s="184" t="n">
        <f aca="false">$B$5+$B$8*((1+-0.15)*(1+-0.15)-1)*(1-$B$12)-$B$9*-0.15*(1-$B$12)</f>
        <v>-43634.181098988</v>
      </c>
      <c r="D33" s="184" t="n">
        <f aca="false">$B$5+$B$8*((1+-0.15)*(1+0)-1)*(1-$B$12)-$B$9*-0.15*(1-$B$12)</f>
        <v>-35279.5414731019</v>
      </c>
      <c r="E33" s="184" t="n">
        <f aca="false">$B$5+$B$8*((1+-0.15)*(1+0.15)-1)*(1-$B$12)-$B$9*-0.15*(1-$B$12)</f>
        <v>-26924.9018472157</v>
      </c>
      <c r="F33" s="184" t="n">
        <f aca="false">$B$5+$B$8*((1+-0.15)*(1+0.3)-1)*(1-$B$12)-$B$9*-0.15*(1-$B$12)</f>
        <v>-18570.2622213296</v>
      </c>
    </row>
    <row r="34" customFormat="false" ht="15" hidden="false" customHeight="false" outlineLevel="0" collapsed="false">
      <c r="A34" s="186" t="s">
        <v>618</v>
      </c>
      <c r="B34" s="184" t="n">
        <f aca="false">$B$5+$B$8*((1+0)*(1+-0.3)-1)*(1-$B$12)-$B$9*0*(1-$B$12)</f>
        <v>-45424.1475173395</v>
      </c>
      <c r="C34" s="184" t="n">
        <f aca="false">$B$5+$B$8*((1+0)*(1+-0.15)-1)*(1-$B$12)-$B$9*0*(1-$B$12)</f>
        <v>-35595.1597221794</v>
      </c>
      <c r="D34" s="187" t="n">
        <f aca="false">$B$5+$B$8*((1+0)*(1+0)-1)*(1-$B$12)-$B$9*0*(1-$B$12)</f>
        <v>-25766.1719270192</v>
      </c>
      <c r="E34" s="184" t="n">
        <f aca="false">$B$5+$B$8*((1+0)*(1+0.15)-1)*(1-$B$12)-$B$9*0*(1-$B$12)</f>
        <v>-15937.1841318591</v>
      </c>
      <c r="F34" s="184" t="n">
        <f aca="false">$B$5+$B$8*((1+0)*(1+0.3)-1)*(1-$B$12)-$B$9*0*(1-$B$12)</f>
        <v>-6108.19633669895</v>
      </c>
    </row>
    <row r="35" customFormat="false" ht="15" hidden="false" customHeight="false" outlineLevel="0" collapsed="false">
      <c r="A35" s="186" t="s">
        <v>619</v>
      </c>
      <c r="B35" s="184" t="n">
        <f aca="false">$B$5+$B$8*((1+0.15)*(1+-0.3)-1)*(1-$B$12)-$B$9*0.15*(1-$B$12)</f>
        <v>-38859.474309805</v>
      </c>
      <c r="C35" s="184" t="n">
        <f aca="false">$B$5+$B$8*((1+0.15)*(1+-0.15)-1)*(1-$B$12)-$B$9*0.15*(1-$B$12)</f>
        <v>-27556.1383453708</v>
      </c>
      <c r="D35" s="184" t="n">
        <f aca="false">$B$5+$B$8*((1+0.15)*(1+0)-1)*(1-$B$12)-$B$9*0.15*(1-$B$12)</f>
        <v>-16252.8023809366</v>
      </c>
      <c r="E35" s="184" t="n">
        <f aca="false">$B$5+$B$8*((1+0.15)*(1+0.15)-1)*(1-$B$12)-$B$9*0.15*(1-$B$12)</f>
        <v>-4949.46641650248</v>
      </c>
      <c r="F35" s="184" t="n">
        <f aca="false">$B$5+$B$8*((1+0.15)*(1+0.3)-1)*(1-$B$12)-$B$9*0.15*(1-$B$12)</f>
        <v>6353.8695479317</v>
      </c>
    </row>
    <row r="36" customFormat="false" ht="15" hidden="false" customHeight="false" outlineLevel="0" collapsed="false">
      <c r="A36" s="186" t="s">
        <v>620</v>
      </c>
      <c r="B36" s="184" t="n">
        <f aca="false">$B$5+$B$8*((1+0.3)*(1+-0.3)-1)*(1-$B$12)-$B$9*0.3*(1-$B$12)</f>
        <v>-32294.8011022704</v>
      </c>
      <c r="C36" s="184" t="n">
        <f aca="false">$B$5+$B$8*((1+0.3)*(1+-0.15)-1)*(1-$B$12)-$B$9*0.3*(1-$B$12)</f>
        <v>-19517.1169685622</v>
      </c>
      <c r="D36" s="184" t="n">
        <f aca="false">$B$5+$B$8*((1+0.3)*(1+0)-1)*(1-$B$12)-$B$9*0.3*(1-$B$12)</f>
        <v>-6739.43283485402</v>
      </c>
      <c r="E36" s="184" t="n">
        <f aca="false">$B$5+$B$8*((1+0.3)*(1+0.15)-1)*(1-$B$12)-$B$9*0.3*(1-$B$12)</f>
        <v>6038.25129885417</v>
      </c>
      <c r="F36" s="184" t="n">
        <f aca="false">$B$5+$B$8*((1+0.3)*(1+0.3)-1)*(1-$B$12)-$B$9*0.3*(1-$B$12)</f>
        <v>18815.9354325624</v>
      </c>
    </row>
    <row r="38" customFormat="false" ht="19.4" hidden="false" customHeight="false" outlineLevel="0" collapsed="false">
      <c r="A38" s="28" t="s">
        <v>621</v>
      </c>
    </row>
    <row r="39" customFormat="false" ht="25.5" hidden="false" customHeight="true" outlineLevel="0" collapsed="false">
      <c r="A39" s="188" t="s">
        <v>622</v>
      </c>
      <c r="B39" s="189" t="n">
        <f aca="false">IFERROR(-$B$5/($B$8*(1-$B$12)),"n/a")</f>
        <v>0.393217070729908</v>
      </c>
      <c r="C39" s="67" t="s">
        <v>623</v>
      </c>
      <c r="D39" s="67"/>
      <c r="E39" s="67"/>
      <c r="F39" s="67"/>
      <c r="G39" s="67"/>
      <c r="H39" s="67"/>
      <c r="I39" s="67"/>
    </row>
    <row r="40" customFormat="false" ht="25.5" hidden="false" customHeight="true" outlineLevel="0" collapsed="false">
      <c r="A40" s="188" t="s">
        <v>624</v>
      </c>
      <c r="B40" s="189" t="n">
        <f aca="false">IFERROR(-$B$5/(($B$8-$B$9)*(1-$B$12)),"n/a")</f>
        <v>0.406262551909841</v>
      </c>
      <c r="C40" s="67" t="s">
        <v>625</v>
      </c>
      <c r="D40" s="67"/>
      <c r="E40" s="67"/>
      <c r="F40" s="67"/>
      <c r="G40" s="67"/>
      <c r="H40" s="67"/>
      <c r="I40" s="67"/>
    </row>
    <row r="41" customFormat="false" ht="25.5" hidden="false" customHeight="true" outlineLevel="0" collapsed="false">
      <c r="A41" s="188" t="s">
        <v>626</v>
      </c>
      <c r="B41" s="190" t="n">
        <f aca="false">IFERROR('03_營運成本_OPEX'!$G$37*'01_專案設定_Setup'!$B$28/('04_收入產能_Revenue'!$B$13*'01_專案設定_Setup'!$B$28-'03_營運成本_OPEX'!$G$36*'01_專案設定_Setup'!$B$28/('04_收入產能_Revenue'!$B$5*'04_收入產能_Revenue'!$B$6)),"n/a")</f>
        <v>3605.91827148896</v>
      </c>
      <c r="C41" s="67" t="s">
        <v>627</v>
      </c>
      <c r="D41" s="67"/>
      <c r="E41" s="67"/>
      <c r="F41" s="67"/>
      <c r="G41" s="67"/>
      <c r="H41" s="67"/>
      <c r="I41" s="67"/>
    </row>
    <row r="42" customFormat="false" ht="25.5" hidden="false" customHeight="true" outlineLevel="0" collapsed="false">
      <c r="A42" s="115" t="s">
        <v>628</v>
      </c>
      <c r="B42" s="191" t="n">
        <f aca="false">IFERROR($B41/('04_收入產能_Revenue'!$B$5*'04_收入產能_Revenue'!$B$6),"n/a")</f>
        <v>0.600986378581494</v>
      </c>
      <c r="C42" s="67" t="s">
        <v>629</v>
      </c>
      <c r="D42" s="67"/>
      <c r="E42" s="67"/>
      <c r="F42" s="67"/>
      <c r="G42" s="67"/>
      <c r="H42" s="67"/>
      <c r="I42" s="67"/>
    </row>
  </sheetData>
  <sheetProtection sheet="true" formatCells="false" formatColumns="false" formatRows="false" insertRows="false" deleteRows="false" sort="false" autoFilter="false"/>
  <mergeCells count="7">
    <mergeCell ref="A1:L1"/>
    <mergeCell ref="A2:L2"/>
    <mergeCell ref="A21:L21"/>
    <mergeCell ref="C39:I39"/>
    <mergeCell ref="C40:I40"/>
    <mergeCell ref="C41:I41"/>
    <mergeCell ref="C42:I42"/>
  </mergeCells>
  <conditionalFormatting sqref="G16:G18">
    <cfRule type="cellIs" priority="2" operator="lessThan" aboveAverage="0" equalAverage="0" bottom="0" percent="0" rank="0" text="" dxfId="1">
      <formula>0</formula>
    </cfRule>
  </conditionalFormatting>
  <conditionalFormatting sqref="D23:D28">
    <cfRule type="dataBar" priority="3">
      <dataBar showValue="1" minLength="10" maxLength="90">
        <cfvo type="num" val="0"/>
        <cfvo type="max" val="0"/>
        <color rgb="FF7030A0"/>
      </dataBar>
      <extLst>
        <ext xmlns:x14="http://schemas.microsoft.com/office/spreadsheetml/2009/9/main" uri="{B025F937-C7B1-47D3-B67F-A62EFF666E3E}">
          <x14:id>{8189E353-8251-4E30-A994-5E6599C1C1F3}</x14:id>
        </ext>
      </extLst>
    </cfRule>
  </conditionalFormatting>
  <conditionalFormatting sqref="B23:C28">
    <cfRule type="cellIs" priority="4" operator="lessThan" aboveAverage="0" equalAverage="0" bottom="0" percent="0" rank="0" text="" dxfId="2">
      <formula>0</formula>
    </cfRule>
  </conditionalFormatting>
  <conditionalFormatting sqref="E23:E28">
    <cfRule type="cellIs" priority="5" operator="equal" aboveAverage="0" equalAverage="0" bottom="0" percent="0" rank="0" text="" dxfId="3">
      <formula>1</formula>
    </cfRule>
  </conditionalFormatting>
  <conditionalFormatting sqref="B32:F36">
    <cfRule type="cellIs" priority="6" operator="lessThan" aboveAverage="0" equalAverage="0" bottom="0" percent="0" rank="0" text="" dxfId="2">
      <formula>0</formula>
    </cfRule>
    <cfRule type="cellIs" priority="7" operator="greaterThan" aboveAverage="0" equalAverage="0" bottom="0" percent="0" rank="0" text="" dxfId="4">
      <formula>0</formula>
    </cfRule>
  </conditionalFormatting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&amp;L08_敏感度_Sensitivity</oddHeader>
    <oddFooter>&amp;R&amp;P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89E353-8251-4E30-A994-5E6599C1C1F3}">
            <x14:dataBar minLength="10" maxLength="90" axisPosition="none" gradient="true">
              <x14:cfvo type="num">
                <xm:f>0</xm:f>
              </x14:cfvo>
              <x14:cfvo type="max"/>
              <x14:negativeFillColor rgb="FF7030A0"/>
              <x14:axisColor rgb="FF000000"/>
            </x14:dataBar>
          </x14:cfRule>
          <xm:sqref>D23:D28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11" min="7" style="0" width="14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630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631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192" t="str">
        <f aca="false">IF(INDEX(_CatCode,MATCH('01_專案設定_Setup'!$B$9,_CatName,0))="DTCO","✔ 本案投資類別為「B 使能型投資」，本頁適用——10 決策摘要會以本頁的 ΔTCO 作為主要判讀依據。","⚠ 本案投資類別為「"&amp;'01_專案設定_Setup'!$B$9&amp;"」，本頁不適用，可略過。（若要改用使能型的評估方式，請到 01 分頁把投資類別改成「B 使能型投資」。）")</f>
        <v>⚠ 本案投資類別為「F 策略布局型 Strategic / Option」，本頁不適用，可略過。（若要改用使能型的評估方式，請到 01 分頁把投資類別改成「B 使能型投資」。）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customFormat="false" ht="19.4" hidden="false" customHeight="false" outlineLevel="0" collapsed="false">
      <c r="A4" s="28" t="s">
        <v>632</v>
      </c>
    </row>
    <row r="5" customFormat="false" ht="27.75" hidden="false" customHeight="true" outlineLevel="0" collapsed="false">
      <c r="A5" s="31" t="s">
        <v>633</v>
      </c>
      <c r="B5" s="43" t="s">
        <v>634</v>
      </c>
      <c r="C5" s="67" t="s">
        <v>635</v>
      </c>
      <c r="D5" s="67"/>
      <c r="E5" s="67"/>
      <c r="F5" s="67"/>
      <c r="G5" s="67"/>
      <c r="H5" s="67"/>
      <c r="I5" s="67"/>
      <c r="J5" s="67"/>
      <c r="K5" s="67"/>
      <c r="L5" s="67"/>
    </row>
    <row r="6" customFormat="false" ht="27.75" hidden="false" customHeight="true" outlineLevel="0" collapsed="false">
      <c r="A6" s="31" t="s">
        <v>636</v>
      </c>
      <c r="B6" s="43" t="s">
        <v>637</v>
      </c>
      <c r="C6" s="67" t="s">
        <v>638</v>
      </c>
      <c r="D6" s="67"/>
      <c r="E6" s="67"/>
      <c r="F6" s="67"/>
      <c r="G6" s="67"/>
      <c r="H6" s="67"/>
      <c r="I6" s="67"/>
      <c r="J6" s="67"/>
      <c r="K6" s="67"/>
      <c r="L6" s="67"/>
    </row>
    <row r="7" customFormat="false" ht="27.75" hidden="false" customHeight="true" outlineLevel="0" collapsed="false">
      <c r="A7" s="31" t="s">
        <v>639</v>
      </c>
      <c r="B7" s="111" t="n">
        <v>0</v>
      </c>
      <c r="C7" s="67" t="s">
        <v>640</v>
      </c>
      <c r="D7" s="67"/>
      <c r="E7" s="67"/>
      <c r="F7" s="67"/>
      <c r="G7" s="67"/>
      <c r="H7" s="67"/>
      <c r="I7" s="67"/>
      <c r="J7" s="67"/>
      <c r="K7" s="67"/>
      <c r="L7" s="67"/>
    </row>
    <row r="8" customFormat="false" ht="27.75" hidden="false" customHeight="true" outlineLevel="0" collapsed="false">
      <c r="A8" s="31" t="s">
        <v>560</v>
      </c>
      <c r="B8" s="193" t="n">
        <f aca="false">'01_專案設定_Setup'!$B$48</f>
        <v>0.119946971428571</v>
      </c>
      <c r="C8" s="67" t="s">
        <v>641</v>
      </c>
      <c r="D8" s="67"/>
      <c r="E8" s="67"/>
      <c r="F8" s="67"/>
      <c r="G8" s="67"/>
      <c r="H8" s="67"/>
      <c r="I8" s="67"/>
      <c r="J8" s="67"/>
      <c r="K8" s="67"/>
      <c r="L8" s="67"/>
    </row>
    <row r="10" customFormat="false" ht="19.4" hidden="false" customHeight="false" outlineLevel="0" collapsed="false">
      <c r="A10" s="194" t="s">
        <v>642</v>
      </c>
    </row>
    <row r="11" customFormat="false" ht="24" hidden="false" customHeight="true" outlineLevel="0" collapsed="false">
      <c r="A11" s="5" t="s">
        <v>435</v>
      </c>
      <c r="B11" s="5" t="s">
        <v>423</v>
      </c>
      <c r="C11" s="5" t="s">
        <v>424</v>
      </c>
      <c r="D11" s="5" t="s">
        <v>425</v>
      </c>
      <c r="E11" s="5" t="s">
        <v>426</v>
      </c>
      <c r="F11" s="5" t="s">
        <v>427</v>
      </c>
      <c r="G11" s="5" t="s">
        <v>428</v>
      </c>
      <c r="H11" s="5" t="s">
        <v>429</v>
      </c>
      <c r="I11" s="5" t="s">
        <v>430</v>
      </c>
      <c r="J11" s="5" t="s">
        <v>431</v>
      </c>
      <c r="K11" s="5" t="s">
        <v>432</v>
      </c>
      <c r="L11" s="5" t="s">
        <v>643</v>
      </c>
    </row>
    <row r="12" customFormat="false" ht="15" hidden="false" customHeight="false" outlineLevel="0" collapsed="false">
      <c r="A12" s="115" t="s">
        <v>644</v>
      </c>
      <c r="B12" s="195" t="n">
        <f aca="false">'05_折舊攤提_Depreciation'!G$68</f>
        <v>0</v>
      </c>
      <c r="C12" s="195" t="n">
        <f aca="false">'05_折舊攤提_Depreciation'!H$68</f>
        <v>0</v>
      </c>
      <c r="D12" s="195" t="n">
        <f aca="false">'05_折舊攤提_Depreciation'!I$68</f>
        <v>0</v>
      </c>
      <c r="E12" s="195" t="n">
        <f aca="false">'05_折舊攤提_Depreciation'!J$68</f>
        <v>0</v>
      </c>
      <c r="F12" s="195" t="n">
        <f aca="false">'05_折舊攤提_Depreciation'!K$68</f>
        <v>1208.02</v>
      </c>
      <c r="G12" s="195" t="n">
        <f aca="false">'05_折舊攤提_Depreciation'!L$68</f>
        <v>3126.64</v>
      </c>
      <c r="H12" s="195" t="n">
        <f aca="false">'05_折舊攤提_Depreciation'!M$68</f>
        <v>0</v>
      </c>
      <c r="I12" s="195" t="n">
        <f aca="false">'05_折舊攤提_Depreciation'!N$68</f>
        <v>0</v>
      </c>
      <c r="J12" s="195" t="n">
        <f aca="false">'05_折舊攤提_Depreciation'!O$68</f>
        <v>0</v>
      </c>
      <c r="K12" s="195" t="n">
        <f aca="false">'05_折舊攤提_Depreciation'!P$68</f>
        <v>0</v>
      </c>
      <c r="L12" s="196" t="n">
        <f aca="false">'02_投資成本_CAPEX'!$Q$64+SUMPRODUCT(B12:K12,'06_現金流_Cashflow'!C$41:L$41)</f>
        <v>43289.730489866</v>
      </c>
    </row>
    <row r="13" customFormat="false" ht="15" hidden="false" customHeight="false" outlineLevel="0" collapsed="false">
      <c r="A13" s="115" t="s">
        <v>645</v>
      </c>
      <c r="B13" s="195" t="n">
        <f aca="false">-'06_現金流_Cashflow'!C$11</f>
        <v>6526.7</v>
      </c>
      <c r="C13" s="195" t="n">
        <f aca="false">-'06_現金流_Cashflow'!D$11</f>
        <v>7020.16975</v>
      </c>
      <c r="D13" s="195" t="n">
        <f aca="false">-'06_現金流_Cashflow'!E$11</f>
        <v>7517.115823</v>
      </c>
      <c r="E13" s="195" t="n">
        <f aca="false">-'06_現金流_Cashflow'!F$11</f>
        <v>7953.528869653</v>
      </c>
      <c r="F13" s="195" t="n">
        <f aca="false">-'06_現金流_Cashflow'!G$11</f>
        <v>8417.64893559497</v>
      </c>
      <c r="G13" s="195" t="n">
        <f aca="false">-'06_現金流_Cashflow'!H$11</f>
        <v>8911.3577678678</v>
      </c>
      <c r="H13" s="195" t="n">
        <f aca="false">-'06_現金流_Cashflow'!I$11</f>
        <v>9436.67126602204</v>
      </c>
      <c r="I13" s="195" t="n">
        <f aca="false">-'06_現金流_Cashflow'!J$11</f>
        <v>9995.74937730732</v>
      </c>
      <c r="J13" s="195" t="n">
        <f aca="false">-'06_現金流_Cashflow'!K$11</f>
        <v>10590.9067391901</v>
      </c>
      <c r="K13" s="195" t="n">
        <f aca="false">-'06_現金流_Cashflow'!L$11</f>
        <v>11224.6241265696</v>
      </c>
      <c r="L13" s="196" t="n">
        <f aca="false">SUMPRODUCT(B13:K13,'06_現金流_Cashflow'!C$41:L$41)</f>
        <v>46870.3872857573</v>
      </c>
    </row>
    <row r="14" customFormat="false" ht="24" hidden="false" customHeight="true" outlineLevel="0" collapsed="false">
      <c r="A14" s="197" t="s">
        <v>646</v>
      </c>
      <c r="B14" s="198" t="n">
        <f aca="false">B12+B13</f>
        <v>6526.7</v>
      </c>
      <c r="C14" s="198" t="n">
        <f aca="false">C12+C13</f>
        <v>7020.16975</v>
      </c>
      <c r="D14" s="198" t="n">
        <f aca="false">D12+D13</f>
        <v>7517.115823</v>
      </c>
      <c r="E14" s="198" t="n">
        <f aca="false">E12+E13</f>
        <v>7953.528869653</v>
      </c>
      <c r="F14" s="198" t="n">
        <f aca="false">F12+F13</f>
        <v>9625.66893559497</v>
      </c>
      <c r="G14" s="198" t="n">
        <f aca="false">G12+G13</f>
        <v>12037.9977678678</v>
      </c>
      <c r="H14" s="198" t="n">
        <f aca="false">H12+H13</f>
        <v>9436.67126602204</v>
      </c>
      <c r="I14" s="198" t="n">
        <f aca="false">I12+I13</f>
        <v>9995.74937730732</v>
      </c>
      <c r="J14" s="198" t="n">
        <f aca="false">J12+J13</f>
        <v>10590.9067391901</v>
      </c>
      <c r="K14" s="198" t="n">
        <f aca="false">K12+K13</f>
        <v>11224.6241265696</v>
      </c>
      <c r="L14" s="199" t="n">
        <f aca="false">L12+L13</f>
        <v>90160.1177756233</v>
      </c>
    </row>
    <row r="16" customFormat="false" ht="19.4" hidden="false" customHeight="false" outlineLevel="0" collapsed="false">
      <c r="A16" s="42" t="s">
        <v>647</v>
      </c>
    </row>
    <row r="17" customFormat="false" ht="27.75" hidden="false" customHeight="true" outlineLevel="0" collapsed="false">
      <c r="A17" s="31" t="s">
        <v>648</v>
      </c>
      <c r="B17" s="112" t="n">
        <v>0</v>
      </c>
      <c r="C17" s="67" t="s">
        <v>649</v>
      </c>
      <c r="D17" s="67"/>
      <c r="E17" s="67"/>
      <c r="F17" s="67"/>
      <c r="G17" s="67"/>
      <c r="H17" s="67"/>
      <c r="I17" s="67"/>
      <c r="J17" s="67"/>
      <c r="K17" s="67"/>
      <c r="L17" s="67"/>
    </row>
    <row r="18" customFormat="false" ht="27.75" hidden="false" customHeight="true" outlineLevel="0" collapsed="false">
      <c r="A18" s="31" t="s">
        <v>650</v>
      </c>
      <c r="B18" s="56" t="n">
        <v>0.03</v>
      </c>
      <c r="C18" s="67" t="s">
        <v>651</v>
      </c>
      <c r="D18" s="67"/>
      <c r="E18" s="67"/>
      <c r="F18" s="67"/>
      <c r="G18" s="67"/>
      <c r="H18" s="67"/>
      <c r="I18" s="67"/>
      <c r="J18" s="67"/>
      <c r="K18" s="67"/>
      <c r="L18" s="67"/>
    </row>
    <row r="19" customFormat="false" ht="27.75" hidden="false" customHeight="true" outlineLevel="0" collapsed="false">
      <c r="A19" s="31" t="s">
        <v>652</v>
      </c>
      <c r="B19" s="112" t="n">
        <v>0</v>
      </c>
      <c r="C19" s="67" t="s">
        <v>653</v>
      </c>
      <c r="D19" s="67"/>
      <c r="E19" s="67"/>
      <c r="F19" s="67"/>
      <c r="G19" s="67"/>
      <c r="H19" s="67"/>
      <c r="I19" s="67"/>
      <c r="J19" s="67"/>
      <c r="K19" s="67"/>
      <c r="L19" s="67"/>
    </row>
    <row r="20" customFormat="false" ht="27.75" hidden="false" customHeight="true" outlineLevel="0" collapsed="false">
      <c r="A20" s="31" t="s">
        <v>654</v>
      </c>
      <c r="B20" s="112" t="n">
        <v>0</v>
      </c>
      <c r="C20" s="67" t="s">
        <v>655</v>
      </c>
      <c r="D20" s="67"/>
      <c r="E20" s="67"/>
      <c r="F20" s="67"/>
      <c r="G20" s="67"/>
      <c r="H20" s="67"/>
      <c r="I20" s="67"/>
      <c r="J20" s="67"/>
      <c r="K20" s="67"/>
      <c r="L20" s="67"/>
    </row>
    <row r="22" customFormat="false" ht="24" hidden="false" customHeight="true" outlineLevel="0" collapsed="false">
      <c r="A22" s="5" t="s">
        <v>435</v>
      </c>
      <c r="B22" s="5" t="s">
        <v>423</v>
      </c>
      <c r="C22" s="5" t="s">
        <v>424</v>
      </c>
      <c r="D22" s="5" t="s">
        <v>425</v>
      </c>
      <c r="E22" s="5" t="s">
        <v>426</v>
      </c>
      <c r="F22" s="5" t="s">
        <v>427</v>
      </c>
      <c r="G22" s="5" t="s">
        <v>428</v>
      </c>
      <c r="H22" s="5" t="s">
        <v>429</v>
      </c>
      <c r="I22" s="5" t="s">
        <v>430</v>
      </c>
      <c r="J22" s="5" t="s">
        <v>431</v>
      </c>
      <c r="K22" s="5" t="s">
        <v>432</v>
      </c>
      <c r="L22" s="5" t="s">
        <v>643</v>
      </c>
    </row>
    <row r="23" customFormat="false" ht="15" hidden="false" customHeight="false" outlineLevel="0" collapsed="false">
      <c r="A23" s="115" t="s">
        <v>656</v>
      </c>
      <c r="B23" s="195" t="n">
        <f aca="false">$B$7*$B$17*12*(1+$B$18)^0*'01_專案設定_Setup'!$B$30</f>
        <v>0</v>
      </c>
      <c r="C23" s="195" t="n">
        <f aca="false">$B$7*$B$17*12*(1+$B$18)^1*'01_專案設定_Setup'!$B$30</f>
        <v>0</v>
      </c>
      <c r="D23" s="195" t="n">
        <f aca="false">$B$7*$B$17*12*(1+$B$18)^2*'01_專案設定_Setup'!$B$30</f>
        <v>0</v>
      </c>
      <c r="E23" s="195" t="n">
        <f aca="false">$B$7*$B$17*12*(1+$B$18)^3*'01_專案設定_Setup'!$B$30</f>
        <v>0</v>
      </c>
      <c r="F23" s="195" t="n">
        <f aca="false">$B$7*$B$17*12*(1+$B$18)^4*'01_專案設定_Setup'!$B$30</f>
        <v>0</v>
      </c>
      <c r="G23" s="195" t="n">
        <f aca="false">$B$7*$B$17*12*(1+$B$18)^5*'01_專案設定_Setup'!$B$30</f>
        <v>0</v>
      </c>
      <c r="H23" s="195" t="n">
        <f aca="false">$B$7*$B$17*12*(1+$B$18)^6*'01_專案設定_Setup'!$B$30</f>
        <v>0</v>
      </c>
      <c r="I23" s="195" t="n">
        <f aca="false">$B$7*$B$17*12*(1+$B$18)^7*'01_專案設定_Setup'!$B$30</f>
        <v>0</v>
      </c>
      <c r="J23" s="195" t="n">
        <f aca="false">$B$7*$B$17*12*(1+$B$18)^8*'01_專案設定_Setup'!$B$30</f>
        <v>0</v>
      </c>
      <c r="K23" s="195" t="n">
        <f aca="false">$B$7*$B$17*12*(1+$B$18)^9*'01_專案設定_Setup'!$B$30</f>
        <v>0</v>
      </c>
      <c r="L23" s="200" t="n">
        <f aca="false">SUMPRODUCT(B23:K23,'06_現金流_Cashflow'!C$41:L$41)</f>
        <v>0</v>
      </c>
    </row>
    <row r="24" customFormat="false" ht="15" hidden="false" customHeight="false" outlineLevel="0" collapsed="false">
      <c r="A24" s="115" t="s">
        <v>657</v>
      </c>
      <c r="B24" s="195" t="n">
        <f aca="false">$B$20*(1+$B$18)^0*'01_專案設定_Setup'!$B$30</f>
        <v>0</v>
      </c>
      <c r="C24" s="195" t="n">
        <f aca="false">$B$20*(1+$B$18)^1*'01_專案設定_Setup'!$B$30</f>
        <v>0</v>
      </c>
      <c r="D24" s="195" t="n">
        <f aca="false">$B$20*(1+$B$18)^2*'01_專案設定_Setup'!$B$30</f>
        <v>0</v>
      </c>
      <c r="E24" s="195" t="n">
        <f aca="false">$B$20*(1+$B$18)^3*'01_專案設定_Setup'!$B$30</f>
        <v>0</v>
      </c>
      <c r="F24" s="195" t="n">
        <f aca="false">$B$20*(1+$B$18)^4*'01_專案設定_Setup'!$B$30</f>
        <v>0</v>
      </c>
      <c r="G24" s="195" t="n">
        <f aca="false">$B$20*(1+$B$18)^5*'01_專案設定_Setup'!$B$30</f>
        <v>0</v>
      </c>
      <c r="H24" s="195" t="n">
        <f aca="false">$B$20*(1+$B$18)^6*'01_專案設定_Setup'!$B$30</f>
        <v>0</v>
      </c>
      <c r="I24" s="195" t="n">
        <f aca="false">$B$20*(1+$B$18)^7*'01_專案設定_Setup'!$B$30</f>
        <v>0</v>
      </c>
      <c r="J24" s="195" t="n">
        <f aca="false">$B$20*(1+$B$18)^8*'01_專案設定_Setup'!$B$30</f>
        <v>0</v>
      </c>
      <c r="K24" s="195" t="n">
        <f aca="false">$B$20*(1+$B$18)^9*'01_專案設定_Setup'!$B$30</f>
        <v>0</v>
      </c>
      <c r="L24" s="200" t="n">
        <f aca="false">SUMPRODUCT(B24:K24,'06_現金流_Cashflow'!C$41:L$41)</f>
        <v>0</v>
      </c>
    </row>
    <row r="25" customFormat="false" ht="24" hidden="false" customHeight="true" outlineLevel="0" collapsed="false">
      <c r="A25" s="201" t="s">
        <v>658</v>
      </c>
      <c r="B25" s="202" t="n">
        <f aca="false">B23+B24+$B$19*'01_專案設定_Setup'!$B$30</f>
        <v>0</v>
      </c>
      <c r="C25" s="202" t="n">
        <f aca="false">C23+C24</f>
        <v>0</v>
      </c>
      <c r="D25" s="202" t="n">
        <f aca="false">D23+D24</f>
        <v>0</v>
      </c>
      <c r="E25" s="202" t="n">
        <f aca="false">E23+E24</f>
        <v>0</v>
      </c>
      <c r="F25" s="202" t="n">
        <f aca="false">F23+F24</f>
        <v>0</v>
      </c>
      <c r="G25" s="202" t="n">
        <f aca="false">G23+G24</f>
        <v>0</v>
      </c>
      <c r="H25" s="202" t="n">
        <f aca="false">H23+H24</f>
        <v>0</v>
      </c>
      <c r="I25" s="202" t="n">
        <f aca="false">I23+I24</f>
        <v>0</v>
      </c>
      <c r="J25" s="202" t="n">
        <f aca="false">J23+J24</f>
        <v>0</v>
      </c>
      <c r="K25" s="202" t="n">
        <f aca="false">K23+K24</f>
        <v>0</v>
      </c>
      <c r="L25" s="203" t="n">
        <f aca="false">L23+L24+$B$19*'01_專案設定_Setup'!$B$30</f>
        <v>0</v>
      </c>
    </row>
    <row r="27" customFormat="false" ht="19.4" hidden="false" customHeight="false" outlineLevel="0" collapsed="false">
      <c r="A27" s="70" t="s">
        <v>659</v>
      </c>
    </row>
    <row r="28" customFormat="false" ht="42" hidden="false" customHeight="true" outlineLevel="0" collapsed="false">
      <c r="A28" s="204" t="s">
        <v>660</v>
      </c>
      <c r="B28" s="205" t="n">
        <f aca="false">L25-L14</f>
        <v>-90160.1177756233</v>
      </c>
      <c r="C28" s="205"/>
      <c r="D28" s="205"/>
      <c r="E28" s="206" t="s">
        <v>661</v>
      </c>
      <c r="F28" s="206"/>
      <c r="G28" s="206"/>
      <c r="H28" s="206"/>
      <c r="I28" s="206"/>
      <c r="J28" s="206"/>
      <c r="K28" s="206"/>
      <c r="L28" s="206"/>
    </row>
    <row r="29" customFormat="false" ht="25.5" hidden="false" customHeight="true" outlineLevel="0" collapsed="false">
      <c r="A29" s="59" t="s">
        <v>662</v>
      </c>
      <c r="B29" s="207" t="n">
        <f aca="false">IFERROR('02_投資成本_CAPEX'!$Q$64/(B25-B13-B12),"未回收")</f>
        <v>-6.2848915991236</v>
      </c>
      <c r="C29" s="105"/>
      <c r="D29" s="105"/>
      <c r="E29" s="208" t="s">
        <v>663</v>
      </c>
      <c r="F29" s="208"/>
      <c r="G29" s="208"/>
      <c r="H29" s="208"/>
      <c r="I29" s="208"/>
      <c r="J29" s="208"/>
      <c r="K29" s="208"/>
      <c r="L29" s="208"/>
    </row>
    <row r="31" customFormat="false" ht="19.4" hidden="false" customHeight="false" outlineLevel="0" collapsed="false">
      <c r="A31" s="28" t="s">
        <v>664</v>
      </c>
    </row>
    <row r="32" customFormat="false" ht="24" hidden="false" customHeight="true" outlineLevel="0" collapsed="false">
      <c r="A32" s="115" t="s">
        <v>665</v>
      </c>
      <c r="B32" s="209" t="str">
        <f aca="false">IFERROR((L14/10/12)/$B$7,"n/a")</f>
        <v>n/a</v>
      </c>
      <c r="C32" s="105"/>
      <c r="D32" s="105"/>
      <c r="E32" s="67" t="s">
        <v>666</v>
      </c>
      <c r="F32" s="67"/>
      <c r="G32" s="67"/>
      <c r="H32" s="67"/>
      <c r="I32" s="67"/>
      <c r="J32" s="67"/>
      <c r="K32" s="67"/>
      <c r="L32" s="67"/>
    </row>
    <row r="33" customFormat="false" ht="24" hidden="false" customHeight="true" outlineLevel="0" collapsed="false">
      <c r="A33" s="115" t="s">
        <v>667</v>
      </c>
      <c r="B33" s="209" t="str">
        <f aca="false">IFERROR(($B$17*'01_專案設定_Setup'!$B$30)+(($B$20*'01_專案設定_Setup'!$B$30)/12/$B$7),"n/a")</f>
        <v>n/a</v>
      </c>
      <c r="C33" s="105"/>
      <c r="D33" s="105"/>
      <c r="E33" s="67" t="s">
        <v>668</v>
      </c>
      <c r="F33" s="67"/>
      <c r="G33" s="67"/>
      <c r="H33" s="67"/>
      <c r="I33" s="67"/>
      <c r="J33" s="67"/>
      <c r="K33" s="67"/>
      <c r="L33" s="67"/>
    </row>
    <row r="34" customFormat="false" ht="24" hidden="false" customHeight="true" outlineLevel="0" collapsed="false">
      <c r="A34" s="115" t="s">
        <v>669</v>
      </c>
      <c r="B34" s="210" t="str">
        <f aca="false">IFERROR($B$33-$B$32,"n/a")</f>
        <v>n/a</v>
      </c>
      <c r="C34" s="105"/>
      <c r="D34" s="105"/>
      <c r="E34" s="67" t="s">
        <v>670</v>
      </c>
      <c r="F34" s="67"/>
      <c r="G34" s="67"/>
      <c r="H34" s="67"/>
      <c r="I34" s="67"/>
      <c r="J34" s="67"/>
      <c r="K34" s="67"/>
      <c r="L34" s="67"/>
    </row>
    <row r="35" customFormat="false" ht="24" hidden="false" customHeight="true" outlineLevel="0" collapsed="false">
      <c r="A35" s="115" t="s">
        <v>671</v>
      </c>
      <c r="B35" s="211" t="str">
        <f aca="false">IFERROR($B$32/$B$33,"n/a")</f>
        <v>n/a</v>
      </c>
      <c r="C35" s="105"/>
      <c r="D35" s="105"/>
      <c r="E35" s="67" t="s">
        <v>672</v>
      </c>
      <c r="F35" s="67"/>
      <c r="G35" s="67"/>
      <c r="H35" s="67"/>
      <c r="I35" s="67"/>
      <c r="J35" s="67"/>
      <c r="K35" s="67"/>
      <c r="L35" s="67"/>
    </row>
    <row r="37" customFormat="false" ht="19.4" hidden="false" customHeight="false" outlineLevel="0" collapsed="false">
      <c r="A37" s="28" t="s">
        <v>673</v>
      </c>
    </row>
    <row r="38" customFormat="false" ht="24" hidden="false" customHeight="true" outlineLevel="0" collapsed="false">
      <c r="A38" s="5" t="s">
        <v>674</v>
      </c>
      <c r="B38" s="5" t="s">
        <v>675</v>
      </c>
      <c r="C38" s="5" t="s">
        <v>676</v>
      </c>
      <c r="D38" s="5" t="s">
        <v>677</v>
      </c>
      <c r="E38" s="5" t="s">
        <v>678</v>
      </c>
      <c r="F38" s="5" t="s">
        <v>587</v>
      </c>
    </row>
    <row r="39" customFormat="false" ht="19.5" hidden="false" customHeight="true" outlineLevel="0" collapsed="false">
      <c r="A39" s="95" t="s">
        <v>679</v>
      </c>
      <c r="B39" s="86" t="n">
        <v>0</v>
      </c>
      <c r="C39" s="212" t="str">
        <f aca="false">IFERROR($B39/SUM($B$39:$B$46),"")</f>
        <v/>
      </c>
      <c r="D39" s="213" t="str">
        <f aca="false">IFERROR($C39*(L14/10),"")</f>
        <v/>
      </c>
      <c r="E39" s="84" t="s">
        <v>680</v>
      </c>
      <c r="F39" s="85"/>
    </row>
    <row r="40" customFormat="false" ht="19.5" hidden="false" customHeight="true" outlineLevel="0" collapsed="false">
      <c r="A40" s="85"/>
      <c r="B40" s="86"/>
      <c r="C40" s="212" t="str">
        <f aca="false">IFERROR($B40/SUM($B$39:$B$46),"")</f>
        <v/>
      </c>
      <c r="D40" s="213" t="str">
        <f aca="false">IFERROR($C40*(L14/10),"")</f>
        <v/>
      </c>
      <c r="E40" s="84"/>
      <c r="F40" s="85"/>
    </row>
    <row r="41" customFormat="false" ht="19.5" hidden="false" customHeight="true" outlineLevel="0" collapsed="false">
      <c r="A41" s="85"/>
      <c r="B41" s="86"/>
      <c r="C41" s="212" t="str">
        <f aca="false">IFERROR($B41/SUM($B$39:$B$46),"")</f>
        <v/>
      </c>
      <c r="D41" s="213" t="str">
        <f aca="false">IFERROR($C41*(L14/10),"")</f>
        <v/>
      </c>
      <c r="E41" s="84"/>
      <c r="F41" s="85"/>
    </row>
    <row r="42" customFormat="false" ht="19.5" hidden="false" customHeight="true" outlineLevel="0" collapsed="false">
      <c r="A42" s="85"/>
      <c r="B42" s="86"/>
      <c r="C42" s="212" t="str">
        <f aca="false">IFERROR($B42/SUM($B$39:$B$46),"")</f>
        <v/>
      </c>
      <c r="D42" s="213" t="str">
        <f aca="false">IFERROR($C42*(L14/10),"")</f>
        <v/>
      </c>
      <c r="E42" s="84"/>
      <c r="F42" s="85"/>
    </row>
    <row r="43" customFormat="false" ht="19.5" hidden="false" customHeight="true" outlineLevel="0" collapsed="false">
      <c r="A43" s="85"/>
      <c r="B43" s="86"/>
      <c r="C43" s="212" t="str">
        <f aca="false">IFERROR($B43/SUM($B$39:$B$46),"")</f>
        <v/>
      </c>
      <c r="D43" s="213" t="str">
        <f aca="false">IFERROR($C43*(L14/10),"")</f>
        <v/>
      </c>
      <c r="E43" s="84"/>
      <c r="F43" s="85"/>
    </row>
    <row r="44" customFormat="false" ht="19.5" hidden="false" customHeight="true" outlineLevel="0" collapsed="false">
      <c r="A44" s="85"/>
      <c r="B44" s="86"/>
      <c r="C44" s="212" t="str">
        <f aca="false">IFERROR($B44/SUM($B$39:$B$46),"")</f>
        <v/>
      </c>
      <c r="D44" s="213" t="str">
        <f aca="false">IFERROR($C44*(L14/10),"")</f>
        <v/>
      </c>
      <c r="E44" s="84"/>
      <c r="F44" s="85"/>
    </row>
    <row r="45" customFormat="false" ht="19.5" hidden="false" customHeight="true" outlineLevel="0" collapsed="false">
      <c r="A45" s="85"/>
      <c r="B45" s="86"/>
      <c r="C45" s="212" t="str">
        <f aca="false">IFERROR($B45/SUM($B$39:$B$46),"")</f>
        <v/>
      </c>
      <c r="D45" s="213" t="str">
        <f aca="false">IFERROR($C45*(L14/10),"")</f>
        <v/>
      </c>
      <c r="E45" s="84"/>
      <c r="F45" s="85"/>
    </row>
    <row r="46" customFormat="false" ht="19.5" hidden="false" customHeight="true" outlineLevel="0" collapsed="false">
      <c r="A46" s="85"/>
      <c r="B46" s="86"/>
      <c r="C46" s="212" t="str">
        <f aca="false">IFERROR($B46/SUM($B$39:$B$46),"")</f>
        <v/>
      </c>
      <c r="D46" s="213" t="str">
        <f aca="false">IFERROR($C46*(L14/10),"")</f>
        <v/>
      </c>
      <c r="E46" s="84"/>
      <c r="F46" s="85"/>
    </row>
    <row r="47" customFormat="false" ht="15" hidden="false" customHeight="false" outlineLevel="0" collapsed="false">
      <c r="A47" s="214" t="s">
        <v>681</v>
      </c>
      <c r="B47" s="215" t="n">
        <f aca="false">SUM($B$39:$B$46)</f>
        <v>0</v>
      </c>
      <c r="C47" s="216" t="n">
        <f aca="false">SUM($C$39:$C$46)</f>
        <v>0</v>
      </c>
      <c r="D47" s="217" t="n">
        <f aca="false">SUM($D$39:$D$46)</f>
        <v>0</v>
      </c>
      <c r="E47" s="96"/>
      <c r="F47" s="96"/>
    </row>
    <row r="48" customFormat="false" ht="16.15" hidden="false" customHeight="true" outlineLevel="0" collapsed="false">
      <c r="A48" s="218" t="s">
        <v>682</v>
      </c>
      <c r="B48" s="219" t="n">
        <f aca="false">COUNTA($A$39:$A$46)</f>
        <v>1</v>
      </c>
      <c r="C48" s="220" t="s">
        <v>683</v>
      </c>
      <c r="D48" s="220"/>
      <c r="E48" s="220"/>
      <c r="F48" s="220"/>
    </row>
    <row r="50" customFormat="false" ht="19.4" hidden="false" customHeight="false" outlineLevel="0" collapsed="false">
      <c r="A50" s="28" t="s">
        <v>684</v>
      </c>
    </row>
    <row r="51" customFormat="false" ht="15" hidden="false" customHeight="true" outlineLevel="0" collapsed="false">
      <c r="A51" s="221" t="s">
        <v>685</v>
      </c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</row>
    <row r="52" customFormat="false" ht="15" hidden="false" customHeight="false" outlineLevel="0" collapsed="false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</row>
    <row r="53" customFormat="false" ht="31.5" hidden="false" customHeight="true" outlineLevel="0" collapsed="false">
      <c r="A53" s="5" t="s">
        <v>686</v>
      </c>
      <c r="B53" s="5" t="s">
        <v>687</v>
      </c>
      <c r="C53" s="5" t="s">
        <v>688</v>
      </c>
      <c r="D53" s="5" t="s">
        <v>689</v>
      </c>
      <c r="E53" s="5" t="s">
        <v>587</v>
      </c>
    </row>
    <row r="54" customFormat="false" ht="19.5" hidden="false" customHeight="true" outlineLevel="0" collapsed="false">
      <c r="A54" s="95" t="s">
        <v>690</v>
      </c>
      <c r="B54" s="222" t="n">
        <v>0</v>
      </c>
      <c r="C54" s="223" t="n">
        <v>0.5</v>
      </c>
      <c r="D54" s="213" t="n">
        <f aca="false">IFERROR($B54*$C54*'01_專案設定_Setup'!$B$30,"")</f>
        <v>0</v>
      </c>
      <c r="E54" s="85"/>
      <c r="F54" s="85"/>
      <c r="G54" s="85"/>
      <c r="H54" s="85"/>
      <c r="I54" s="85"/>
      <c r="J54" s="85"/>
      <c r="K54" s="85"/>
      <c r="L54" s="85"/>
    </row>
    <row r="55" customFormat="false" ht="19.5" hidden="false" customHeight="true" outlineLevel="0" collapsed="false">
      <c r="A55" s="85"/>
      <c r="B55" s="222"/>
      <c r="C55" s="223"/>
      <c r="D55" s="213" t="n">
        <f aca="false">IFERROR($B55*$C55*'01_專案設定_Setup'!$B$30,"")</f>
        <v>0</v>
      </c>
      <c r="E55" s="85"/>
      <c r="F55" s="85"/>
      <c r="G55" s="85"/>
      <c r="H55" s="85"/>
      <c r="I55" s="85"/>
      <c r="J55" s="85"/>
      <c r="K55" s="85"/>
      <c r="L55" s="85"/>
    </row>
    <row r="56" customFormat="false" ht="19.5" hidden="false" customHeight="true" outlineLevel="0" collapsed="false">
      <c r="A56" s="85"/>
      <c r="B56" s="222"/>
      <c r="C56" s="223"/>
      <c r="D56" s="213" t="n">
        <f aca="false">IFERROR($B56*$C56*'01_專案設定_Setup'!$B$30,"")</f>
        <v>0</v>
      </c>
      <c r="E56" s="85"/>
      <c r="F56" s="85"/>
      <c r="G56" s="85"/>
      <c r="H56" s="85"/>
      <c r="I56" s="85"/>
      <c r="J56" s="85"/>
      <c r="K56" s="85"/>
      <c r="L56" s="85"/>
    </row>
    <row r="57" customFormat="false" ht="19.5" hidden="false" customHeight="true" outlineLevel="0" collapsed="false">
      <c r="A57" s="85"/>
      <c r="B57" s="222"/>
      <c r="C57" s="223"/>
      <c r="D57" s="213" t="n">
        <f aca="false">IFERROR($B57*$C57*'01_專案設定_Setup'!$B$30,"")</f>
        <v>0</v>
      </c>
      <c r="E57" s="85"/>
      <c r="F57" s="85"/>
      <c r="G57" s="85"/>
      <c r="H57" s="85"/>
      <c r="I57" s="85"/>
      <c r="J57" s="85"/>
      <c r="K57" s="85"/>
      <c r="L57" s="85"/>
    </row>
    <row r="58" customFormat="false" ht="19.5" hidden="false" customHeight="true" outlineLevel="0" collapsed="false">
      <c r="A58" s="85"/>
      <c r="B58" s="222"/>
      <c r="C58" s="223"/>
      <c r="D58" s="213" t="n">
        <f aca="false">IFERROR($B58*$C58*'01_專案設定_Setup'!$B$30,"")</f>
        <v>0</v>
      </c>
      <c r="E58" s="85"/>
      <c r="F58" s="85"/>
      <c r="G58" s="85"/>
      <c r="H58" s="85"/>
      <c r="I58" s="85"/>
      <c r="J58" s="85"/>
      <c r="K58" s="85"/>
      <c r="L58" s="85"/>
    </row>
    <row r="59" customFormat="false" ht="16.4" hidden="false" customHeight="false" outlineLevel="0" collapsed="false">
      <c r="A59" s="224" t="s">
        <v>691</v>
      </c>
      <c r="B59" s="225"/>
      <c r="C59" s="225"/>
      <c r="D59" s="226" t="n">
        <f aca="false">SUM($D$54:$D$58)</f>
        <v>0</v>
      </c>
      <c r="E59" s="225"/>
      <c r="F59" s="225"/>
      <c r="G59" s="225"/>
      <c r="H59" s="225"/>
      <c r="I59" s="225"/>
      <c r="J59" s="225"/>
      <c r="K59" s="225"/>
      <c r="L59" s="225"/>
    </row>
    <row r="61" customFormat="false" ht="19.4" hidden="false" customHeight="false" outlineLevel="0" collapsed="false">
      <c r="A61" s="70" t="s">
        <v>692</v>
      </c>
    </row>
    <row r="62" customFormat="false" ht="25.5" hidden="false" customHeight="true" outlineLevel="0" collapsed="false">
      <c r="A62" s="227" t="str">
        <f aca="false">IF(L25=0,"⚠ 尚未填寫外租方案的比較資料——請先填 C 區塊，否則本頁無法給出結論。",IF($B$28&lt;=0,"✕ 不建議自建：外租的十年總持有成本低於自建。應改採外租，把資本留給能直接產生收入的專案。",IF($B$48&lt;2,"△ 條件不足：ΔTCO 為正，但目前只承載 "&amp;$B$48&amp;" 個專案。只服務單一專案的平台本質上是該專案的成本——建議先確認第 2 個承載專案，或把本案的建置成本併入該專案一起評估。","○ 建議自建：自建的十年總持有成本低於外租（ΔTCO 為正），單位服務成本低於市場外購價，且承載專案數已達 "&amp;$B$48&amp;" 個。★ 送投資決策時請以本頁的 ΔTCO 為主要指標，並在主工具 10 決策紀錄中把本案登記為「使能型投資 Enabling investment」——它的價值在於讓其他專案得以成立，不在於自己賺錢。")))</f>
        <v>⚠ 尚未填寫外租方案的比較資料——請先填 C 區塊，否則本頁無法給出結論。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</row>
    <row r="63" customFormat="false" ht="25.5" hidden="false" customHeight="true" outlineLevel="0" collapsed="false">
      <c r="A63" s="227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</row>
    <row r="64" customFormat="false" ht="25.5" hidden="false" customHeight="true" outlineLevel="0" collapsed="false">
      <c r="A64" s="227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</row>
  </sheetData>
  <sheetProtection sheet="true" formatCells="false" formatColumns="false" formatRows="false" insertRows="false" deleteRows="false" sort="false" autoFilter="false"/>
  <mergeCells count="26">
    <mergeCell ref="A1:L1"/>
    <mergeCell ref="A2:L2"/>
    <mergeCell ref="A3:L3"/>
    <mergeCell ref="C5:L5"/>
    <mergeCell ref="C6:L6"/>
    <mergeCell ref="C7:L7"/>
    <mergeCell ref="C8:L8"/>
    <mergeCell ref="C17:L17"/>
    <mergeCell ref="C18:L18"/>
    <mergeCell ref="C19:L19"/>
    <mergeCell ref="C20:L20"/>
    <mergeCell ref="B28:D28"/>
    <mergeCell ref="E28:L28"/>
    <mergeCell ref="E29:L29"/>
    <mergeCell ref="E32:L32"/>
    <mergeCell ref="E33:L33"/>
    <mergeCell ref="E34:L34"/>
    <mergeCell ref="E35:L35"/>
    <mergeCell ref="C48:F48"/>
    <mergeCell ref="A51:L52"/>
    <mergeCell ref="E54:L54"/>
    <mergeCell ref="E55:L55"/>
    <mergeCell ref="E56:L56"/>
    <mergeCell ref="E57:L57"/>
    <mergeCell ref="E58:L58"/>
    <mergeCell ref="A62:L64"/>
  </mergeCells>
  <conditionalFormatting sqref="B28">
    <cfRule type="cellIs" priority="2" operator="lessThan" aboveAverage="0" equalAverage="0" bottom="0" percent="0" rank="0" text="" dxfId="5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E39:E46" type="list">
      <formula1>L_Alloc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&amp;L09_使能型評估_EnablingCase</oddHead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693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694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1" t="s">
        <v>695</v>
      </c>
      <c r="B4" s="228" t="str">
        <f aca="false">'01_專案設定_Setup'!$B$5</f>
        <v>B醫院 500床 HIS／EMR 以租代購 一期（模擬案）</v>
      </c>
      <c r="C4" s="161"/>
      <c r="D4" s="161"/>
      <c r="E4" s="161"/>
      <c r="F4" s="161"/>
      <c r="G4" s="161"/>
    </row>
    <row r="5" customFormat="false" ht="21.75" hidden="false" customHeight="true" outlineLevel="0" collapsed="false">
      <c r="A5" s="31" t="s">
        <v>117</v>
      </c>
      <c r="B5" s="228" t="str">
        <f aca="false">'01_專案設定_Setup'!$B$6</f>
        <v>CAP-033 HIS／EMR核心平台</v>
      </c>
      <c r="C5" s="161"/>
      <c r="D5" s="161"/>
      <c r="E5" s="161"/>
      <c r="F5" s="161"/>
      <c r="G5" s="161"/>
    </row>
    <row r="6" customFormat="false" ht="21.75" hidden="false" customHeight="true" outlineLevel="0" collapsed="false">
      <c r="A6" s="31" t="s">
        <v>696</v>
      </c>
      <c r="B6" s="228" t="str">
        <f aca="false">'01_專案設定_Setup'!$B$7</f>
        <v>P-007 醫療資訊整合商（＋群晶科技：承載環境）</v>
      </c>
      <c r="C6" s="161"/>
      <c r="D6" s="161"/>
      <c r="E6" s="161"/>
      <c r="F6" s="161"/>
      <c r="G6" s="161"/>
    </row>
    <row r="7" customFormat="false" ht="21.75" hidden="false" customHeight="true" outlineLevel="0" collapsed="false">
      <c r="A7" s="152" t="s">
        <v>697</v>
      </c>
      <c r="B7" s="229" t="str">
        <f aca="false">'01_專案設定_Setup'!$B$9</f>
        <v>F 策略布局型 Strategic / Option</v>
      </c>
      <c r="C7" s="67" t="s">
        <v>698</v>
      </c>
      <c r="D7" s="67"/>
      <c r="E7" s="67"/>
      <c r="F7" s="67"/>
      <c r="G7" s="67"/>
    </row>
    <row r="8" customFormat="false" ht="21.75" hidden="false" customHeight="true" outlineLevel="0" collapsed="false">
      <c r="A8" s="152" t="s">
        <v>147</v>
      </c>
      <c r="B8" s="230" t="str">
        <f aca="false">IFERROR(INDEX(_CatMetric,MATCH('01_專案設定_Setup'!$B$9,_CatName,0)),"")</f>
        <v>選擇權價值／階段關卡達成率</v>
      </c>
      <c r="C8" s="67"/>
      <c r="D8" s="67"/>
      <c r="E8" s="67"/>
      <c r="F8" s="67"/>
      <c r="G8" s="67"/>
    </row>
    <row r="9" customFormat="false" ht="21.75" hidden="false" customHeight="true" outlineLevel="0" collapsed="false">
      <c r="A9" s="31" t="s">
        <v>699</v>
      </c>
      <c r="B9" s="228" t="str">
        <f aca="false">'01_專案設定_Setup'!$B$31&amp;" / "&amp;'01_專案設定_Setup'!$B$34&amp;" 年"</f>
        <v>TWD 千 / 10 年</v>
      </c>
      <c r="C9" s="67"/>
      <c r="D9" s="67"/>
      <c r="E9" s="67"/>
      <c r="F9" s="67"/>
      <c r="G9" s="67"/>
    </row>
    <row r="10" customFormat="false" ht="21.75" hidden="false" customHeight="true" outlineLevel="0" collapsed="false">
      <c r="A10" s="31" t="s">
        <v>700</v>
      </c>
      <c r="B10" s="231" t="n">
        <f aca="false">'01_專案設定_Setup'!$B$48</f>
        <v>0.119946971428571</v>
      </c>
      <c r="C10" s="67" t="s">
        <v>701</v>
      </c>
      <c r="D10" s="67"/>
      <c r="E10" s="67"/>
      <c r="F10" s="67"/>
      <c r="G10" s="67"/>
    </row>
    <row r="12" customFormat="false" ht="15" hidden="false" customHeight="false" outlineLevel="0" collapsed="false">
      <c r="A12" s="3" t="s">
        <v>702</v>
      </c>
    </row>
    <row r="13" customFormat="false" ht="25.5" hidden="false" customHeight="true" outlineLevel="0" collapsed="false">
      <c r="A13" s="31" t="s">
        <v>703</v>
      </c>
      <c r="B13" s="232" t="n">
        <f aca="false">'02_投資成本_CAPEX'!$Q$64</f>
        <v>41019.602</v>
      </c>
      <c r="C13" s="67" t="s">
        <v>704</v>
      </c>
      <c r="D13" s="67"/>
      <c r="E13" s="67"/>
      <c r="F13" s="67"/>
      <c r="G13" s="67"/>
    </row>
    <row r="14" customFormat="false" ht="25.5" hidden="false" customHeight="true" outlineLevel="0" collapsed="false">
      <c r="A14" s="31" t="s">
        <v>705</v>
      </c>
      <c r="B14" s="232" t="n">
        <f aca="false">'03_營運成本_OPEX'!$J$35</f>
        <v>6720.5</v>
      </c>
      <c r="C14" s="67"/>
      <c r="D14" s="67"/>
      <c r="E14" s="67"/>
      <c r="F14" s="67"/>
      <c r="G14" s="67"/>
    </row>
    <row r="15" customFormat="false" ht="25.5" hidden="false" customHeight="true" outlineLevel="0" collapsed="false">
      <c r="A15" s="31" t="s">
        <v>706</v>
      </c>
      <c r="B15" s="232" t="n">
        <f aca="false">'04_收入產能_Revenue'!$B$31</f>
        <v>10968</v>
      </c>
      <c r="C15" s="67" t="s">
        <v>707</v>
      </c>
      <c r="D15" s="67"/>
      <c r="E15" s="67"/>
      <c r="F15" s="67"/>
      <c r="G15" s="67"/>
    </row>
    <row r="16" customFormat="false" ht="25.5" hidden="false" customHeight="true" outlineLevel="0" collapsed="false">
      <c r="A16" s="233" t="s">
        <v>498</v>
      </c>
      <c r="B16" s="234" t="n">
        <f aca="false">'06_現金流_Cashflow'!$B$46</f>
        <v>-25766.1719270192</v>
      </c>
      <c r="C16" s="67"/>
      <c r="D16" s="67"/>
      <c r="E16" s="67"/>
      <c r="F16" s="67"/>
      <c r="G16" s="67"/>
    </row>
    <row r="17" customFormat="false" ht="25.5" hidden="false" customHeight="true" outlineLevel="0" collapsed="false">
      <c r="A17" s="233" t="s">
        <v>502</v>
      </c>
      <c r="B17" s="235" t="n">
        <f aca="false">'06_現金流_Cashflow'!$B$48</f>
        <v>0.00867740197912537</v>
      </c>
      <c r="C17" s="67" t="s">
        <v>708</v>
      </c>
      <c r="D17" s="67"/>
      <c r="E17" s="67"/>
      <c r="F17" s="67"/>
      <c r="G17" s="67"/>
    </row>
    <row r="18" customFormat="false" ht="21.75" hidden="false" customHeight="true" outlineLevel="0" collapsed="false">
      <c r="A18" s="236" t="s">
        <v>709</v>
      </c>
      <c r="B18" s="237" t="n">
        <f aca="false">'06_現金流_Cashflow'!$B$47</f>
        <v>-0.0271213878621312</v>
      </c>
      <c r="C18" s="67"/>
      <c r="D18" s="67"/>
      <c r="E18" s="67"/>
      <c r="F18" s="67"/>
      <c r="G18" s="67"/>
    </row>
    <row r="19" customFormat="false" ht="25.5" hidden="false" customHeight="true" outlineLevel="0" collapsed="false">
      <c r="A19" s="238" t="s">
        <v>504</v>
      </c>
      <c r="B19" s="239" t="n">
        <f aca="false">'06_現金流_Cashflow'!$B$49</f>
        <v>0.371857095858238</v>
      </c>
      <c r="C19" s="67" t="s">
        <v>710</v>
      </c>
      <c r="D19" s="67"/>
      <c r="E19" s="67"/>
      <c r="F19" s="67"/>
      <c r="G19" s="67"/>
    </row>
    <row r="20" customFormat="false" ht="25.5" hidden="false" customHeight="true" outlineLevel="0" collapsed="false">
      <c r="A20" s="152" t="s">
        <v>506</v>
      </c>
      <c r="B20" s="240" t="str">
        <f aca="false">'06_現金流_Cashflow'!$B$50</f>
        <v>未回收</v>
      </c>
      <c r="C20" s="67"/>
      <c r="D20" s="67"/>
      <c r="E20" s="67"/>
      <c r="F20" s="67"/>
      <c r="G20" s="67"/>
    </row>
    <row r="21" customFormat="false" ht="21.75" hidden="false" customHeight="true" outlineLevel="0" collapsed="false">
      <c r="A21" s="241" t="s">
        <v>510</v>
      </c>
      <c r="B21" s="242" t="n">
        <f aca="false">'06_現金流_Cashflow'!$B$52</f>
        <v>0.0239713252841337</v>
      </c>
      <c r="C21" s="67" t="s">
        <v>711</v>
      </c>
      <c r="D21" s="67"/>
      <c r="E21" s="67"/>
      <c r="F21" s="67"/>
      <c r="G21" s="67"/>
    </row>
    <row r="23" customFormat="false" ht="19.4" hidden="false" customHeight="false" outlineLevel="0" collapsed="false">
      <c r="A23" s="243" t="s">
        <v>712</v>
      </c>
    </row>
    <row r="24" customFormat="false" ht="25.5" hidden="false" customHeight="true" outlineLevel="0" collapsed="false">
      <c r="A24" s="233" t="s">
        <v>713</v>
      </c>
      <c r="B24" s="244" t="str">
        <f aca="false">IF(INDEX(_CatCode,MATCH('01_專案設定_Setup'!$B$9,_CatName,0))&lt;&gt;"DTCO","—　本案投資類別非「B 使能型」，本段不適用",'09_使能型評估_EnablingCase'!$B$28)</f>
        <v>—　本案投資類別非「B 使能型」，本段不適用</v>
      </c>
      <c r="C24" s="67" t="s">
        <v>714</v>
      </c>
      <c r="D24" s="67"/>
      <c r="E24" s="67"/>
      <c r="F24" s="67"/>
      <c r="G24" s="67"/>
    </row>
    <row r="25" customFormat="false" ht="25.5" hidden="false" customHeight="true" outlineLevel="0" collapsed="false">
      <c r="A25" s="233" t="s">
        <v>662</v>
      </c>
      <c r="B25" s="245" t="str">
        <f aca="false">IF(INDEX(_CatCode,MATCH('01_專案設定_Setup'!$B$9,_CatName,0))&lt;&gt;"DTCO","—　本案投資類別非「B 使能型」，本段不適用",'09_使能型評估_EnablingCase'!$B$29)</f>
        <v>—　本案投資類別非「B 使能型」，本段不適用</v>
      </c>
      <c r="C25" s="67"/>
      <c r="D25" s="67"/>
      <c r="E25" s="67"/>
      <c r="F25" s="67"/>
      <c r="G25" s="67"/>
    </row>
    <row r="26" customFormat="false" ht="21.75" hidden="false" customHeight="true" outlineLevel="0" collapsed="false">
      <c r="A26" s="236" t="s">
        <v>715</v>
      </c>
      <c r="B26" s="246" t="str">
        <f aca="false">IF(INDEX(_CatCode,MATCH('01_專案設定_Setup'!$B$9,_CatName,0))&lt;&gt;"DTCO","—　本案投資類別非「B 使能型」，本段不適用",'09_使能型評估_EnablingCase'!$B$48)</f>
        <v>—　本案投資類別非「B 使能型」，本段不適用</v>
      </c>
      <c r="C26" s="67" t="s">
        <v>716</v>
      </c>
      <c r="D26" s="67"/>
      <c r="E26" s="67"/>
      <c r="F26" s="67"/>
      <c r="G26" s="67"/>
    </row>
    <row r="27" customFormat="false" ht="21.75" hidden="false" customHeight="true" outlineLevel="0" collapsed="false">
      <c r="A27" s="236" t="s">
        <v>717</v>
      </c>
      <c r="B27" s="247" t="str">
        <f aca="false">IF(INDEX(_CatCode,MATCH('01_專案設定_Setup'!$B$9,_CatName,0))&lt;&gt;"DTCO","—　本案投資類別非「B 使能型」，本段不適用",'09_使能型評估_EnablingCase'!$D$59)</f>
        <v>—　本案投資類別非「B 使能型」，本段不適用</v>
      </c>
      <c r="C27" s="67" t="s">
        <v>718</v>
      </c>
      <c r="D27" s="67"/>
      <c r="E27" s="67"/>
      <c r="F27" s="67"/>
      <c r="G27" s="67"/>
    </row>
    <row r="29" customFormat="false" ht="19.4" hidden="false" customHeight="false" outlineLevel="0" collapsed="false">
      <c r="A29" s="248" t="s">
        <v>719</v>
      </c>
    </row>
    <row r="30" customFormat="false" ht="25.5" hidden="false" customHeight="true" outlineLevel="0" collapsed="false">
      <c r="A30" s="249" t="str">
        <f aca="false">IF(INDEX(_CatCode,MATCH('01_專案設定_Setup'!$B$9,_CatName,0))="DTCO",'09_使能型評估_EnablingCase'!$A$62,IF(INDEX(_CatCode,MATCH('01_專案設定_Setup'!$B$9,_CatName,0))="MINCOST","【法規強制型】本案的問題不是「划不划算」而是「不做的代價是什麼」。投資額 "&amp;TEXT($B$13,"#,##0")&amp;"。請在 11 分頁明確登錄：①法源與期限 ②不做的罰則或停業風險 ③至少三家供應商的比價，並確認本方案是在合規前提下的最低總成本。NPV 為負屬正常，不構成否決理由。",IF(INDEX(_CatCode,MATCH('01_專案設定_Setup'!$B$9,_CatName,0))="LCC","【汰換維持型】本案是維持營運不中斷的必要支出，不應以 NPV 論斷。請確認：①現有資產的剩餘壽命與故障率 ②不汰換的停機風險成本 ③同規格中已取得最低生命週期成本。投資額 "&amp;TEXT($B$13,"#,##0")&amp;"，折現回收期 "&amp;TEXT($B$20,"0.0")&amp;" 年。",IF(INDEX(_CatCode,MATCH('01_專案設定_Setup'!$B$9,_CatName,0))="OPTION","【策略布局型】本案的價值在於取得未來機會與參考案例，現金流本來就高度不確定。★ 不要一次核定全額——請改用分階段關卡：把 "&amp;TEXT($B$13,"#,##0")&amp;" 拆成 2–3 期，每期設定可量測的續投條件（例如：第一期只做到取得醫院簽署的意向書與試點驗收）。目前 NPV "&amp;TEXT($B$16,"#,##0")&amp;"。",IF($B$16&lt;=0,"✕ 不建議：NPV 為負，在目前折現率下無法回收。請看 08 分頁的龍捲風圖找出最致命的變數，並確認投資類別是否選對——若本案其實是使能型或法規強制型，就不該用 NPV 這把尺。",IF(IFERROR($B$17,0)&lt;'01_專案設定_Setup'!$B$48,"△ 條件不足：MIRR 低於折現率，報酬未超過機會成本。同一筆錢投別的案子更划算，除非有策略價值。",IF($B$19&lt;1,"△ 條件不足：獲利指數低於 1。",IF(IFERROR($B$20,99)&gt;7,"△ 可行但偏慢：NPV 為正、MIRR 高於門檻，但折現回收期超過 7 年。務必確認合約年限涵蓋回收期，否則合約到期時錢還沒收回來。","○ 建議推進：NPV 為正、MIRR 高於折現率、獲利指數大於 1、回收期在合理範圍。下一步進入主工具 WP-09 投資決策。"))))))))</f>
        <v>【策略布局型】本案的價值在於取得未來機會與參考案例，現金流本來就高度不確定。★ 不要一次核定全額——請改用分階段關卡：把 41,020 拆成 2–3 期，每期設定可量測的續投條件（例如：第一期只做到取得醫院簽署的意向書與試點驗收）。目前 NPV -25,766。</v>
      </c>
      <c r="B30" s="249"/>
      <c r="C30" s="249"/>
      <c r="D30" s="249"/>
      <c r="E30" s="249"/>
      <c r="F30" s="249"/>
      <c r="G30" s="249"/>
    </row>
    <row r="31" customFormat="false" ht="25.5" hidden="false" customHeight="true" outlineLevel="0" collapsed="false">
      <c r="A31" s="249"/>
      <c r="B31" s="249"/>
      <c r="C31" s="249"/>
      <c r="D31" s="249"/>
      <c r="E31" s="249"/>
      <c r="F31" s="249"/>
      <c r="G31" s="249"/>
    </row>
    <row r="32" customFormat="false" ht="25.5" hidden="false" customHeight="true" outlineLevel="0" collapsed="false">
      <c r="A32" s="249"/>
      <c r="B32" s="249"/>
      <c r="C32" s="249"/>
      <c r="D32" s="249"/>
      <c r="E32" s="249"/>
      <c r="F32" s="249"/>
      <c r="G32" s="249"/>
    </row>
    <row r="33" customFormat="false" ht="25.5" hidden="false" customHeight="true" outlineLevel="0" collapsed="false">
      <c r="A33" s="249"/>
      <c r="B33" s="249"/>
      <c r="C33" s="249"/>
      <c r="D33" s="249"/>
      <c r="E33" s="249"/>
      <c r="F33" s="249"/>
      <c r="G33" s="249"/>
    </row>
    <row r="35" customFormat="false" ht="15" hidden="false" customHeight="false" outlineLevel="0" collapsed="false">
      <c r="A35" s="3" t="s">
        <v>720</v>
      </c>
    </row>
    <row r="36" customFormat="false" ht="37.5" hidden="false" customHeight="true" outlineLevel="0" collapsed="false">
      <c r="A36" s="250" t="s">
        <v>721</v>
      </c>
      <c r="B36" s="250"/>
      <c r="C36" s="250"/>
      <c r="D36" s="250"/>
      <c r="E36" s="250"/>
      <c r="F36" s="250"/>
      <c r="G36" s="250"/>
    </row>
    <row r="37" customFormat="false" ht="37.5" hidden="false" customHeight="true" outlineLevel="0" collapsed="false">
      <c r="A37" s="250" t="s">
        <v>722</v>
      </c>
      <c r="B37" s="250"/>
      <c r="C37" s="250"/>
      <c r="D37" s="250"/>
      <c r="E37" s="250"/>
      <c r="F37" s="250"/>
      <c r="G37" s="250"/>
    </row>
    <row r="38" customFormat="false" ht="37.5" hidden="false" customHeight="true" outlineLevel="0" collapsed="false">
      <c r="A38" s="250" t="s">
        <v>723</v>
      </c>
      <c r="B38" s="250"/>
      <c r="C38" s="250"/>
      <c r="D38" s="250"/>
      <c r="E38" s="250"/>
      <c r="F38" s="250"/>
      <c r="G38" s="250"/>
    </row>
    <row r="39" customFormat="false" ht="37.5" hidden="false" customHeight="true" outlineLevel="0" collapsed="false">
      <c r="A39" s="250" t="s">
        <v>724</v>
      </c>
      <c r="B39" s="250"/>
      <c r="C39" s="250"/>
      <c r="D39" s="250"/>
      <c r="E39" s="250"/>
      <c r="F39" s="250"/>
      <c r="G39" s="250"/>
    </row>
    <row r="40" customFormat="false" ht="37.5" hidden="false" customHeight="true" outlineLevel="0" collapsed="false">
      <c r="A40" s="250" t="s">
        <v>725</v>
      </c>
      <c r="B40" s="250"/>
      <c r="C40" s="250"/>
      <c r="D40" s="250"/>
      <c r="E40" s="250"/>
      <c r="F40" s="250"/>
      <c r="G40" s="250"/>
    </row>
    <row r="41" customFormat="false" ht="37.5" hidden="false" customHeight="true" outlineLevel="0" collapsed="false">
      <c r="A41" s="250" t="s">
        <v>726</v>
      </c>
      <c r="B41" s="250"/>
      <c r="C41" s="250"/>
      <c r="D41" s="250"/>
      <c r="E41" s="250"/>
      <c r="F41" s="250"/>
      <c r="G41" s="250"/>
    </row>
    <row r="42" customFormat="false" ht="37.5" hidden="false" customHeight="true" outlineLevel="0" collapsed="false">
      <c r="A42" s="250" t="s">
        <v>727</v>
      </c>
      <c r="B42" s="250"/>
      <c r="C42" s="250"/>
      <c r="D42" s="250"/>
      <c r="E42" s="250"/>
      <c r="F42" s="250"/>
      <c r="G42" s="250"/>
    </row>
    <row r="44" customFormat="false" ht="15" hidden="false" customHeight="false" outlineLevel="0" collapsed="false">
      <c r="A44" s="3" t="s">
        <v>728</v>
      </c>
    </row>
    <row r="45" customFormat="false" ht="30" hidden="false" customHeight="true" outlineLevel="0" collapsed="false">
      <c r="A45" s="64" t="s">
        <v>729</v>
      </c>
      <c r="B45" s="251" t="s">
        <v>730</v>
      </c>
      <c r="C45" s="251"/>
      <c r="D45" s="251"/>
      <c r="E45" s="251"/>
      <c r="F45" s="251"/>
      <c r="G45" s="251"/>
    </row>
    <row r="46" customFormat="false" ht="30" hidden="false" customHeight="true" outlineLevel="0" collapsed="false">
      <c r="A46" s="64" t="s">
        <v>729</v>
      </c>
      <c r="B46" s="252" t="s">
        <v>731</v>
      </c>
      <c r="C46" s="252"/>
      <c r="D46" s="252"/>
      <c r="E46" s="252"/>
      <c r="F46" s="252"/>
      <c r="G46" s="252"/>
    </row>
    <row r="47" customFormat="false" ht="30" hidden="false" customHeight="true" outlineLevel="0" collapsed="false">
      <c r="A47" s="64" t="s">
        <v>729</v>
      </c>
      <c r="B47" s="252" t="s">
        <v>732</v>
      </c>
      <c r="C47" s="252"/>
      <c r="D47" s="252"/>
      <c r="E47" s="252"/>
      <c r="F47" s="252"/>
      <c r="G47" s="252"/>
    </row>
    <row r="48" customFormat="false" ht="30" hidden="false" customHeight="true" outlineLevel="0" collapsed="false">
      <c r="A48" s="64" t="s">
        <v>729</v>
      </c>
      <c r="B48" s="252" t="s">
        <v>733</v>
      </c>
      <c r="C48" s="252"/>
      <c r="D48" s="252"/>
      <c r="E48" s="252"/>
      <c r="F48" s="252"/>
      <c r="G48" s="252"/>
    </row>
    <row r="49" customFormat="false" ht="30" hidden="false" customHeight="true" outlineLevel="0" collapsed="false">
      <c r="A49" s="64" t="s">
        <v>729</v>
      </c>
      <c r="B49" s="252" t="s">
        <v>734</v>
      </c>
      <c r="C49" s="252"/>
      <c r="D49" s="252"/>
      <c r="E49" s="252"/>
      <c r="F49" s="252"/>
      <c r="G49" s="252"/>
    </row>
    <row r="50" customFormat="false" ht="30" hidden="false" customHeight="true" outlineLevel="0" collapsed="false">
      <c r="A50" s="64" t="s">
        <v>729</v>
      </c>
      <c r="B50" s="251" t="s">
        <v>735</v>
      </c>
      <c r="C50" s="251"/>
      <c r="D50" s="251"/>
      <c r="E50" s="251"/>
      <c r="F50" s="251"/>
      <c r="G50" s="251"/>
    </row>
    <row r="51" customFormat="false" ht="30" hidden="false" customHeight="true" outlineLevel="0" collapsed="false">
      <c r="A51" s="64" t="s">
        <v>729</v>
      </c>
      <c r="B51" s="252" t="s">
        <v>736</v>
      </c>
      <c r="C51" s="252"/>
      <c r="D51" s="252"/>
      <c r="E51" s="252"/>
      <c r="F51" s="252"/>
      <c r="G51" s="252"/>
    </row>
    <row r="52" customFormat="false" ht="30" hidden="false" customHeight="true" outlineLevel="0" collapsed="false">
      <c r="A52" s="64" t="s">
        <v>729</v>
      </c>
      <c r="B52" s="252" t="s">
        <v>737</v>
      </c>
      <c r="C52" s="252"/>
      <c r="D52" s="252"/>
      <c r="E52" s="252"/>
      <c r="F52" s="252"/>
      <c r="G52" s="252"/>
    </row>
    <row r="53" customFormat="false" ht="30" hidden="false" customHeight="true" outlineLevel="0" collapsed="false">
      <c r="A53" s="64" t="s">
        <v>729</v>
      </c>
      <c r="B53" s="251" t="s">
        <v>738</v>
      </c>
      <c r="C53" s="251"/>
      <c r="D53" s="251"/>
      <c r="E53" s="251"/>
      <c r="F53" s="251"/>
      <c r="G53" s="251"/>
    </row>
    <row r="54" customFormat="false" ht="30" hidden="false" customHeight="true" outlineLevel="0" collapsed="false">
      <c r="A54" s="64" t="s">
        <v>729</v>
      </c>
      <c r="B54" s="252" t="s">
        <v>739</v>
      </c>
      <c r="C54" s="252"/>
      <c r="D54" s="252"/>
      <c r="E54" s="252"/>
      <c r="F54" s="252"/>
      <c r="G54" s="252"/>
    </row>
  </sheetData>
  <sheetProtection sheet="true" formatCells="false" formatColumns="false" formatRows="false" insertRows="false" deleteRows="false" sort="false" autoFilter="false"/>
  <mergeCells count="40">
    <mergeCell ref="A1:H1"/>
    <mergeCell ref="A2:H2"/>
    <mergeCell ref="C4:G4"/>
    <mergeCell ref="C5:G5"/>
    <mergeCell ref="C6:G6"/>
    <mergeCell ref="C7:G7"/>
    <mergeCell ref="C8:G8"/>
    <mergeCell ref="C9:G9"/>
    <mergeCell ref="C10:G10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4:G24"/>
    <mergeCell ref="C25:G25"/>
    <mergeCell ref="C26:G26"/>
    <mergeCell ref="C27:G27"/>
    <mergeCell ref="A30:G33"/>
    <mergeCell ref="A36:G36"/>
    <mergeCell ref="A37:G37"/>
    <mergeCell ref="A38:G38"/>
    <mergeCell ref="A39:G39"/>
    <mergeCell ref="A40:G40"/>
    <mergeCell ref="A41:G41"/>
    <mergeCell ref="A42:G42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&amp;L10_決策摘要_Summary</oddHeader>
    <oddFooter>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6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740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741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5" t="s">
        <v>742</v>
      </c>
      <c r="B4" s="5" t="s">
        <v>743</v>
      </c>
      <c r="C4" s="5" t="s">
        <v>744</v>
      </c>
      <c r="D4" s="5" t="s">
        <v>745</v>
      </c>
      <c r="E4" s="5" t="s">
        <v>746</v>
      </c>
      <c r="F4" s="5" t="s">
        <v>747</v>
      </c>
      <c r="G4" s="5" t="s">
        <v>748</v>
      </c>
    </row>
    <row r="5" customFormat="false" ht="33.75" hidden="false" customHeight="true" outlineLevel="0" collapsed="false">
      <c r="A5" s="253" t="s">
        <v>749</v>
      </c>
      <c r="B5" s="254" t="s">
        <v>750</v>
      </c>
      <c r="C5" s="253" t="s">
        <v>751</v>
      </c>
      <c r="D5" s="255" t="s">
        <v>752</v>
      </c>
      <c r="E5" s="256" t="s">
        <v>753</v>
      </c>
      <c r="F5" s="253" t="s">
        <v>754</v>
      </c>
      <c r="G5" s="253" t="s">
        <v>755</v>
      </c>
    </row>
    <row r="6" customFormat="false" ht="33.75" hidden="false" customHeight="true" outlineLevel="0" collapsed="false">
      <c r="A6" s="253" t="s">
        <v>756</v>
      </c>
      <c r="B6" s="254" t="s">
        <v>757</v>
      </c>
      <c r="C6" s="255" t="s">
        <v>758</v>
      </c>
      <c r="D6" s="255" t="s">
        <v>759</v>
      </c>
      <c r="E6" s="256" t="s">
        <v>760</v>
      </c>
      <c r="F6" s="253" t="s">
        <v>754</v>
      </c>
      <c r="G6" s="253" t="s">
        <v>755</v>
      </c>
    </row>
    <row r="7" customFormat="false" ht="33.75" hidden="false" customHeight="true" outlineLevel="0" collapsed="false">
      <c r="A7" s="253" t="s">
        <v>761</v>
      </c>
      <c r="B7" s="254" t="s">
        <v>762</v>
      </c>
      <c r="C7" s="253" t="s">
        <v>763</v>
      </c>
      <c r="D7" s="255" t="s">
        <v>764</v>
      </c>
      <c r="E7" s="256" t="s">
        <v>765</v>
      </c>
      <c r="F7" s="253" t="s">
        <v>754</v>
      </c>
      <c r="G7" s="253" t="s">
        <v>766</v>
      </c>
    </row>
    <row r="8" customFormat="false" ht="33.75" hidden="false" customHeight="true" outlineLevel="0" collapsed="false">
      <c r="A8" s="253" t="s">
        <v>767</v>
      </c>
      <c r="B8" s="254" t="s">
        <v>768</v>
      </c>
      <c r="C8" s="253" t="s">
        <v>769</v>
      </c>
      <c r="D8" s="255" t="s">
        <v>764</v>
      </c>
      <c r="E8" s="257" t="s">
        <v>770</v>
      </c>
      <c r="F8" s="253" t="s">
        <v>754</v>
      </c>
      <c r="G8" s="253" t="s">
        <v>766</v>
      </c>
    </row>
    <row r="9" customFormat="false" ht="33.75" hidden="false" customHeight="true" outlineLevel="0" collapsed="false">
      <c r="A9" s="253" t="s">
        <v>771</v>
      </c>
      <c r="B9" s="254" t="s">
        <v>772</v>
      </c>
      <c r="C9" s="255" t="s">
        <v>773</v>
      </c>
      <c r="D9" s="255" t="s">
        <v>764</v>
      </c>
      <c r="E9" s="256" t="s">
        <v>774</v>
      </c>
      <c r="F9" s="253" t="s">
        <v>754</v>
      </c>
      <c r="G9" s="253" t="s">
        <v>766</v>
      </c>
    </row>
    <row r="10" customFormat="false" ht="33.75" hidden="false" customHeight="true" outlineLevel="0" collapsed="false">
      <c r="A10" s="253" t="s">
        <v>775</v>
      </c>
      <c r="B10" s="254" t="s">
        <v>776</v>
      </c>
      <c r="C10" s="255" t="s">
        <v>777</v>
      </c>
      <c r="D10" s="255" t="s">
        <v>764</v>
      </c>
      <c r="E10" s="257" t="s">
        <v>778</v>
      </c>
      <c r="F10" s="253" t="s">
        <v>754</v>
      </c>
      <c r="G10" s="255" t="s">
        <v>779</v>
      </c>
    </row>
    <row r="11" customFormat="false" ht="33.75" hidden="false" customHeight="true" outlineLevel="0" collapsed="false">
      <c r="A11" s="253" t="s">
        <v>780</v>
      </c>
      <c r="B11" s="254" t="s">
        <v>781</v>
      </c>
      <c r="C11" s="253" t="s">
        <v>782</v>
      </c>
      <c r="D11" s="255" t="s">
        <v>764</v>
      </c>
      <c r="E11" s="257" t="s">
        <v>783</v>
      </c>
      <c r="F11" s="253" t="s">
        <v>754</v>
      </c>
      <c r="G11" s="253" t="s">
        <v>766</v>
      </c>
    </row>
    <row r="12" customFormat="false" ht="33.75" hidden="false" customHeight="true" outlineLevel="0" collapsed="false">
      <c r="A12" s="253" t="s">
        <v>784</v>
      </c>
      <c r="B12" s="254" t="s">
        <v>785</v>
      </c>
      <c r="C12" s="255" t="s">
        <v>786</v>
      </c>
      <c r="D12" s="255" t="s">
        <v>752</v>
      </c>
      <c r="E12" s="256" t="s">
        <v>787</v>
      </c>
      <c r="F12" s="253" t="s">
        <v>754</v>
      </c>
      <c r="G12" s="253" t="s">
        <v>788</v>
      </c>
    </row>
    <row r="13" customFormat="false" ht="33.75" hidden="false" customHeight="true" outlineLevel="0" collapsed="false">
      <c r="A13" s="253" t="s">
        <v>789</v>
      </c>
      <c r="B13" s="254" t="s">
        <v>790</v>
      </c>
      <c r="C13" s="255" t="s">
        <v>791</v>
      </c>
      <c r="D13" s="255" t="s">
        <v>764</v>
      </c>
      <c r="E13" s="256" t="s">
        <v>792</v>
      </c>
      <c r="F13" s="253" t="s">
        <v>754</v>
      </c>
      <c r="G13" s="253" t="s">
        <v>793</v>
      </c>
    </row>
    <row r="14" customFormat="false" ht="33.75" hidden="false" customHeight="true" outlineLevel="0" collapsed="false">
      <c r="A14" s="253" t="s">
        <v>794</v>
      </c>
      <c r="B14" s="254" t="s">
        <v>795</v>
      </c>
      <c r="C14" s="255" t="s">
        <v>786</v>
      </c>
      <c r="D14" s="255" t="s">
        <v>752</v>
      </c>
      <c r="E14" s="256" t="s">
        <v>796</v>
      </c>
      <c r="F14" s="253" t="s">
        <v>754</v>
      </c>
      <c r="G14" s="253" t="s">
        <v>797</v>
      </c>
    </row>
    <row r="15" customFormat="false" ht="33.75" hidden="false" customHeight="true" outlineLevel="0" collapsed="false">
      <c r="A15" s="253" t="s">
        <v>798</v>
      </c>
      <c r="B15" s="258" t="s">
        <v>799</v>
      </c>
      <c r="C15" s="255" t="s">
        <v>800</v>
      </c>
      <c r="D15" s="255" t="s">
        <v>759</v>
      </c>
      <c r="E15" s="256" t="s">
        <v>801</v>
      </c>
      <c r="F15" s="253" t="s">
        <v>754</v>
      </c>
      <c r="G15" s="253" t="s">
        <v>802</v>
      </c>
    </row>
    <row r="16" customFormat="false" ht="33.75" hidden="false" customHeight="true" outlineLevel="0" collapsed="false">
      <c r="A16" s="253" t="s">
        <v>803</v>
      </c>
      <c r="B16" s="254" t="s">
        <v>804</v>
      </c>
      <c r="C16" s="255" t="s">
        <v>805</v>
      </c>
      <c r="D16" s="255" t="s">
        <v>759</v>
      </c>
      <c r="E16" s="257" t="s">
        <v>806</v>
      </c>
      <c r="F16" s="253" t="s">
        <v>754</v>
      </c>
      <c r="G16" s="253" t="s">
        <v>807</v>
      </c>
    </row>
    <row r="17" customFormat="false" ht="33.75" hidden="false" customHeight="true" outlineLevel="0" collapsed="false">
      <c r="A17" s="253" t="s">
        <v>808</v>
      </c>
      <c r="B17" s="254" t="s">
        <v>809</v>
      </c>
      <c r="C17" s="253" t="s">
        <v>810</v>
      </c>
      <c r="D17" s="255" t="s">
        <v>764</v>
      </c>
      <c r="E17" s="256" t="s">
        <v>811</v>
      </c>
      <c r="F17" s="253" t="s">
        <v>754</v>
      </c>
      <c r="G17" s="253" t="s">
        <v>788</v>
      </c>
    </row>
    <row r="18" customFormat="false" ht="33.75" hidden="false" customHeight="true" outlineLevel="0" collapsed="false">
      <c r="A18" s="253" t="s">
        <v>812</v>
      </c>
      <c r="B18" s="254" t="s">
        <v>813</v>
      </c>
      <c r="C18" s="253" t="s">
        <v>814</v>
      </c>
      <c r="D18" s="255" t="s">
        <v>764</v>
      </c>
      <c r="E18" s="256" t="s">
        <v>815</v>
      </c>
      <c r="F18" s="253" t="s">
        <v>754</v>
      </c>
      <c r="G18" s="253" t="s">
        <v>788</v>
      </c>
    </row>
    <row r="19" customFormat="false" ht="33.75" hidden="false" customHeight="true" outlineLevel="0" collapsed="false">
      <c r="A19" s="253" t="s">
        <v>816</v>
      </c>
      <c r="B19" s="254" t="s">
        <v>817</v>
      </c>
      <c r="C19" s="253" t="s">
        <v>818</v>
      </c>
      <c r="D19" s="255" t="s">
        <v>764</v>
      </c>
      <c r="E19" s="257" t="s">
        <v>819</v>
      </c>
      <c r="F19" s="253" t="s">
        <v>754</v>
      </c>
      <c r="G19" s="253" t="s">
        <v>820</v>
      </c>
    </row>
    <row r="20" customFormat="false" ht="33.75" hidden="false" customHeight="true" outlineLevel="0" collapsed="false">
      <c r="A20" s="253" t="s">
        <v>821</v>
      </c>
      <c r="B20" s="254" t="s">
        <v>822</v>
      </c>
      <c r="C20" s="253" t="s">
        <v>823</v>
      </c>
      <c r="D20" s="255" t="s">
        <v>764</v>
      </c>
      <c r="E20" s="257" t="s">
        <v>824</v>
      </c>
      <c r="F20" s="253" t="s">
        <v>754</v>
      </c>
      <c r="G20" s="253" t="s">
        <v>793</v>
      </c>
    </row>
    <row r="21" customFormat="false" ht="33.75" hidden="false" customHeight="true" outlineLevel="0" collapsed="false">
      <c r="A21" s="253" t="s">
        <v>825</v>
      </c>
      <c r="B21" s="254" t="s">
        <v>826</v>
      </c>
      <c r="C21" s="253" t="s">
        <v>827</v>
      </c>
      <c r="D21" s="255" t="s">
        <v>828</v>
      </c>
      <c r="E21" s="256" t="s">
        <v>829</v>
      </c>
      <c r="F21" s="253" t="s">
        <v>754</v>
      </c>
      <c r="G21" s="253" t="s">
        <v>793</v>
      </c>
    </row>
    <row r="22" customFormat="false" ht="33.75" hidden="false" customHeight="true" outlineLevel="0" collapsed="false">
      <c r="A22" s="253" t="s">
        <v>830</v>
      </c>
      <c r="B22" s="254" t="s">
        <v>831</v>
      </c>
      <c r="C22" s="255" t="s">
        <v>832</v>
      </c>
      <c r="D22" s="255" t="s">
        <v>759</v>
      </c>
      <c r="E22" s="257" t="s">
        <v>833</v>
      </c>
      <c r="F22" s="253" t="s">
        <v>754</v>
      </c>
      <c r="G22" s="253" t="s">
        <v>797</v>
      </c>
    </row>
    <row r="23" customFormat="false" ht="33.75" hidden="false" customHeight="true" outlineLevel="0" collapsed="false">
      <c r="A23" s="253" t="s">
        <v>834</v>
      </c>
      <c r="B23" s="254" t="s">
        <v>835</v>
      </c>
      <c r="C23" s="253" t="s">
        <v>810</v>
      </c>
      <c r="D23" s="255" t="s">
        <v>759</v>
      </c>
      <c r="E23" s="256" t="s">
        <v>836</v>
      </c>
      <c r="F23" s="253" t="s">
        <v>754</v>
      </c>
      <c r="G23" s="253" t="s">
        <v>797</v>
      </c>
    </row>
    <row r="24" customFormat="false" ht="33.75" hidden="false" customHeight="true" outlineLevel="0" collapsed="false">
      <c r="A24" s="253" t="s">
        <v>837</v>
      </c>
      <c r="B24" s="254" t="s">
        <v>838</v>
      </c>
      <c r="C24" s="253" t="s">
        <v>839</v>
      </c>
      <c r="D24" s="255" t="s">
        <v>828</v>
      </c>
      <c r="E24" s="257" t="s">
        <v>840</v>
      </c>
      <c r="F24" s="253" t="s">
        <v>754</v>
      </c>
      <c r="G24" s="255" t="s">
        <v>388</v>
      </c>
    </row>
    <row r="25" customFormat="false" ht="33.75" hidden="false" customHeight="true" outlineLevel="0" collapsed="false">
      <c r="A25" s="253" t="s">
        <v>841</v>
      </c>
      <c r="B25" s="258" t="s">
        <v>842</v>
      </c>
      <c r="C25" s="253" t="s">
        <v>810</v>
      </c>
      <c r="D25" s="255" t="s">
        <v>764</v>
      </c>
      <c r="E25" s="256" t="s">
        <v>843</v>
      </c>
      <c r="F25" s="253" t="s">
        <v>754</v>
      </c>
      <c r="G25" s="253" t="s">
        <v>844</v>
      </c>
    </row>
    <row r="26" customFormat="false" ht="33.75" hidden="false" customHeight="true" outlineLevel="0" collapsed="false">
      <c r="A26" s="253" t="s">
        <v>845</v>
      </c>
      <c r="B26" s="254" t="s">
        <v>846</v>
      </c>
      <c r="C26" s="253" t="s">
        <v>810</v>
      </c>
      <c r="D26" s="255" t="s">
        <v>759</v>
      </c>
      <c r="E26" s="257" t="s">
        <v>847</v>
      </c>
      <c r="F26" s="253" t="s">
        <v>754</v>
      </c>
      <c r="G26" s="253" t="s">
        <v>848</v>
      </c>
    </row>
    <row r="27" customFormat="false" ht="33.75" hidden="false" customHeight="true" outlineLevel="0" collapsed="false">
      <c r="A27" s="253"/>
      <c r="B27" s="258"/>
      <c r="C27" s="253"/>
      <c r="D27" s="255"/>
      <c r="E27" s="256"/>
      <c r="F27" s="253"/>
      <c r="G27" s="253"/>
    </row>
    <row r="28" customFormat="false" ht="33.75" hidden="false" customHeight="true" outlineLevel="0" collapsed="false">
      <c r="A28" s="253"/>
      <c r="B28" s="258"/>
      <c r="C28" s="253"/>
      <c r="D28" s="255"/>
      <c r="E28" s="256"/>
      <c r="F28" s="253"/>
      <c r="G28" s="253"/>
    </row>
    <row r="29" customFormat="false" ht="33.75" hidden="false" customHeight="true" outlineLevel="0" collapsed="false">
      <c r="A29" s="253"/>
      <c r="B29" s="258"/>
      <c r="C29" s="253"/>
      <c r="D29" s="255"/>
      <c r="E29" s="256"/>
      <c r="F29" s="253"/>
      <c r="G29" s="253"/>
    </row>
    <row r="30" customFormat="false" ht="33.75" hidden="false" customHeight="true" outlineLevel="0" collapsed="false">
      <c r="A30" s="253"/>
      <c r="B30" s="258"/>
      <c r="C30" s="253"/>
      <c r="D30" s="255"/>
      <c r="E30" s="256"/>
      <c r="F30" s="253"/>
      <c r="G30" s="253"/>
    </row>
    <row r="31" customFormat="false" ht="33.75" hidden="false" customHeight="true" outlineLevel="0" collapsed="false">
      <c r="A31" s="253"/>
      <c r="B31" s="258"/>
      <c r="C31" s="253"/>
      <c r="D31" s="255"/>
      <c r="E31" s="256"/>
      <c r="F31" s="253"/>
      <c r="G31" s="253"/>
    </row>
    <row r="32" customFormat="false" ht="33.75" hidden="false" customHeight="true" outlineLevel="0" collapsed="false">
      <c r="A32" s="253"/>
      <c r="B32" s="258"/>
      <c r="C32" s="253"/>
      <c r="D32" s="255"/>
      <c r="E32" s="256"/>
      <c r="F32" s="253"/>
      <c r="G32" s="253"/>
    </row>
    <row r="33" customFormat="false" ht="33.75" hidden="false" customHeight="true" outlineLevel="0" collapsed="false">
      <c r="A33" s="253"/>
      <c r="B33" s="258"/>
      <c r="C33" s="253"/>
      <c r="D33" s="255"/>
      <c r="E33" s="256"/>
      <c r="F33" s="253"/>
      <c r="G33" s="253"/>
    </row>
    <row r="34" customFormat="false" ht="33.75" hidden="false" customHeight="true" outlineLevel="0" collapsed="false">
      <c r="A34" s="253"/>
      <c r="B34" s="258"/>
      <c r="C34" s="253"/>
      <c r="D34" s="255"/>
      <c r="E34" s="256"/>
      <c r="F34" s="253"/>
      <c r="G34" s="253"/>
    </row>
    <row r="36" customFormat="false" ht="15" hidden="false" customHeight="false" outlineLevel="0" collapsed="false">
      <c r="A36" s="259" t="s">
        <v>849</v>
      </c>
    </row>
    <row r="37" customFormat="false" ht="15" hidden="false" customHeight="false" outlineLevel="0" collapsed="false">
      <c r="B37" s="99" t="s">
        <v>752</v>
      </c>
      <c r="C37" s="260" t="n">
        <f aca="false">COUNTIF($D$5:$D$34,$B37)</f>
        <v>3</v>
      </c>
    </row>
    <row r="38" customFormat="false" ht="15" hidden="false" customHeight="false" outlineLevel="0" collapsed="false">
      <c r="B38" s="99" t="s">
        <v>850</v>
      </c>
      <c r="C38" s="260" t="n">
        <f aca="false">COUNTIF($D$5:$D$34,$B38)</f>
        <v>0</v>
      </c>
    </row>
    <row r="39" customFormat="false" ht="15" hidden="false" customHeight="false" outlineLevel="0" collapsed="false">
      <c r="B39" s="99" t="s">
        <v>828</v>
      </c>
      <c r="C39" s="260" t="n">
        <f aca="false">COUNTIF($D$5:$D$34,$B39)</f>
        <v>2</v>
      </c>
    </row>
    <row r="40" customFormat="false" ht="15" hidden="false" customHeight="false" outlineLevel="0" collapsed="false">
      <c r="B40" s="99" t="s">
        <v>764</v>
      </c>
      <c r="C40" s="260" t="n">
        <f aca="false">COUNTIF($D$5:$D$34,$B40)</f>
        <v>11</v>
      </c>
    </row>
    <row r="41" customFormat="false" ht="15" hidden="false" customHeight="false" outlineLevel="0" collapsed="false">
      <c r="B41" s="99" t="s">
        <v>759</v>
      </c>
      <c r="C41" s="260" t="n">
        <f aca="false">COUNTIF($D$5:$D$34,$B41)</f>
        <v>6</v>
      </c>
    </row>
    <row r="42" customFormat="false" ht="15" hidden="false" customHeight="false" outlineLevel="0" collapsed="false">
      <c r="B42" s="99" t="s">
        <v>851</v>
      </c>
      <c r="C42" s="260" t="n">
        <f aca="false">COUNTIF($D$5:$D$34,$B42)</f>
        <v>0</v>
      </c>
    </row>
    <row r="43" customFormat="false" ht="15" hidden="false" customHeight="false" outlineLevel="0" collapsed="false">
      <c r="B43" s="60" t="s">
        <v>852</v>
      </c>
    </row>
  </sheetData>
  <mergeCells count="2">
    <mergeCell ref="A1:G1"/>
    <mergeCell ref="A2:G2"/>
  </mergeCells>
  <conditionalFormatting sqref="D5:D34">
    <cfRule type="cellIs" priority="2" operator="equal" aboveAverage="0" equalAverage="0" bottom="0" percent="0" rank="0" text="" dxfId="6">
      <formula>"推測"</formula>
    </cfRule>
    <cfRule type="cellIs" priority="3" operator="equal" aboveAverage="0" equalAverage="0" bottom="0" percent="0" rank="0" text="" dxfId="7">
      <formula>"規劃假設"</formula>
    </cfRule>
    <cfRule type="cellIs" priority="4" operator="equal" aboveAverage="0" equalAverage="0" bottom="0" percent="0" rank="0" text="" dxfId="8">
      <formula>"法規公告"</formula>
    </cfRule>
  </conditionalFormatting>
  <dataValidations count="1">
    <dataValidation allowBlank="true" error="請由下拉清單選擇。" errorStyle="stop" errorTitle="請由下拉選擇" operator="between" showDropDown="false" showErrorMessage="true" showInputMessage="false" sqref="D5:D34" type="list">
      <formula1>L_Status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&amp;L11_假設來源_Assumptions</oddHeader>
    <oddFooter>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61" t="s">
        <v>853</v>
      </c>
      <c r="B1" s="261" t="s">
        <v>854</v>
      </c>
      <c r="C1" s="261" t="s">
        <v>855</v>
      </c>
      <c r="D1" s="261" t="s">
        <v>856</v>
      </c>
      <c r="E1" s="261" t="s">
        <v>857</v>
      </c>
      <c r="F1" s="261" t="s">
        <v>858</v>
      </c>
      <c r="G1" s="261" t="s">
        <v>859</v>
      </c>
      <c r="H1" s="261" t="s">
        <v>860</v>
      </c>
      <c r="I1" s="261" t="s">
        <v>861</v>
      </c>
      <c r="J1" s="261" t="s">
        <v>862</v>
      </c>
      <c r="K1" s="261" t="s">
        <v>863</v>
      </c>
      <c r="L1" s="261" t="s">
        <v>864</v>
      </c>
      <c r="M1" s="261" t="s">
        <v>865</v>
      </c>
      <c r="N1" s="261" t="s">
        <v>866</v>
      </c>
      <c r="O1" s="261" t="s">
        <v>867</v>
      </c>
      <c r="P1" s="261" t="s">
        <v>868</v>
      </c>
      <c r="Q1" s="261" t="s">
        <v>869</v>
      </c>
    </row>
    <row r="2" customFormat="false" ht="17.15" hidden="false" customHeight="false" outlineLevel="0" collapsed="false">
      <c r="A2" s="0" t="s">
        <v>870</v>
      </c>
      <c r="B2" s="262" t="s">
        <v>871</v>
      </c>
      <c r="C2" s="262" t="s">
        <v>872</v>
      </c>
      <c r="D2" s="262" t="s">
        <v>873</v>
      </c>
      <c r="E2" s="262" t="s">
        <v>874</v>
      </c>
      <c r="F2" s="262" t="s">
        <v>320</v>
      </c>
      <c r="G2" s="262" t="s">
        <v>292</v>
      </c>
      <c r="H2" s="262" t="s">
        <v>875</v>
      </c>
      <c r="I2" s="262" t="s">
        <v>357</v>
      </c>
      <c r="J2" s="262" t="s">
        <v>383</v>
      </c>
      <c r="K2" s="262" t="s">
        <v>752</v>
      </c>
      <c r="L2" s="262" t="s">
        <v>876</v>
      </c>
      <c r="M2" s="0" t="s">
        <v>877</v>
      </c>
      <c r="N2" s="262" t="s">
        <v>878</v>
      </c>
      <c r="O2" s="262" t="s">
        <v>879</v>
      </c>
      <c r="P2" s="262" t="s">
        <v>880</v>
      </c>
      <c r="Q2" s="262" t="s">
        <v>881</v>
      </c>
    </row>
    <row r="3" customFormat="false" ht="17.15" hidden="false" customHeight="false" outlineLevel="0" collapsed="false">
      <c r="A3" s="0" t="s">
        <v>882</v>
      </c>
      <c r="B3" s="262" t="s">
        <v>883</v>
      </c>
      <c r="C3" s="262" t="s">
        <v>884</v>
      </c>
      <c r="D3" s="262" t="s">
        <v>885</v>
      </c>
      <c r="E3" s="262" t="s">
        <v>886</v>
      </c>
      <c r="F3" s="262" t="s">
        <v>340</v>
      </c>
      <c r="G3" s="262" t="s">
        <v>310</v>
      </c>
      <c r="H3" s="262" t="s">
        <v>887</v>
      </c>
      <c r="I3" s="262" t="s">
        <v>370</v>
      </c>
      <c r="J3" s="262" t="s">
        <v>359</v>
      </c>
      <c r="K3" s="262" t="s">
        <v>850</v>
      </c>
      <c r="L3" s="262" t="s">
        <v>888</v>
      </c>
      <c r="M3" s="0" t="s">
        <v>889</v>
      </c>
      <c r="N3" s="262" t="s">
        <v>890</v>
      </c>
      <c r="O3" s="262" t="s">
        <v>891</v>
      </c>
      <c r="P3" s="262" t="s">
        <v>892</v>
      </c>
      <c r="Q3" s="262" t="s">
        <v>388</v>
      </c>
    </row>
    <row r="4" customFormat="false" ht="17.15" hidden="false" customHeight="false" outlineLevel="0" collapsed="false">
      <c r="A4" s="0" t="s">
        <v>893</v>
      </c>
      <c r="B4" s="262" t="s">
        <v>894</v>
      </c>
      <c r="E4" s="262" t="s">
        <v>895</v>
      </c>
      <c r="F4" s="262" t="s">
        <v>289</v>
      </c>
      <c r="G4" s="262" t="s">
        <v>343</v>
      </c>
      <c r="H4" s="262" t="s">
        <v>896</v>
      </c>
      <c r="I4" s="262" t="s">
        <v>897</v>
      </c>
      <c r="K4" s="262" t="s">
        <v>828</v>
      </c>
      <c r="L4" s="262" t="s">
        <v>898</v>
      </c>
      <c r="M4" s="0" t="s">
        <v>899</v>
      </c>
      <c r="N4" s="262" t="s">
        <v>900</v>
      </c>
      <c r="O4" s="262" t="s">
        <v>901</v>
      </c>
      <c r="Q4" s="262" t="s">
        <v>360</v>
      </c>
    </row>
    <row r="5" customFormat="false" ht="17.15" hidden="false" customHeight="false" outlineLevel="0" collapsed="false">
      <c r="E5" s="262" t="s">
        <v>902</v>
      </c>
      <c r="F5" s="262" t="s">
        <v>307</v>
      </c>
      <c r="H5" s="262" t="s">
        <v>903</v>
      </c>
      <c r="I5" s="262" t="s">
        <v>364</v>
      </c>
      <c r="K5" s="262" t="s">
        <v>764</v>
      </c>
      <c r="L5" s="262" t="s">
        <v>904</v>
      </c>
      <c r="M5" s="0" t="s">
        <v>905</v>
      </c>
      <c r="O5" s="262" t="s">
        <v>906</v>
      </c>
      <c r="Q5" s="262" t="s">
        <v>366</v>
      </c>
    </row>
    <row r="6" customFormat="false" ht="17.15" hidden="false" customHeight="false" outlineLevel="0" collapsed="false">
      <c r="F6" s="262" t="s">
        <v>330</v>
      </c>
      <c r="H6" s="262" t="s">
        <v>907</v>
      </c>
      <c r="I6" s="262" t="s">
        <v>289</v>
      </c>
      <c r="K6" s="262" t="s">
        <v>759</v>
      </c>
      <c r="L6" s="262" t="s">
        <v>908</v>
      </c>
      <c r="M6" s="0" t="s">
        <v>532</v>
      </c>
      <c r="Q6" s="262" t="s">
        <v>909</v>
      </c>
    </row>
    <row r="7" customFormat="false" ht="17.15" hidden="false" customHeight="false" outlineLevel="0" collapsed="false">
      <c r="H7" s="262" t="s">
        <v>910</v>
      </c>
      <c r="I7" s="262" t="s">
        <v>307</v>
      </c>
      <c r="K7" s="262" t="s">
        <v>851</v>
      </c>
      <c r="M7" s="0" t="s">
        <v>911</v>
      </c>
      <c r="Q7" s="262" t="s">
        <v>912</v>
      </c>
    </row>
    <row r="8" customFormat="false" ht="17.15" hidden="false" customHeight="false" outlineLevel="0" collapsed="false">
      <c r="I8" s="262" t="s">
        <v>376</v>
      </c>
      <c r="M8" s="0" t="s">
        <v>913</v>
      </c>
      <c r="Q8" s="0" t="s">
        <v>372</v>
      </c>
    </row>
    <row r="9" customFormat="false" ht="17.15" hidden="false" customHeight="false" outlineLevel="0" collapsed="false">
      <c r="I9" s="262" t="s">
        <v>914</v>
      </c>
      <c r="M9" s="262" t="s">
        <v>915</v>
      </c>
      <c r="Q9" s="262" t="s">
        <v>378</v>
      </c>
    </row>
    <row r="10" customFormat="false" ht="15" hidden="false" customHeight="false" outlineLevel="0" collapsed="false">
      <c r="I10" s="262" t="s">
        <v>386</v>
      </c>
      <c r="Q10" s="0" t="s">
        <v>916</v>
      </c>
    </row>
    <row r="11" customFormat="false" ht="15" hidden="false" customHeight="false" outlineLevel="0" collapsed="false">
      <c r="Q11" s="262" t="s">
        <v>917</v>
      </c>
    </row>
    <row r="12" customFormat="false" ht="15" hidden="false" customHeight="false" outlineLevel="0" collapsed="false">
      <c r="Q12" s="262" t="s">
        <v>384</v>
      </c>
    </row>
    <row r="13" customFormat="false" ht="15" hidden="false" customHeight="false" outlineLevel="0" collapsed="false">
      <c r="Q13" s="262" t="s">
        <v>918</v>
      </c>
    </row>
    <row r="14" customFormat="false" ht="15" hidden="false" customHeight="false" outlineLevel="0" collapsed="false">
      <c r="Q14" s="262" t="s">
        <v>919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2026-08-13T15:25:30Z</dcterms:created>
  <dc:creator>群晶科技 × VMH-EcoMap</dc:creator>
  <dc:description/>
  <cp:keywords>Vietnam Hospital Business Case NPV MIRR WACC TCO Enabling Investment</cp:keywords>
  <dc:language>en-US</dc:language>
  <cp:lastModifiedBy/>
  <dcterms:modified xsi:type="dcterms:W3CDTF">2026-08-13T15:25:31Z</dcterms:modified>
  <cp:revision>0</cp:revision>
  <dc:subject>越南醫院子專案投資與回收試算（含投資類別框架與使能型投資評估）</dc:subject>
  <dc:title>VMH-EcoMap-2 專案商模試算器 v1.0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