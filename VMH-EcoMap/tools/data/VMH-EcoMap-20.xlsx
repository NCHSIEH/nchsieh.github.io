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0_儀表板_Dashboard" sheetId="2" state="visible" r:id="rId4"/>
    <sheet name="02_階段定義_Stages" sheetId="3" state="visible" r:id="rId5"/>
    <sheet name="01_案件登錄_Pipeline" sheetId="4" state="visible" r:id="rId6"/>
    <sheet name="03_月度快照_Snapshot" sheetId="5" state="visible" r:id="rId7"/>
    <sheet name="_選單_Lists" sheetId="6" state="visible" r:id="rId8"/>
  </sheets>
  <definedNames>
    <definedName function="false" hidden="true" localSheetId="3" name="_xlnm._FilterDatabase" vbProcedure="false">01_案件登錄_Pipeline!$A$4:$W$84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<sst xmlns="http://schemas.openxmlformats.org/spreadsheetml/2006/main" count="230" uniqueCount="193">
  <si>
    <r>
      <rPr>
        <b val="true"/>
        <sz val="15"/>
        <color rgb="FF1F3864"/>
        <rFont val="Arial"/>
        <family val="0"/>
        <charset val="1"/>
      </rPr>
      <t xml:space="preserve">VMH-EcoMap-20 </t>
    </r>
    <r>
      <rPr>
        <b val="true"/>
        <sz val="15"/>
        <color rgb="FF1F3864"/>
        <rFont val="Noto Sans CJK SC"/>
        <family val="2"/>
      </rPr>
      <t xml:space="preserve">商機推進漏斗｜使用說明</t>
    </r>
  </si>
  <si>
    <r>
      <rPr>
        <sz val="10"/>
        <color rgb="FF6B7280"/>
        <rFont val="Arial"/>
        <family val="0"/>
        <charset val="1"/>
      </rPr>
      <t xml:space="preserve">P1 </t>
    </r>
    <r>
      <rPr>
        <sz val="10"/>
        <color rgb="FF6B7280"/>
        <rFont val="Noto Sans CJK SC"/>
        <family val="2"/>
      </rPr>
      <t xml:space="preserve">推進管理工具・對應藍圖 </t>
    </r>
    <r>
      <rPr>
        <sz val="10"/>
        <color rgb="FF6B7280"/>
        <rFont val="Arial"/>
        <family val="0"/>
        <charset val="1"/>
      </rPr>
      <t xml:space="preserve">VMH-EcoMap-13</t>
    </r>
    <r>
      <rPr>
        <sz val="10"/>
        <color rgb="FF6B7280"/>
        <rFont val="Noto Sans CJK SC"/>
        <family val="2"/>
      </rPr>
      <t xml:space="preserve">・搭配 </t>
    </r>
    <r>
      <rPr>
        <sz val="10"/>
        <color rgb="FF6B7280"/>
        <rFont val="Arial"/>
        <family val="0"/>
        <charset val="1"/>
      </rPr>
      <t xml:space="preserve">15 </t>
    </r>
    <r>
      <rPr>
        <sz val="10"/>
        <color rgb="FF6B7280"/>
        <rFont val="Noto Sans CJK SC"/>
        <family val="2"/>
      </rPr>
      <t xml:space="preserve">號標案雷達與 </t>
    </r>
    <r>
      <rPr>
        <sz val="10"/>
        <color rgb="FF6B7280"/>
        <rFont val="Arial"/>
        <family val="0"/>
        <charset val="1"/>
      </rPr>
      <t xml:space="preserve">21 </t>
    </r>
    <r>
      <rPr>
        <sz val="10"/>
        <color rgb="FF6B7280"/>
        <rFont val="Noto Sans CJK SC"/>
        <family val="2"/>
      </rPr>
      <t xml:space="preserve">號投標經濟性試算器使用</t>
    </r>
  </si>
  <si>
    <t xml:space="preserve">■ 這個工具在解決什麼問題</t>
  </si>
  <si>
    <r>
      <rPr>
        <sz val="10"/>
        <rFont val="Noto Sans CJK SC"/>
        <family val="2"/>
      </rPr>
      <t xml:space="preserve">生態導覽器盤了 </t>
    </r>
    <r>
      <rPr>
        <sz val="10"/>
        <rFont val="Arial"/>
        <family val="0"/>
        <charset val="1"/>
      </rPr>
      <t xml:space="preserve">85 </t>
    </r>
    <r>
      <rPr>
        <sz val="10"/>
        <rFont val="Noto Sans CJK SC"/>
        <family val="2"/>
      </rPr>
      <t xml:space="preserve">門商機、缺口地圖標了 </t>
    </r>
    <r>
      <rPr>
        <sz val="10"/>
        <rFont val="Arial"/>
        <family val="0"/>
        <charset val="1"/>
      </rPr>
      <t xml:space="preserve">34 </t>
    </r>
    <r>
      <rPr>
        <sz val="10"/>
        <rFont val="Noto Sans CJK SC"/>
        <family val="2"/>
      </rPr>
      <t xml:space="preserve">省市——但那是「市場上有什麼」，不是「我們推進到哪」。
沒有這張表，三個月後沒有人答得出來：我們談了幾案、卡在哪一關、這季大概能簽多少。這張表就是要把靜態盤點變成會動的管線。</t>
    </r>
  </si>
  <si>
    <t xml:space="preserve">■ 三個分頁的關係</t>
  </si>
  <si>
    <t xml:space="preserve">階段定義（先講好每一關的判定準則，避免各人認定不同）→ 案件登錄（每一個在談的案子一列，每週更新）→ 月度快照（每月月底複製一次當時的數字，之後才算得出轉換率）。</t>
  </si>
  <si>
    <t xml:space="preserve">■ 最重要的兩個數字</t>
  </si>
  <si>
    <r>
      <rPr>
        <sz val="10"/>
        <rFont val="Noto Sans CJK SC"/>
        <family val="2"/>
      </rPr>
      <t xml:space="preserve">加權管線值 ＝ 案值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階段機率。這是「合理預期會簽到多少」，不是願望清單的加總。
停滯天數 ＝ 今天 − 上次更新日。超過該階段的警戒天數就轉紅——停滯是最誠實的警訊，比任何樂觀評語都準。</t>
    </r>
  </si>
  <si>
    <r>
      <rPr>
        <b val="true"/>
        <sz val="10"/>
        <rFont val="Noto Sans CJK SC"/>
        <family val="2"/>
      </rPr>
      <t xml:space="preserve">■ 每週 </t>
    </r>
    <r>
      <rPr>
        <b val="true"/>
        <sz val="10"/>
        <rFont val="Arial"/>
        <family val="0"/>
        <charset val="1"/>
      </rPr>
      <t xml:space="preserve">15 </t>
    </r>
    <r>
      <rPr>
        <b val="true"/>
        <sz val="10"/>
        <rFont val="Noto Sans CJK SC"/>
        <family val="2"/>
      </rPr>
      <t xml:space="preserve">分鐘例行</t>
    </r>
  </si>
  <si>
    <t xml:space="preserve">① 每個負責人更新自己案件的「上次更新日」與「下一步動作」。沒有實際進展就不要改日期，讓它停滯給大家看。
② 看儀表板的紅色停滯清單，逐案問「卡在哪、誰能解」。
③ 階段前進必須有證據（見階段定義的判定準則），不能靠感覺升級。</t>
  </si>
  <si>
    <t xml:space="preserve">■ 階段機率怎麼用</t>
  </si>
  <si>
    <t xml:space="preserve">預設機率是起步值，用久了要拿自己的實際轉換率去校正——這就是月度快照的用途。
前三個月的加權管線值一定不準，那沒關係；重點是每月都記一次，半年後這個數字才會開始有預測力。</t>
  </si>
  <si>
    <t xml:space="preserve">■ 與其他工具的銜接</t>
  </si>
  <si>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號標案雷達掃到、且決定「投」的標案 → 在這裡開一列案件（把標案編號填在「對應商機／標案」欄）。
案件進到「提案報價」階段 → 用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號投標經濟性試算器算我方成本與底價，把毛利率填回這裡。
案件簽約 → 狀態改「贏」，並回填實際案值與實際毛利，這是校正未來估算最珍貴的資料。</t>
    </r>
  </si>
  <si>
    <t xml:space="preserve">■ 提醒</t>
  </si>
  <si>
    <r>
      <rPr>
        <sz val="10"/>
        <rFont val="Noto Sans CJK SC"/>
        <family val="2"/>
      </rPr>
      <t xml:space="preserve">案值請一律填「千美元」，全表統一才加得起來。毛利率填我方毛利（不是客戶的報酬率），
若還沒用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號試算器算過，先填該類型的經驗值並在備註註明「未試算」。</t>
    </r>
  </si>
  <si>
    <r>
      <rPr>
        <b val="true"/>
        <sz val="15"/>
        <color rgb="FF1F3864"/>
        <rFont val="Noto Sans CJK SC"/>
        <family val="2"/>
      </rPr>
      <t xml:space="preserve">儀表板｜</t>
    </r>
    <r>
      <rPr>
        <b val="true"/>
        <sz val="15"/>
        <color rgb="FF1F3864"/>
        <rFont val="Arial"/>
        <family val="0"/>
        <charset val="1"/>
      </rPr>
      <t xml:space="preserve">Dashboard</t>
    </r>
    <r>
      <rPr>
        <b val="true"/>
        <sz val="15"/>
        <color rgb="FF1F3864"/>
        <rFont val="Noto Sans CJK SC"/>
        <family val="2"/>
      </rPr>
      <t xml:space="preserve">（全部自動算，不要手改）</t>
    </r>
  </si>
  <si>
    <t xml:space="preserve">❓這頁在回答：管線健不健康？這季大概簽得到多少？哪些案子卡住了？</t>
  </si>
  <si>
    <t xml:space="preserve">整體管線</t>
  </si>
  <si>
    <t xml:space="preserve">進行中案件數</t>
  </si>
  <si>
    <t xml:space="preserve">件</t>
  </si>
  <si>
    <r>
      <rPr>
        <sz val="10"/>
        <rFont val="Noto Sans CJK SC"/>
        <family val="2"/>
      </rPr>
      <t xml:space="preserve">管線總值（千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</si>
  <si>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所有進行中案件的案值加總——這是願望上限，不是預期</t>
  </si>
  <si>
    <r>
      <rPr>
        <sz val="10"/>
        <rFont val="Noto Sans CJK SC"/>
        <family val="2"/>
      </rPr>
      <t xml:space="preserve">加權管線值（千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</si>
  <si>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★ 案值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階段機率。這才是合理預期</t>
    </r>
  </si>
  <si>
    <r>
      <rPr>
        <sz val="10"/>
        <rFont val="Noto Sans CJK SC"/>
        <family val="2"/>
      </rPr>
      <t xml:space="preserve">加權毛利（千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</si>
  <si>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加權案值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我方毛利率</t>
    </r>
  </si>
  <si>
    <r>
      <rPr>
        <sz val="10"/>
        <rFont val="Noto Sans CJK SC"/>
        <family val="2"/>
      </rPr>
      <t xml:space="preserve">平均案值（千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</si>
  <si>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停滯案件數</t>
  </si>
  <si>
    <t xml:space="preserve">★ 超過該階段警戒天數未更新——每週會議先看這個</t>
  </si>
  <si>
    <t xml:space="preserve">本月到期待辦</t>
  </si>
  <si>
    <t xml:space="preserve">下一步到期日落在本月的案件數</t>
  </si>
  <si>
    <t xml:space="preserve">逾期待辦</t>
  </si>
  <si>
    <t xml:space="preserve">下一步已經過期還沒動的</t>
  </si>
  <si>
    <t xml:space="preserve">漏斗｜各階段現況</t>
  </si>
  <si>
    <t xml:space="preserve">階段</t>
  </si>
  <si>
    <t xml:space="preserve">件數</t>
  </si>
  <si>
    <t xml:space="preserve">案值合計</t>
  </si>
  <si>
    <t xml:space="preserve">加權案值</t>
  </si>
  <si>
    <t xml:space="preserve">平均停滯天數</t>
  </si>
  <si>
    <t xml:space="preserve">占管線總值</t>
  </si>
  <si>
    <r>
      <rPr>
        <sz val="10"/>
        <rFont val="Arial"/>
        <family val="0"/>
        <charset val="1"/>
      </rPr>
      <t xml:space="preserve">S1 </t>
    </r>
    <r>
      <rPr>
        <sz val="10"/>
        <rFont val="Noto Sans CJK SC"/>
        <family val="2"/>
      </rPr>
      <t xml:space="preserve">線索</t>
    </r>
  </si>
  <si>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</rPr>
      <t xml:space="preserve">接觸確認</t>
    </r>
  </si>
  <si>
    <r>
      <rPr>
        <sz val="10"/>
        <rFont val="Arial"/>
        <family val="0"/>
        <charset val="1"/>
      </rPr>
      <t xml:space="preserve">S3 </t>
    </r>
    <r>
      <rPr>
        <sz val="10"/>
        <rFont val="Noto Sans CJK SC"/>
        <family val="2"/>
      </rPr>
      <t xml:space="preserve">需求成形</t>
    </r>
  </si>
  <si>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提案報價</t>
    </r>
  </si>
  <si>
    <r>
      <rPr>
        <sz val="10"/>
        <rFont val="Arial"/>
        <family val="0"/>
        <charset val="1"/>
      </rPr>
      <t xml:space="preserve">S5 </t>
    </r>
    <r>
      <rPr>
        <sz val="10"/>
        <rFont val="Noto Sans CJK SC"/>
        <family val="2"/>
      </rPr>
      <t xml:space="preserve">短名單議價</t>
    </r>
  </si>
  <si>
    <r>
      <rPr>
        <sz val="10"/>
        <rFont val="Arial"/>
        <family val="0"/>
        <charset val="1"/>
      </rPr>
      <t xml:space="preserve">S6 </t>
    </r>
    <r>
      <rPr>
        <sz val="10"/>
        <rFont val="Noto Sans CJK SC"/>
        <family val="2"/>
      </rPr>
      <t xml:space="preserve">決標簽約中</t>
    </r>
  </si>
  <si>
    <r>
      <rPr>
        <sz val="10"/>
        <rFont val="Arial"/>
        <family val="0"/>
        <charset val="1"/>
      </rPr>
      <t xml:space="preserve">S7 </t>
    </r>
    <r>
      <rPr>
        <sz val="10"/>
        <rFont val="Noto Sans CJK SC"/>
        <family val="2"/>
      </rPr>
      <t xml:space="preserve">已簽約</t>
    </r>
  </si>
  <si>
    <t xml:space="preserve">結案統計（累計）</t>
  </si>
  <si>
    <t xml:space="preserve">已簽約件數</t>
  </si>
  <si>
    <r>
      <rPr>
        <sz val="10"/>
        <rFont val="Noto Sans CJK SC"/>
        <family val="2"/>
      </rPr>
      <t xml:space="preserve">已簽約金額（千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</si>
  <si>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流失件數</t>
  </si>
  <si>
    <t xml:space="preserve">件數勝率</t>
  </si>
  <si>
    <t xml:space="preserve">金額勝率</t>
  </si>
  <si>
    <r>
      <rPr>
        <sz val="9"/>
        <color rgb="FF6B7280"/>
        <rFont val="Noto Sans CJK SC"/>
        <family val="2"/>
      </rPr>
      <t xml:space="preserve">注意：勝率要累積到 </t>
    </r>
    <r>
      <rPr>
        <sz val="9"/>
        <color rgb="FF6B7280"/>
        <rFont val="Arial"/>
        <family val="0"/>
        <charset val="1"/>
      </rPr>
      <t xml:space="preserve">10 </t>
    </r>
    <r>
      <rPr>
        <sz val="9"/>
        <color rgb="FF6B7280"/>
        <rFont val="Noto Sans CJK SC"/>
        <family val="2"/>
      </rPr>
      <t xml:space="preserve">件以上結案才有參考價值；不到 </t>
    </r>
    <r>
      <rPr>
        <sz val="9"/>
        <color rgb="FF6B7280"/>
        <rFont val="Arial"/>
        <family val="0"/>
        <charset val="1"/>
      </rPr>
      <t xml:space="preserve">10 </t>
    </r>
    <r>
      <rPr>
        <sz val="9"/>
        <color rgb="FF6B7280"/>
        <rFont val="Noto Sans CJK SC"/>
        <family val="2"/>
      </rPr>
      <t xml:space="preserve">件時請當作方向感，不要拿去做預測。
加權管線值的準確度取決於階段機率，而階段機率要用月度快照的實際轉換率去校正——前三個月不準是正常的。</t>
    </r>
  </si>
  <si>
    <r>
      <rPr>
        <b val="true"/>
        <sz val="15"/>
        <color rgb="FF1F3864"/>
        <rFont val="Noto Sans CJK SC"/>
        <family val="2"/>
      </rPr>
      <t xml:space="preserve">階段定義｜</t>
    </r>
    <r>
      <rPr>
        <b val="true"/>
        <sz val="15"/>
        <color rgb="FF1F3864"/>
        <rFont val="Arial"/>
        <family val="0"/>
        <charset val="1"/>
      </rPr>
      <t xml:space="preserve">Stage Definitions</t>
    </r>
    <r>
      <rPr>
        <b val="true"/>
        <sz val="15"/>
        <color rgb="FF1F3864"/>
        <rFont val="Noto Sans CJK SC"/>
        <family val="2"/>
      </rPr>
      <t xml:space="preserve">（先講好每一關長什麼樣，才有共同語言）</t>
    </r>
  </si>
  <si>
    <t xml:space="preserve">❓這頁在回答：什麼叫「進到下一階段」？　★ 判定準則是這頁的靈魂——沒有證據不准升級</t>
  </si>
  <si>
    <t xml:space="preserve">圖例：</t>
  </si>
  <si>
    <t xml:space="preserve">　要填　</t>
  </si>
  <si>
    <t xml:space="preserve">　自動　</t>
  </si>
  <si>
    <t xml:space="preserve">（範例）列請參考後刪除或保留當樣板</t>
  </si>
  <si>
    <t xml:space="preserve">階段代碼</t>
  </si>
  <si>
    <t xml:space="preserve">階段名稱</t>
  </si>
  <si>
    <t xml:space="preserve">順序</t>
  </si>
  <si>
    <t xml:space="preserve">預設機率</t>
  </si>
  <si>
    <t xml:space="preserve">進入這一階段的判定準則（要有什麼證據）</t>
  </si>
  <si>
    <t xml:space="preserve">典型停留天數</t>
  </si>
  <si>
    <t xml:space="preserve">停滯警戒天數</t>
  </si>
  <si>
    <t xml:space="preserve">S1</t>
  </si>
  <si>
    <t xml:space="preserve">線索</t>
  </si>
  <si>
    <t xml:space="preserve">有具名的醫院／單位與可辨識的需求方向。資料來源可以是標案雷達、情報站、夥伴轉介。</t>
  </si>
  <si>
    <t xml:space="preserve">S2</t>
  </si>
  <si>
    <t xml:space="preserve">接觸確認</t>
  </si>
  <si>
    <t xml:space="preserve">已與對方可辨識的窗口實際對談過（會議紀錄或往來信件為憑），且對方確認此需求存在。</t>
  </si>
  <si>
    <t xml:space="preserve">S3</t>
  </si>
  <si>
    <t xml:space="preserve">需求成形</t>
  </si>
  <si>
    <r>
      <rPr>
        <sz val="10"/>
        <rFont val="Noto Sans CJK SC"/>
        <family val="2"/>
      </rPr>
      <t xml:space="preserve">拿得到規格方向、概略預算級距與時程；知道錢從哪來（預算科目／</t>
    </r>
    <r>
      <rPr>
        <sz val="10"/>
        <rFont val="Arial"/>
        <family val="0"/>
        <charset val="1"/>
      </rPr>
      <t xml:space="preserve">PPP</t>
    </r>
    <r>
      <rPr>
        <sz val="10"/>
        <rFont val="Noto Sans CJK SC"/>
        <family val="2"/>
      </rPr>
      <t xml:space="preserve">／自籌）。</t>
    </r>
  </si>
  <si>
    <t xml:space="preserve">S4</t>
  </si>
  <si>
    <t xml:space="preserve">提案報價</t>
  </si>
  <si>
    <r>
      <rPr>
        <sz val="10"/>
        <rFont val="Noto Sans CJK SC"/>
        <family val="2"/>
      </rPr>
      <t xml:space="preserve">已正式送出提案或報價。此階段前必須用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號試算器算過成本與底價。</t>
    </r>
  </si>
  <si>
    <t xml:space="preserve">S5</t>
  </si>
  <si>
    <t xml:space="preserve">短名單議價</t>
  </si>
  <si>
    <t xml:space="preserve">對方書面或明確口頭表示進入短名單／議價階段，開始談商務條件。</t>
  </si>
  <si>
    <t xml:space="preserve">S6</t>
  </si>
  <si>
    <t xml:space="preserve">決標簽約中</t>
  </si>
  <si>
    <t xml:space="preserve">已決標或進入合約用印程序，剩餘為程序風險。</t>
  </si>
  <si>
    <t xml:space="preserve">S7</t>
  </si>
  <si>
    <t xml:space="preserve">已簽約</t>
  </si>
  <si>
    <t xml:space="preserve">合約已簽署生效。此列即轉為實績，回填實際案值與實際毛利。</t>
  </si>
  <si>
    <t xml:space="preserve">X1</t>
  </si>
  <si>
    <t xml:space="preserve">流失</t>
  </si>
  <si>
    <t xml:space="preserve">確定未得標、對方取消、或我方主動放棄。務必在「卡關原因」寫下原因，這是最有價值的資料。</t>
  </si>
  <si>
    <t xml:space="preserve">X2</t>
  </si>
  <si>
    <t xml:space="preserve">暫停</t>
  </si>
  <si>
    <t xml:space="preserve">對方預算凍結或時程無限期延後，但關係仍在。定期回頭檢視。</t>
  </si>
  <si>
    <r>
      <rPr>
        <b val="true"/>
        <sz val="15"/>
        <color rgb="FF1F3864"/>
        <rFont val="Noto Sans CJK SC"/>
        <family val="2"/>
      </rPr>
      <t xml:space="preserve">案件登錄｜</t>
    </r>
    <r>
      <rPr>
        <b val="true"/>
        <sz val="15"/>
        <color rgb="FF1F3864"/>
        <rFont val="Arial"/>
        <family val="0"/>
        <charset val="1"/>
      </rPr>
      <t xml:space="preserve">Pipeline</t>
    </r>
    <r>
      <rPr>
        <b val="true"/>
        <sz val="15"/>
        <color rgb="FF1F3864"/>
        <rFont val="Noto Sans CJK SC"/>
        <family val="2"/>
      </rPr>
      <t xml:space="preserve">（每一個在談的案子一列，每週更新）</t>
    </r>
  </si>
  <si>
    <t xml:space="preserve">❓這頁在回答：我們現在談了幾案、卡在哪、這季預期簽多少？　★ 沒有實際進展就別改「上次更新日」，讓停滯自己現形</t>
  </si>
  <si>
    <r>
      <rPr>
        <b val="true"/>
        <sz val="10"/>
        <color rgb="FFFFFFFF"/>
        <rFont val="Noto Sans CJK SC"/>
        <family val="2"/>
      </rPr>
      <t xml:space="preserve">案件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</si>
  <si>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案件名稱</t>
  </si>
  <si>
    <t xml:space="preserve">對應商機／標案</t>
  </si>
  <si>
    <t xml:space="preserve">客戶／醫院</t>
  </si>
  <si>
    <t xml:space="preserve">省市</t>
  </si>
  <si>
    <t xml:space="preserve">層級</t>
  </si>
  <si>
    <t xml:space="preserve">階段機率</t>
  </si>
  <si>
    <r>
      <rPr>
        <b val="true"/>
        <sz val="10"/>
        <color rgb="FFFFFFFF"/>
        <rFont val="Noto Sans CJK SC"/>
        <family val="2"/>
      </rPr>
      <t xml:space="preserve">預估案值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</si>
  <si>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我方毛利率</t>
  </si>
  <si>
    <r>
      <rPr>
        <b val="true"/>
        <sz val="10"/>
        <color rgb="FFFFFFFF"/>
        <rFont val="Noto Sans CJK SC"/>
        <family val="2"/>
      </rPr>
      <t xml:space="preserve">加權案值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</si>
  <si>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Noto Sans CJK SC"/>
        <family val="2"/>
      </rPr>
      <t xml:space="preserve">加權毛利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</si>
  <si>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進入本階段日</t>
  </si>
  <si>
    <t xml:space="preserve">上次更新日</t>
  </si>
  <si>
    <t xml:space="preserve">停滯天數</t>
  </si>
  <si>
    <t xml:space="preserve">停滯狀態</t>
  </si>
  <si>
    <t xml:space="preserve">預計簽約月</t>
  </si>
  <si>
    <t xml:space="preserve">負責人</t>
  </si>
  <si>
    <t xml:space="preserve">主力夥伴</t>
  </si>
  <si>
    <t xml:space="preserve">下一步動作</t>
  </si>
  <si>
    <t xml:space="preserve">下一步到期日</t>
  </si>
  <si>
    <t xml:space="preserve">卡關原因</t>
  </si>
  <si>
    <t xml:space="preserve">狀態</t>
  </si>
  <si>
    <t xml:space="preserve">P-001</t>
  </si>
  <si>
    <t xml:space="preserve">中央兒童醫院資料中心機房整建</t>
  </si>
  <si>
    <t xml:space="preserve">OPP-23</t>
  </si>
  <si>
    <t xml:space="preserve">國家兒童醫院</t>
  </si>
  <si>
    <t xml:space="preserve">河內市</t>
  </si>
  <si>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實體基礎</t>
    </r>
  </si>
  <si>
    <t xml:space="preserve">2026-07-20</t>
  </si>
  <si>
    <t xml:space="preserve">2026-08-12</t>
  </si>
  <si>
    <t xml:space="preserve">2026-11</t>
  </si>
  <si>
    <t xml:space="preserve">陳</t>
  </si>
  <si>
    <r>
      <rPr>
        <sz val="10"/>
        <rFont val="Arial"/>
        <family val="0"/>
        <charset val="1"/>
      </rPr>
      <t xml:space="preserve">P-07 </t>
    </r>
    <r>
      <rPr>
        <sz val="10"/>
        <rFont val="Noto Sans CJK SC"/>
        <family val="2"/>
      </rPr>
      <t xml:space="preserve">在地機電</t>
    </r>
  </si>
  <si>
    <t xml:space="preserve">追提案回覆，約下次技術澄清會</t>
  </si>
  <si>
    <t xml:space="preserve">2026-08-25</t>
  </si>
  <si>
    <t xml:space="preserve">進行中</t>
  </si>
  <si>
    <t xml:space="preserve">P-002</t>
  </si>
  <si>
    <r>
      <rPr>
        <sz val="10"/>
        <rFont val="Noto Sans CJK SC"/>
        <family val="2"/>
      </rPr>
      <t xml:space="preserve">峴港綜合醫院 </t>
    </r>
    <r>
      <rPr>
        <sz val="10"/>
        <rFont val="Arial"/>
        <family val="0"/>
        <charset val="1"/>
      </rPr>
      <t xml:space="preserve">UPS </t>
    </r>
    <r>
      <rPr>
        <sz val="10"/>
        <rFont val="Noto Sans CJK SC"/>
        <family val="2"/>
      </rPr>
      <t xml:space="preserve">與不斷電系統</t>
    </r>
  </si>
  <si>
    <t xml:space="preserve">TBMT-2026-0413</t>
  </si>
  <si>
    <t xml:space="preserve">峴港市綜合醫院</t>
  </si>
  <si>
    <t xml:space="preserve">峴港市</t>
  </si>
  <si>
    <t xml:space="preserve">2026-08-01</t>
  </si>
  <si>
    <t xml:space="preserve">2026-08-14</t>
  </si>
  <si>
    <t xml:space="preserve">2026-10</t>
  </si>
  <si>
    <t xml:space="preserve">林</t>
  </si>
  <si>
    <r>
      <rPr>
        <sz val="10"/>
        <rFont val="Arial"/>
        <family val="0"/>
        <charset val="1"/>
      </rPr>
      <t xml:space="preserve">P-12 </t>
    </r>
    <r>
      <rPr>
        <sz val="10"/>
        <rFont val="Noto Sans CJK SC"/>
        <family val="2"/>
      </rPr>
      <t xml:space="preserve">在地施工</t>
    </r>
  </si>
  <si>
    <t xml:space="preserve">議價第二輪，準備讓步方案</t>
  </si>
  <si>
    <t xml:space="preserve">2026-08-22</t>
  </si>
  <si>
    <r>
      <rPr>
        <sz val="10"/>
        <rFont val="Noto Sans CJK SC"/>
        <family val="2"/>
      </rPr>
      <t xml:space="preserve">對方壓價 </t>
    </r>
    <r>
      <rPr>
        <sz val="10"/>
        <rFont val="Arial"/>
        <family val="0"/>
        <charset val="1"/>
      </rPr>
      <t xml:space="preserve">12%</t>
    </r>
    <r>
      <rPr>
        <sz val="10"/>
        <rFont val="Noto Sans CJK SC"/>
        <family val="2"/>
      </rPr>
      <t xml:space="preserve">，逼近底價</t>
    </r>
  </si>
  <si>
    <t xml:space="preserve">P-003</t>
  </si>
  <si>
    <t xml:space="preserve">胡志明市醫學中心冷卻系統汰換</t>
  </si>
  <si>
    <t xml:space="preserve">OPP-31</t>
  </si>
  <si>
    <t xml:space="preserve">胡志明市醫學中心</t>
  </si>
  <si>
    <t xml:space="preserve">胡志明市</t>
  </si>
  <si>
    <t xml:space="preserve">2026-06-15</t>
  </si>
  <si>
    <t xml:space="preserve">2026-06-28</t>
  </si>
  <si>
    <t xml:space="preserve">2027-02</t>
  </si>
  <si>
    <t xml:space="preserve">（未定）</t>
  </si>
  <si>
    <t xml:space="preserve">等對方年度預算定案</t>
  </si>
  <si>
    <t xml:space="preserve">2026-09-30</t>
  </si>
  <si>
    <t xml:space="preserve">預算尚未編列，卡在院方財務</t>
  </si>
  <si>
    <t xml:space="preserve">P-004</t>
  </si>
  <si>
    <r>
      <rPr>
        <sz val="10"/>
        <rFont val="Noto Sans CJK SC"/>
        <family val="2"/>
      </rPr>
      <t xml:space="preserve">安沛省立醫院智慧病房 </t>
    </r>
    <r>
      <rPr>
        <sz val="10"/>
        <rFont val="Arial"/>
        <family val="0"/>
        <charset val="1"/>
      </rPr>
      <t xml:space="preserve">PPP </t>
    </r>
    <r>
      <rPr>
        <sz val="10"/>
        <rFont val="Noto Sans CJK SC"/>
        <family val="2"/>
      </rPr>
      <t xml:space="preserve">前期</t>
    </r>
  </si>
  <si>
    <t xml:space="preserve">OPP-08</t>
  </si>
  <si>
    <t xml:space="preserve">安沛省立醫院</t>
  </si>
  <si>
    <t xml:space="preserve">安沛省</t>
  </si>
  <si>
    <r>
      <rPr>
        <sz val="10"/>
        <rFont val="Arial"/>
        <family val="0"/>
        <charset val="1"/>
      </rPr>
      <t xml:space="preserve">L6 </t>
    </r>
    <r>
      <rPr>
        <sz val="10"/>
        <rFont val="Noto Sans CJK SC"/>
        <family val="2"/>
      </rPr>
      <t xml:space="preserve">照護營運</t>
    </r>
  </si>
  <si>
    <t xml:space="preserve">2026-07-05</t>
  </si>
  <si>
    <t xml:space="preserve">2026-08-10</t>
  </si>
  <si>
    <t xml:space="preserve">2027-06</t>
  </si>
  <si>
    <t xml:space="preserve">王</t>
  </si>
  <si>
    <r>
      <rPr>
        <sz val="10"/>
        <rFont val="Arial"/>
        <family val="0"/>
        <charset val="1"/>
      </rPr>
      <t xml:space="preserve">P-03 </t>
    </r>
    <r>
      <rPr>
        <sz val="10"/>
        <rFont val="Noto Sans CJK SC"/>
        <family val="2"/>
      </rPr>
      <t xml:space="preserve">系統整合</t>
    </r>
  </si>
  <si>
    <t xml:space="preserve">協助院方寫可行性報告初稿</t>
  </si>
  <si>
    <t xml:space="preserve">2026-09-05</t>
  </si>
  <si>
    <r>
      <rPr>
        <b val="true"/>
        <sz val="15"/>
        <color rgb="FF1F3864"/>
        <rFont val="Noto Sans CJK SC"/>
        <family val="2"/>
      </rPr>
      <t xml:space="preserve">月度快照｜</t>
    </r>
    <r>
      <rPr>
        <b val="true"/>
        <sz val="15"/>
        <color rgb="FF1F3864"/>
        <rFont val="Arial"/>
        <family val="0"/>
        <charset val="1"/>
      </rPr>
      <t xml:space="preserve">Monthly Snapshot</t>
    </r>
    <r>
      <rPr>
        <b val="true"/>
        <sz val="15"/>
        <color rgb="FF1F3864"/>
        <rFont val="Noto Sans CJK SC"/>
        <family val="2"/>
      </rPr>
      <t xml:space="preserve">（每月月底把儀表板的漏斗表複製一份到這裡）</t>
    </r>
  </si>
  <si>
    <t xml:space="preserve">❓這頁在回答：我們的階段機率估得準不準？管線是在長大還是在萎縮？　★ 這頁要養半年才有價值，但不從今天開始就永遠沒有</t>
  </si>
  <si>
    <t xml:space="preserve">快照月份</t>
  </si>
  <si>
    <r>
      <rPr>
        <b val="true"/>
        <sz val="10"/>
        <color rgb="FFFFFFFF"/>
        <rFont val="Noto Sans CJK SC"/>
        <family val="2"/>
      </rPr>
      <t xml:space="preserve">案值合計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</si>
  <si>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Noto Sans CJK SC"/>
        <family val="2"/>
      </rPr>
      <t xml:space="preserve">加權案值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</si>
  <si>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當月新增件數</t>
  </si>
  <si>
    <t xml:space="preserve">當月簽約件數</t>
  </si>
  <si>
    <t xml:space="preserve">當月流失件數</t>
  </si>
  <si>
    <t xml:space="preserve">備註</t>
  </si>
  <si>
    <t xml:space="preserve">2026-07</t>
  </si>
  <si>
    <t xml:space="preserve">首次建立快照</t>
  </si>
  <si>
    <t xml:space="preserve">案件狀態</t>
  </si>
  <si>
    <r>
      <rPr>
        <sz val="10"/>
        <rFont val="Arial"/>
        <family val="0"/>
        <charset val="1"/>
      </rPr>
      <t xml:space="preserve">L2 </t>
    </r>
    <r>
      <rPr>
        <sz val="10"/>
        <rFont val="Noto Sans CJK SC"/>
        <family val="2"/>
      </rPr>
      <t xml:space="preserve">數位基礎</t>
    </r>
  </si>
  <si>
    <t xml:space="preserve">贏</t>
  </si>
  <si>
    <r>
      <rPr>
        <sz val="10"/>
        <rFont val="Arial"/>
        <family val="0"/>
        <charset val="1"/>
      </rPr>
      <t xml:space="preserve">L3 </t>
    </r>
    <r>
      <rPr>
        <sz val="10"/>
        <rFont val="Noto Sans CJK SC"/>
        <family val="2"/>
      </rPr>
      <t xml:space="preserve">臨床設備</t>
    </r>
  </si>
  <si>
    <t xml:space="preserve">輸</t>
  </si>
  <si>
    <r>
      <rPr>
        <sz val="10"/>
        <rFont val="Arial"/>
        <family val="0"/>
        <charset val="1"/>
      </rPr>
      <t xml:space="preserve">L4 </t>
    </r>
    <r>
      <rPr>
        <sz val="10"/>
        <rFont val="Noto Sans CJK SC"/>
        <family val="2"/>
      </rPr>
      <t xml:space="preserve">資料平台</t>
    </r>
  </si>
  <si>
    <r>
      <rPr>
        <sz val="10"/>
        <rFont val="Arial"/>
        <family val="0"/>
        <charset val="1"/>
      </rPr>
      <t xml:space="preserve">L5 </t>
    </r>
    <r>
      <rPr>
        <sz val="10"/>
        <rFont val="Noto Sans CJK SC"/>
        <family val="2"/>
      </rPr>
      <t xml:space="preserve">智慧應用</t>
    </r>
  </si>
  <si>
    <r>
      <rPr>
        <sz val="10"/>
        <rFont val="Arial"/>
        <family val="0"/>
        <charset val="1"/>
      </rPr>
      <t xml:space="preserve">L7 </t>
    </r>
    <r>
      <rPr>
        <sz val="10"/>
        <rFont val="Noto Sans CJK SC"/>
        <family val="2"/>
      </rPr>
      <t xml:space="preserve">商模金流</t>
    </r>
  </si>
  <si>
    <r>
      <rPr>
        <sz val="10"/>
        <rFont val="Arial"/>
        <family val="0"/>
        <charset val="1"/>
      </rPr>
      <t xml:space="preserve">X1 </t>
    </r>
    <r>
      <rPr>
        <sz val="10"/>
        <rFont val="Noto Sans CJK SC"/>
        <family val="2"/>
      </rPr>
      <t xml:space="preserve">流失</t>
    </r>
  </si>
  <si>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治理合規</t>
    </r>
  </si>
  <si>
    <r>
      <rPr>
        <sz val="10"/>
        <rFont val="Arial"/>
        <family val="0"/>
        <charset val="1"/>
      </rPr>
      <t xml:space="preserve">X2 </t>
    </r>
    <r>
      <rPr>
        <sz val="10"/>
        <rFont val="Noto Sans CJK SC"/>
        <family val="2"/>
      </rPr>
      <t xml:space="preserve">暫停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</si>
</sst>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%"/>
    <numFmt numFmtId="168" formatCode="yyyy\-mm\-dd"/>
    <numFmt numFmtId="169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sz val="9"/>
      <color rgb="FF6B7280"/>
      <name val="Noto Sans CJK SC"/>
      <family val="2"/>
    </font>
    <font>
      <sz val="9"/>
      <color rgb="FF6B7280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4F9"/>
        <bgColor rgb="FFFFF9E3"/>
      </patternFill>
    </fill>
    <fill>
      <patternFill patternType="solid">
        <fgColor rgb="FF1F3864"/>
        <bgColor rgb="FF333333"/>
      </patternFill>
    </fill>
    <fill>
      <patternFill patternType="solid">
        <fgColor rgb="FFFFF9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4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30" hidden="false" customHeight="tru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45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60" hidden="false" customHeight="tru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45" hidden="false" customHeight="true" outlineLevel="0" collapsed="false">
      <c r="B17" s="4" t="s">
        <v>11</v>
      </c>
    </row>
    <row r="19" customFormat="false" ht="15" hidden="false" customHeight="false" outlineLevel="0" collapsed="false">
      <c r="B19" s="3" t="s">
        <v>12</v>
      </c>
    </row>
    <row r="20" customFormat="false" ht="60" hidden="false" customHeight="true" outlineLevel="0" collapsed="false">
      <c r="B20" s="5" t="s">
        <v>13</v>
      </c>
    </row>
    <row r="22" customFormat="false" ht="15" hidden="false" customHeight="false" outlineLevel="0" collapsed="false">
      <c r="B22" s="3" t="s">
        <v>14</v>
      </c>
    </row>
    <row r="23" customFormat="false" ht="45" hidden="false" customHeight="true" outlineLevel="0" collapsed="false">
      <c r="B2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4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23.1" hidden="false" customHeight="false" outlineLevel="0" collapsed="false">
      <c r="A1" s="6" t="s">
        <v>16</v>
      </c>
    </row>
    <row r="2" customFormat="false" ht="15" hidden="false" customHeight="false" outlineLevel="0" collapsed="false">
      <c r="A2" s="7" t="s">
        <v>17</v>
      </c>
    </row>
    <row r="4" customFormat="false" ht="15" hidden="false" customHeight="false" outlineLevel="0" collapsed="false">
      <c r="B4" s="8" t="s">
        <v>18</v>
      </c>
    </row>
    <row r="5" customFormat="false" ht="15" hidden="false" customHeight="false" outlineLevel="0" collapsed="false">
      <c r="B5" s="9" t="s">
        <v>19</v>
      </c>
      <c r="C5" s="10" t="n">
        <f aca="false">COUNTIFS(01_案件登錄_Pipeline!$W$5:$W$84,"進行中")</f>
        <v>4</v>
      </c>
      <c r="D5" s="11" t="s">
        <v>20</v>
      </c>
      <c r="E5" s="11"/>
      <c r="F5" s="11"/>
      <c r="G5" s="11"/>
      <c r="H5" s="11"/>
    </row>
    <row r="6" customFormat="false" ht="15" hidden="false" customHeight="false" outlineLevel="0" collapsed="false">
      <c r="B6" s="9" t="s">
        <v>21</v>
      </c>
      <c r="C6" s="10" t="n">
        <f aca="false">SUMIFS(01_案件登錄_Pipeline!$I$5:$I$84,01_案件登錄_Pipeline!$W$5:$W$84,"進行中")</f>
        <v>7370</v>
      </c>
      <c r="D6" s="11" t="s">
        <v>22</v>
      </c>
      <c r="E6" s="11"/>
      <c r="F6" s="11"/>
      <c r="G6" s="11"/>
      <c r="H6" s="11"/>
    </row>
    <row r="7" customFormat="false" ht="15" hidden="false" customHeight="false" outlineLevel="0" collapsed="false">
      <c r="B7" s="9" t="s">
        <v>23</v>
      </c>
      <c r="C7" s="10" t="n">
        <f aca="false">SUMIFS(01_案件登錄_Pipeline!$K$5:$K$84,01_案件登錄_Pipeline!$W$5:$W$84,"進行中")</f>
        <v>2969</v>
      </c>
      <c r="D7" s="11" t="s">
        <v>24</v>
      </c>
      <c r="E7" s="11"/>
      <c r="F7" s="11"/>
      <c r="G7" s="11"/>
      <c r="H7" s="11"/>
    </row>
    <row r="8" customFormat="false" ht="15" hidden="false" customHeight="false" outlineLevel="0" collapsed="false">
      <c r="B8" s="9" t="s">
        <v>25</v>
      </c>
      <c r="C8" s="10" t="n">
        <f aca="false">SUMIFS(01_案件登錄_Pipeline!$L$5:$L$84,01_案件登錄_Pipeline!$W$5:$W$84,"進行中")</f>
        <v>561.06</v>
      </c>
      <c r="D8" s="11" t="s">
        <v>26</v>
      </c>
      <c r="E8" s="11"/>
      <c r="F8" s="11"/>
      <c r="G8" s="11"/>
      <c r="H8" s="11"/>
    </row>
    <row r="9" customFormat="false" ht="15" hidden="false" customHeight="false" outlineLevel="0" collapsed="false">
      <c r="B9" s="9" t="s">
        <v>27</v>
      </c>
      <c r="C9" s="10" t="n">
        <f aca="false">IFERROR(SUMIFS(01_案件登錄_Pipeline!$I$5:$I$84,01_案件登錄_Pipeline!$W$5:$W$84,"進行中")/COUNTIFS(01_案件登錄_Pipeline!$W$5:$W$84,"進行中"),"")</f>
        <v>1842.5</v>
      </c>
      <c r="D9" s="11"/>
      <c r="E9" s="11"/>
      <c r="F9" s="11"/>
      <c r="G9" s="11"/>
      <c r="H9" s="11"/>
    </row>
    <row r="10" customFormat="false" ht="15" hidden="false" customHeight="false" outlineLevel="0" collapsed="false">
      <c r="B10" s="9" t="s">
        <v>28</v>
      </c>
      <c r="C10" s="10" t="n">
        <f aca="false">COUNTIFS(01_案件登錄_Pipeline!$P$5:$P$84,"⚠ 停滯")</f>
        <v>1</v>
      </c>
      <c r="D10" s="11" t="s">
        <v>29</v>
      </c>
      <c r="E10" s="11"/>
      <c r="F10" s="11"/>
      <c r="G10" s="11"/>
      <c r="H10" s="11"/>
    </row>
    <row r="11" customFormat="false" ht="15" hidden="false" customHeight="false" outlineLevel="0" collapsed="false">
      <c r="B11" s="9" t="s">
        <v>30</v>
      </c>
      <c r="C11" s="10" t="n">
        <f aca="true">COUNTIFS(01_案件登錄_Pipeline!$U$5:$U$84,"&gt;="&amp;EOMONTH(TODAY(),-1)+1,01_案件登錄_Pipeline!$U$5:$U$84,"&lt;="&amp;EOMONTH(TODAY(),0),01_案件登錄_Pipeline!$W$5:$W$84,"進行中")</f>
        <v>0</v>
      </c>
      <c r="D11" s="11" t="s">
        <v>31</v>
      </c>
      <c r="E11" s="11"/>
      <c r="F11" s="11"/>
      <c r="G11" s="11"/>
      <c r="H11" s="11"/>
    </row>
    <row r="12" customFormat="false" ht="15" hidden="false" customHeight="false" outlineLevel="0" collapsed="false">
      <c r="B12" s="9" t="s">
        <v>32</v>
      </c>
      <c r="C12" s="10" t="n">
        <f aca="true">COUNTIFS(01_案件登錄_Pipeline!$U$5:$U$84,"&lt;"&amp;TODAY(),01_案件登錄_Pipeline!$U$5:$U$84,"&lt;&gt;",01_案件登錄_Pipeline!$W$5:$W$84,"進行中")</f>
        <v>0</v>
      </c>
      <c r="D12" s="11" t="s">
        <v>33</v>
      </c>
      <c r="E12" s="11"/>
      <c r="F12" s="11"/>
      <c r="G12" s="11"/>
      <c r="H12" s="11"/>
    </row>
    <row r="14" customFormat="false" ht="15" hidden="false" customHeight="false" outlineLevel="0" collapsed="false">
      <c r="B14" s="8" t="s">
        <v>34</v>
      </c>
    </row>
    <row r="15" customFormat="false" ht="15" hidden="false" customHeight="false" outlineLevel="0" collapsed="false">
      <c r="B15" s="12" t="s">
        <v>35</v>
      </c>
      <c r="C15" s="12" t="s">
        <v>36</v>
      </c>
      <c r="D15" s="12" t="s">
        <v>37</v>
      </c>
      <c r="E15" s="12" t="s">
        <v>38</v>
      </c>
      <c r="F15" s="12" t="s">
        <v>39</v>
      </c>
      <c r="G15" s="12" t="s">
        <v>40</v>
      </c>
    </row>
    <row r="16" customFormat="false" ht="15" hidden="false" customHeight="false" outlineLevel="0" collapsed="false">
      <c r="B16" s="13" t="s">
        <v>41</v>
      </c>
      <c r="C16" s="14" t="n">
        <f aca="false">COUNTIFS(01_案件登錄_Pipeline!$G$5:$G$84,"S1*",01_案件登錄_Pipeline!$W$5:$W$84,"進行中")</f>
        <v>0</v>
      </c>
      <c r="D16" s="14" t="n">
        <f aca="false">SUMIFS(01_案件登錄_Pipeline!$I$5:$I$84,01_案件登錄_Pipeline!$G$5:$G$84,"S1*",01_案件登錄_Pipeline!$W$5:$W$84,"進行中")</f>
        <v>0</v>
      </c>
      <c r="E16" s="14" t="n">
        <f aca="false">SUMIFS(01_案件登錄_Pipeline!$K$5:$K$84,01_案件登錄_Pipeline!$G$5:$G$84,"S1*",01_案件登錄_Pipeline!$W$5:$W$84,"進行中")</f>
        <v>0</v>
      </c>
      <c r="F16" s="15" t="str">
        <f aca="false">IFERROR(AVERAGEIFS(01_案件登錄_Pipeline!$O$5:$O$84,01_案件登錄_Pipeline!$G$5:$G$84,"S1*",01_案件登錄_Pipeline!$W$5:$W$84,"進行中"),"")</f>
        <v/>
      </c>
      <c r="G16" s="16" t="n">
        <f aca="false">IFERROR(SUMIFS(01_案件登錄_Pipeline!$I$5:$I$84,01_案件登錄_Pipeline!$G$5:$G$84,"S1*",01_案件登錄_Pipeline!$W$5:$W$84,"進行中")/SUMIFS(01_案件登錄_Pipeline!$I$5:$I$84,01_案件登錄_Pipeline!$W$5:$W$84,"進行中"),"")</f>
        <v>0</v>
      </c>
    </row>
    <row r="17" customFormat="false" ht="15" hidden="false" customHeight="false" outlineLevel="0" collapsed="false">
      <c r="B17" s="13" t="s">
        <v>42</v>
      </c>
      <c r="C17" s="14" t="n">
        <f aca="false">COUNTIFS(01_案件登錄_Pipeline!$G$5:$G$84,"S2*",01_案件登錄_Pipeline!$W$5:$W$84,"進行中")</f>
        <v>1</v>
      </c>
      <c r="D17" s="14" t="n">
        <f aca="false">SUMIFS(01_案件登錄_Pipeline!$I$5:$I$84,01_案件登錄_Pipeline!$G$5:$G$84,"S2*",01_案件登錄_Pipeline!$W$5:$W$84,"進行中")</f>
        <v>1400</v>
      </c>
      <c r="E17" s="14" t="n">
        <f aca="false">SUMIFS(01_案件登錄_Pipeline!$K$5:$K$84,01_案件登錄_Pipeline!$G$5:$G$84,"S2*",01_案件登錄_Pipeline!$W$5:$W$84,"進行中")</f>
        <v>280</v>
      </c>
      <c r="F17" s="15" t="n">
        <f aca="false">IFERROR(AVERAGEIFS(01_案件登錄_Pipeline!$O$5:$O$84,01_案件登錄_Pipeline!$G$5:$G$84,"S2*",01_案件登錄_Pipeline!$W$5:$W$84,"進行中"),"")</f>
        <v>51</v>
      </c>
      <c r="G17" s="16" t="n">
        <f aca="false">IFERROR(SUMIFS(01_案件登錄_Pipeline!$I$5:$I$84,01_案件登錄_Pipeline!$G$5:$G$84,"S2*",01_案件登錄_Pipeline!$W$5:$W$84,"進行中")/SUMIFS(01_案件登錄_Pipeline!$I$5:$I$84,01_案件登錄_Pipeline!$W$5:$W$84,"進行中"),"")</f>
        <v>0.189959294436906</v>
      </c>
    </row>
    <row r="18" customFormat="false" ht="15" hidden="false" customHeight="false" outlineLevel="0" collapsed="false">
      <c r="B18" s="13" t="s">
        <v>43</v>
      </c>
      <c r="C18" s="14" t="n">
        <f aca="false">COUNTIFS(01_案件登錄_Pipeline!$G$5:$G$84,"S3*",01_案件登錄_Pipeline!$W$5:$W$84,"進行中")</f>
        <v>1</v>
      </c>
      <c r="D18" s="14" t="n">
        <f aca="false">SUMIFS(01_案件登錄_Pipeline!$I$5:$I$84,01_案件登錄_Pipeline!$G$5:$G$84,"S3*",01_案件登錄_Pipeline!$W$5:$W$84,"進行中")</f>
        <v>3200</v>
      </c>
      <c r="E18" s="14" t="n">
        <f aca="false">SUMIFS(01_案件登錄_Pipeline!$K$5:$K$84,01_案件登錄_Pipeline!$G$5:$G$84,"S3*",01_案件登錄_Pipeline!$W$5:$W$84,"進行中")</f>
        <v>1120</v>
      </c>
      <c r="F18" s="15" t="n">
        <f aca="false">IFERROR(AVERAGEIFS(01_案件登錄_Pipeline!$O$5:$O$84,01_案件登錄_Pipeline!$G$5:$G$84,"S3*",01_案件登錄_Pipeline!$W$5:$W$84,"進行中"),"")</f>
        <v>8</v>
      </c>
      <c r="G18" s="16" t="n">
        <f aca="false">IFERROR(SUMIFS(01_案件登錄_Pipeline!$I$5:$I$84,01_案件登錄_Pipeline!$G$5:$G$84,"S3*",01_案件登錄_Pipeline!$W$5:$W$84,"進行中")/SUMIFS(01_案件登錄_Pipeline!$I$5:$I$84,01_案件登錄_Pipeline!$W$5:$W$84,"進行中"),"")</f>
        <v>0.434192672998643</v>
      </c>
    </row>
    <row r="19" customFormat="false" ht="15" hidden="false" customHeight="false" outlineLevel="0" collapsed="false">
      <c r="B19" s="13" t="s">
        <v>44</v>
      </c>
      <c r="C19" s="14" t="n">
        <f aca="false">COUNTIFS(01_案件登錄_Pipeline!$G$5:$G$84,"S4*",01_案件登錄_Pipeline!$W$5:$W$84,"進行中")</f>
        <v>1</v>
      </c>
      <c r="D19" s="14" t="n">
        <f aca="false">SUMIFS(01_案件登錄_Pipeline!$I$5:$I$84,01_案件登錄_Pipeline!$G$5:$G$84,"S4*",01_案件登錄_Pipeline!$W$5:$W$84,"進行中")</f>
        <v>1850</v>
      </c>
      <c r="E19" s="14" t="n">
        <f aca="false">SUMIFS(01_案件登錄_Pipeline!$K$5:$K$84,01_案件登錄_Pipeline!$G$5:$G$84,"S4*",01_案件登錄_Pipeline!$W$5:$W$84,"進行中")</f>
        <v>925</v>
      </c>
      <c r="F19" s="15" t="n">
        <f aca="false">IFERROR(AVERAGEIFS(01_案件登錄_Pipeline!$O$5:$O$84,01_案件登錄_Pipeline!$G$5:$G$84,"S4*",01_案件登錄_Pipeline!$W$5:$W$84,"進行中"),"")</f>
        <v>6</v>
      </c>
      <c r="G19" s="16" t="n">
        <f aca="false">IFERROR(SUMIFS(01_案件登錄_Pipeline!$I$5:$I$84,01_案件登錄_Pipeline!$G$5:$G$84,"S4*",01_案件登錄_Pipeline!$W$5:$W$84,"進行中")/SUMIFS(01_案件登錄_Pipeline!$I$5:$I$84,01_案件登錄_Pipeline!$W$5:$W$84,"進行中"),"")</f>
        <v>0.251017639077341</v>
      </c>
    </row>
    <row r="20" customFormat="false" ht="15" hidden="false" customHeight="false" outlineLevel="0" collapsed="false">
      <c r="B20" s="13" t="s">
        <v>45</v>
      </c>
      <c r="C20" s="14" t="n">
        <f aca="false">COUNTIFS(01_案件登錄_Pipeline!$G$5:$G$84,"S5*",01_案件登錄_Pipeline!$W$5:$W$84,"進行中")</f>
        <v>1</v>
      </c>
      <c r="D20" s="14" t="n">
        <f aca="false">SUMIFS(01_案件登錄_Pipeline!$I$5:$I$84,01_案件登錄_Pipeline!$G$5:$G$84,"S5*",01_案件登錄_Pipeline!$W$5:$W$84,"進行中")</f>
        <v>920</v>
      </c>
      <c r="E20" s="14" t="n">
        <f aca="false">SUMIFS(01_案件登錄_Pipeline!$K$5:$K$84,01_案件登錄_Pipeline!$G$5:$G$84,"S5*",01_案件登錄_Pipeline!$W$5:$W$84,"進行中")</f>
        <v>644</v>
      </c>
      <c r="F20" s="15" t="n">
        <f aca="false">IFERROR(AVERAGEIFS(01_案件登錄_Pipeline!$O$5:$O$84,01_案件登錄_Pipeline!$G$5:$G$84,"S5*",01_案件登錄_Pipeline!$W$5:$W$84,"進行中"),"")</f>
        <v>4</v>
      </c>
      <c r="G20" s="16" t="n">
        <f aca="false">IFERROR(SUMIFS(01_案件登錄_Pipeline!$I$5:$I$84,01_案件登錄_Pipeline!$G$5:$G$84,"S5*",01_案件登錄_Pipeline!$W$5:$W$84,"進行中")/SUMIFS(01_案件登錄_Pipeline!$I$5:$I$84,01_案件登錄_Pipeline!$W$5:$W$84,"進行中"),"")</f>
        <v>0.12483039348711</v>
      </c>
    </row>
    <row r="21" customFormat="false" ht="15" hidden="false" customHeight="false" outlineLevel="0" collapsed="false">
      <c r="B21" s="13" t="s">
        <v>46</v>
      </c>
      <c r="C21" s="14" t="n">
        <f aca="false">COUNTIFS(01_案件登錄_Pipeline!$G$5:$G$84,"S6*",01_案件登錄_Pipeline!$W$5:$W$84,"進行中")</f>
        <v>0</v>
      </c>
      <c r="D21" s="14" t="n">
        <f aca="false">SUMIFS(01_案件登錄_Pipeline!$I$5:$I$84,01_案件登錄_Pipeline!$G$5:$G$84,"S6*",01_案件登錄_Pipeline!$W$5:$W$84,"進行中")</f>
        <v>0</v>
      </c>
      <c r="E21" s="14" t="n">
        <f aca="false">SUMIFS(01_案件登錄_Pipeline!$K$5:$K$84,01_案件登錄_Pipeline!$G$5:$G$84,"S6*",01_案件登錄_Pipeline!$W$5:$W$84,"進行中")</f>
        <v>0</v>
      </c>
      <c r="F21" s="15" t="str">
        <f aca="false">IFERROR(AVERAGEIFS(01_案件登錄_Pipeline!$O$5:$O$84,01_案件登錄_Pipeline!$G$5:$G$84,"S6*",01_案件登錄_Pipeline!$W$5:$W$84,"進行中"),"")</f>
        <v/>
      </c>
      <c r="G21" s="16" t="n">
        <f aca="false">IFERROR(SUMIFS(01_案件登錄_Pipeline!$I$5:$I$84,01_案件登錄_Pipeline!$G$5:$G$84,"S6*",01_案件登錄_Pipeline!$W$5:$W$84,"進行中")/SUMIFS(01_案件登錄_Pipeline!$I$5:$I$84,01_案件登錄_Pipeline!$W$5:$W$84,"進行中"),"")</f>
        <v>0</v>
      </c>
    </row>
    <row r="22" customFormat="false" ht="15" hidden="false" customHeight="false" outlineLevel="0" collapsed="false">
      <c r="B22" s="13" t="s">
        <v>47</v>
      </c>
      <c r="C22" s="14" t="n">
        <f aca="false">COUNTIFS(01_案件登錄_Pipeline!$G$5:$G$84,"S7*",01_案件登錄_Pipeline!$W$5:$W$84,"進行中")</f>
        <v>0</v>
      </c>
      <c r="D22" s="14" t="n">
        <f aca="false">SUMIFS(01_案件登錄_Pipeline!$I$5:$I$84,01_案件登錄_Pipeline!$G$5:$G$84,"S7*",01_案件登錄_Pipeline!$W$5:$W$84,"進行中")</f>
        <v>0</v>
      </c>
      <c r="E22" s="14" t="n">
        <f aca="false">SUMIFS(01_案件登錄_Pipeline!$K$5:$K$84,01_案件登錄_Pipeline!$G$5:$G$84,"S7*",01_案件登錄_Pipeline!$W$5:$W$84,"進行中")</f>
        <v>0</v>
      </c>
      <c r="F22" s="15" t="str">
        <f aca="false">IFERROR(AVERAGEIFS(01_案件登錄_Pipeline!$O$5:$O$84,01_案件登錄_Pipeline!$G$5:$G$84,"S7*",01_案件登錄_Pipeline!$W$5:$W$84,"進行中"),"")</f>
        <v/>
      </c>
      <c r="G22" s="16" t="n">
        <f aca="false">IFERROR(SUMIFS(01_案件登錄_Pipeline!$I$5:$I$84,01_案件登錄_Pipeline!$G$5:$G$84,"S7*",01_案件登錄_Pipeline!$W$5:$W$84,"進行中")/SUMIFS(01_案件登錄_Pipeline!$I$5:$I$84,01_案件登錄_Pipeline!$W$5:$W$84,"進行中"),"")</f>
        <v>0</v>
      </c>
    </row>
    <row r="25" customFormat="false" ht="15" hidden="false" customHeight="false" outlineLevel="0" collapsed="false">
      <c r="B25" s="8" t="s">
        <v>48</v>
      </c>
    </row>
    <row r="26" customFormat="false" ht="15" hidden="false" customHeight="false" outlineLevel="0" collapsed="false">
      <c r="B26" s="9" t="s">
        <v>49</v>
      </c>
      <c r="C26" s="17" t="n">
        <f aca="false">COUNTIFS(01_案件登錄_Pipeline!$W$5:$W$84,"贏")</f>
        <v>0</v>
      </c>
    </row>
    <row r="27" customFormat="false" ht="15" hidden="false" customHeight="false" outlineLevel="0" collapsed="false">
      <c r="B27" s="9" t="s">
        <v>50</v>
      </c>
      <c r="C27" s="17" t="n">
        <f aca="false">SUMIFS(01_案件登錄_Pipeline!$I$5:$I$84,01_案件登錄_Pipeline!$W$5:$W$84,"贏")</f>
        <v>0</v>
      </c>
    </row>
    <row r="28" customFormat="false" ht="15" hidden="false" customHeight="false" outlineLevel="0" collapsed="false">
      <c r="B28" s="9" t="s">
        <v>51</v>
      </c>
      <c r="C28" s="17" t="n">
        <f aca="false">COUNTIFS(01_案件登錄_Pipeline!$W$5:$W$84,"輸")</f>
        <v>0</v>
      </c>
    </row>
    <row r="29" customFormat="false" ht="15" hidden="false" customHeight="false" outlineLevel="0" collapsed="false">
      <c r="B29" s="9" t="s">
        <v>52</v>
      </c>
      <c r="C29" s="18" t="str">
        <f aca="false">IFERROR(COUNTIFS(01_案件登錄_Pipeline!$W$5:$W$84,"贏")/(COUNTIFS(01_案件登錄_Pipeline!$W$5:$W$84,"贏")+COUNTIFS(01_案件登錄_Pipeline!$W$5:$W$84,"輸")),"")</f>
        <v/>
      </c>
    </row>
    <row r="30" customFormat="false" ht="15" hidden="false" customHeight="false" outlineLevel="0" collapsed="false">
      <c r="B30" s="9" t="s">
        <v>53</v>
      </c>
      <c r="C30" s="18" t="str">
        <f aca="false">IFERROR(SUMIFS(01_案件登錄_Pipeline!$I$5:$I$84,01_案件登錄_Pipeline!$W$5:$W$84,"贏")/(SUMIFS(01_案件登錄_Pipeline!$I$5:$I$84,01_案件登錄_Pipeline!$W$5:$W$84,"贏")+SUMIFS(01_案件登錄_Pipeline!$I$5:$I$84,01_案件登錄_Pipeline!$W$5:$W$84,"輸")),"")</f>
        <v/>
      </c>
    </row>
    <row r="32" customFormat="false" ht="15" hidden="false" customHeight="true" outlineLevel="0" collapsed="false">
      <c r="B32" s="19" t="s">
        <v>54</v>
      </c>
      <c r="C32" s="19"/>
      <c r="D32" s="19"/>
      <c r="E32" s="19"/>
      <c r="F32" s="19"/>
      <c r="G32" s="19"/>
      <c r="H32" s="19"/>
    </row>
    <row r="33" customFormat="false" ht="15" hidden="false" customHeight="false" outlineLevel="0" collapsed="false">
      <c r="B33" s="19"/>
      <c r="C33" s="19"/>
      <c r="D33" s="19"/>
      <c r="E33" s="19"/>
      <c r="F33" s="19"/>
      <c r="G33" s="19"/>
      <c r="H33" s="19"/>
    </row>
  </sheetData>
  <mergeCells count="9">
    <mergeCell ref="D5:H5"/>
    <mergeCell ref="D6:H6"/>
    <mergeCell ref="D7:H7"/>
    <mergeCell ref="D8:H8"/>
    <mergeCell ref="D9:H9"/>
    <mergeCell ref="D10:H10"/>
    <mergeCell ref="D11:H11"/>
    <mergeCell ref="D12:H12"/>
    <mergeCell ref="B32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7" min="6" style="0" width="12"/>
  </cols>
  <sheetData>
    <row r="1" customFormat="false" ht="23.1" hidden="false" customHeight="false" outlineLevel="0" collapsed="false">
      <c r="A1" s="6" t="s">
        <v>55</v>
      </c>
    </row>
    <row r="2" customFormat="false" ht="15" hidden="false" customHeight="false" outlineLevel="0" collapsed="false">
      <c r="A2" s="7" t="s">
        <v>56</v>
      </c>
    </row>
    <row r="3" customFormat="false" ht="15" hidden="false" customHeight="false" outlineLevel="0" collapsed="false">
      <c r="A3" s="3" t="s">
        <v>57</v>
      </c>
      <c r="B3" s="20" t="s">
        <v>58</v>
      </c>
      <c r="C3" s="21" t="s">
        <v>59</v>
      </c>
      <c r="D3" s="22" t="s">
        <v>60</v>
      </c>
    </row>
    <row r="4" customFormat="false" ht="30" hidden="false" customHeight="true" outlineLevel="0" collapsed="false">
      <c r="A4" s="23" t="s">
        <v>61</v>
      </c>
      <c r="B4" s="23" t="s">
        <v>62</v>
      </c>
      <c r="C4" s="23" t="s">
        <v>63</v>
      </c>
      <c r="D4" s="23" t="s">
        <v>64</v>
      </c>
      <c r="E4" s="23" t="s">
        <v>65</v>
      </c>
      <c r="F4" s="23" t="s">
        <v>66</v>
      </c>
      <c r="G4" s="23" t="s">
        <v>67</v>
      </c>
    </row>
    <row r="5" customFormat="false" ht="30" hidden="false" customHeight="true" outlineLevel="0" collapsed="false">
      <c r="A5" s="24" t="s">
        <v>68</v>
      </c>
      <c r="B5" s="25" t="s">
        <v>69</v>
      </c>
      <c r="C5" s="25" t="n">
        <v>1</v>
      </c>
      <c r="D5" s="26" t="n">
        <v>0.1</v>
      </c>
      <c r="E5" s="27" t="s">
        <v>70</v>
      </c>
      <c r="F5" s="25" t="n">
        <v>30</v>
      </c>
      <c r="G5" s="25" t="n">
        <v>45</v>
      </c>
    </row>
    <row r="6" customFormat="false" ht="30" hidden="false" customHeight="true" outlineLevel="0" collapsed="false">
      <c r="A6" s="24" t="s">
        <v>71</v>
      </c>
      <c r="B6" s="25" t="s">
        <v>72</v>
      </c>
      <c r="C6" s="25" t="n">
        <v>2</v>
      </c>
      <c r="D6" s="26" t="n">
        <v>0.2</v>
      </c>
      <c r="E6" s="27" t="s">
        <v>73</v>
      </c>
      <c r="F6" s="25" t="n">
        <v>30</v>
      </c>
      <c r="G6" s="25" t="n">
        <v>45</v>
      </c>
    </row>
    <row r="7" customFormat="false" ht="30" hidden="false" customHeight="true" outlineLevel="0" collapsed="false">
      <c r="A7" s="24" t="s">
        <v>74</v>
      </c>
      <c r="B7" s="25" t="s">
        <v>75</v>
      </c>
      <c r="C7" s="25" t="n">
        <v>3</v>
      </c>
      <c r="D7" s="26" t="n">
        <v>0.35</v>
      </c>
      <c r="E7" s="27" t="s">
        <v>76</v>
      </c>
      <c r="F7" s="25" t="n">
        <v>45</v>
      </c>
      <c r="G7" s="25" t="n">
        <v>60</v>
      </c>
    </row>
    <row r="8" customFormat="false" ht="30" hidden="false" customHeight="true" outlineLevel="0" collapsed="false">
      <c r="A8" s="24" t="s">
        <v>77</v>
      </c>
      <c r="B8" s="25" t="s">
        <v>78</v>
      </c>
      <c r="C8" s="25" t="n">
        <v>4</v>
      </c>
      <c r="D8" s="26" t="n">
        <v>0.5</v>
      </c>
      <c r="E8" s="27" t="s">
        <v>79</v>
      </c>
      <c r="F8" s="25" t="n">
        <v>30</v>
      </c>
      <c r="G8" s="25" t="n">
        <v>45</v>
      </c>
    </row>
    <row r="9" customFormat="false" ht="30" hidden="false" customHeight="true" outlineLevel="0" collapsed="false">
      <c r="A9" s="24" t="s">
        <v>80</v>
      </c>
      <c r="B9" s="25" t="s">
        <v>81</v>
      </c>
      <c r="C9" s="25" t="n">
        <v>5</v>
      </c>
      <c r="D9" s="26" t="n">
        <v>0.7</v>
      </c>
      <c r="E9" s="27" t="s">
        <v>82</v>
      </c>
      <c r="F9" s="25" t="n">
        <v>30</v>
      </c>
      <c r="G9" s="25" t="n">
        <v>45</v>
      </c>
    </row>
    <row r="10" customFormat="false" ht="30" hidden="false" customHeight="true" outlineLevel="0" collapsed="false">
      <c r="A10" s="24" t="s">
        <v>83</v>
      </c>
      <c r="B10" s="25" t="s">
        <v>84</v>
      </c>
      <c r="C10" s="25" t="n">
        <v>6</v>
      </c>
      <c r="D10" s="26" t="n">
        <v>0.9</v>
      </c>
      <c r="E10" s="27" t="s">
        <v>85</v>
      </c>
      <c r="F10" s="25" t="n">
        <v>20</v>
      </c>
      <c r="G10" s="25" t="n">
        <v>30</v>
      </c>
    </row>
    <row r="11" customFormat="false" ht="30" hidden="false" customHeight="true" outlineLevel="0" collapsed="false">
      <c r="A11" s="24" t="s">
        <v>86</v>
      </c>
      <c r="B11" s="25" t="s">
        <v>87</v>
      </c>
      <c r="C11" s="25" t="n">
        <v>7</v>
      </c>
      <c r="D11" s="26" t="n">
        <v>1</v>
      </c>
      <c r="E11" s="27" t="s">
        <v>88</v>
      </c>
      <c r="F11" s="25" t="n">
        <v>0</v>
      </c>
      <c r="G11" s="25" t="n">
        <v>0</v>
      </c>
    </row>
    <row r="12" customFormat="false" ht="30" hidden="false" customHeight="true" outlineLevel="0" collapsed="false">
      <c r="A12" s="24" t="s">
        <v>89</v>
      </c>
      <c r="B12" s="25" t="s">
        <v>90</v>
      </c>
      <c r="C12" s="25" t="n">
        <v>8</v>
      </c>
      <c r="D12" s="26" t="n">
        <v>0</v>
      </c>
      <c r="E12" s="27" t="s">
        <v>91</v>
      </c>
      <c r="F12" s="25" t="n">
        <v>0</v>
      </c>
      <c r="G12" s="25" t="n">
        <v>0</v>
      </c>
    </row>
    <row r="13" customFormat="false" ht="30" hidden="false" customHeight="true" outlineLevel="0" collapsed="false">
      <c r="A13" s="24" t="s">
        <v>92</v>
      </c>
      <c r="B13" s="25" t="s">
        <v>93</v>
      </c>
      <c r="C13" s="25" t="n">
        <v>9</v>
      </c>
      <c r="D13" s="26" t="n">
        <v>0</v>
      </c>
      <c r="E13" s="27" t="s">
        <v>94</v>
      </c>
      <c r="F13" s="25" t="n">
        <v>0</v>
      </c>
      <c r="G13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4" min="13" style="0" width="12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9"/>
    <col collapsed="false" customWidth="true" hidden="false" outlineLevel="0" max="19" min="19" style="0" width="14"/>
    <col collapsed="false" customWidth="true" hidden="false" outlineLevel="0" max="20" min="20" style="0" width="28"/>
    <col collapsed="false" customWidth="true" hidden="false" outlineLevel="0" max="21" min="21" style="0" width="12"/>
    <col collapsed="false" customWidth="true" hidden="false" outlineLevel="0" max="22" min="22" style="0" width="26"/>
    <col collapsed="false" customWidth="true" hidden="false" outlineLevel="0" max="23" min="23" style="0" width="9"/>
  </cols>
  <sheetData>
    <row r="1" customFormat="false" ht="23.1" hidden="false" customHeight="false" outlineLevel="0" collapsed="false">
      <c r="A1" s="6" t="s">
        <v>95</v>
      </c>
    </row>
    <row r="2" customFormat="false" ht="15" hidden="false" customHeight="false" outlineLevel="0" collapsed="false">
      <c r="A2" s="7" t="s">
        <v>96</v>
      </c>
    </row>
    <row r="3" customFormat="false" ht="15" hidden="false" customHeight="false" outlineLevel="0" collapsed="false">
      <c r="A3" s="3" t="s">
        <v>57</v>
      </c>
      <c r="B3" s="20" t="s">
        <v>58</v>
      </c>
      <c r="C3" s="21" t="s">
        <v>59</v>
      </c>
      <c r="D3" s="22" t="s">
        <v>60</v>
      </c>
    </row>
    <row r="4" customFormat="false" ht="30" hidden="false" customHeight="true" outlineLevel="0" collapsed="false">
      <c r="A4" s="23" t="s">
        <v>97</v>
      </c>
      <c r="B4" s="23" t="s">
        <v>98</v>
      </c>
      <c r="C4" s="23" t="s">
        <v>99</v>
      </c>
      <c r="D4" s="23" t="s">
        <v>100</v>
      </c>
      <c r="E4" s="23" t="s">
        <v>101</v>
      </c>
      <c r="F4" s="23" t="s">
        <v>102</v>
      </c>
      <c r="G4" s="23" t="s">
        <v>35</v>
      </c>
      <c r="H4" s="23" t="s">
        <v>103</v>
      </c>
      <c r="I4" s="23" t="s">
        <v>104</v>
      </c>
      <c r="J4" s="23" t="s">
        <v>105</v>
      </c>
      <c r="K4" s="23" t="s">
        <v>106</v>
      </c>
      <c r="L4" s="23" t="s">
        <v>107</v>
      </c>
      <c r="M4" s="23" t="s">
        <v>108</v>
      </c>
      <c r="N4" s="23" t="s">
        <v>109</v>
      </c>
      <c r="O4" s="23" t="s">
        <v>110</v>
      </c>
      <c r="P4" s="23" t="s">
        <v>111</v>
      </c>
      <c r="Q4" s="23" t="s">
        <v>112</v>
      </c>
      <c r="R4" s="23" t="s">
        <v>113</v>
      </c>
      <c r="S4" s="23" t="s">
        <v>114</v>
      </c>
      <c r="T4" s="23" t="s">
        <v>115</v>
      </c>
      <c r="U4" s="23" t="s">
        <v>116</v>
      </c>
      <c r="V4" s="23" t="s">
        <v>117</v>
      </c>
      <c r="W4" s="23" t="s">
        <v>118</v>
      </c>
    </row>
    <row r="5" customFormat="false" ht="15" hidden="false" customHeight="false" outlineLevel="0" collapsed="false">
      <c r="A5" s="24" t="s">
        <v>119</v>
      </c>
      <c r="B5" s="28" t="s">
        <v>120</v>
      </c>
      <c r="C5" s="24" t="s">
        <v>121</v>
      </c>
      <c r="D5" s="25" t="s">
        <v>122</v>
      </c>
      <c r="E5" s="25" t="s">
        <v>123</v>
      </c>
      <c r="F5" s="24" t="s">
        <v>124</v>
      </c>
      <c r="G5" s="24" t="s">
        <v>44</v>
      </c>
      <c r="H5" s="29" t="n">
        <f aca="false">IFERROR(INDEX(02_階段定義_Stages!$D$5:$D$13,MATCH(LEFT($G5,2),02_階段定義_Stages!$A$5:$A$13,0)),"")</f>
        <v>0.5</v>
      </c>
      <c r="I5" s="30" t="n">
        <v>1850</v>
      </c>
      <c r="J5" s="26" t="n">
        <v>0.22</v>
      </c>
      <c r="K5" s="31" t="n">
        <f aca="false">IF(OR($I5="",$H5=""),"",$I5*$H5)</f>
        <v>925</v>
      </c>
      <c r="L5" s="31" t="n">
        <f aca="false">IF(OR($K5="",$J5=""),"",$K5*$J5)</f>
        <v>203.5</v>
      </c>
      <c r="M5" s="32" t="s">
        <v>125</v>
      </c>
      <c r="N5" s="32" t="s">
        <v>126</v>
      </c>
      <c r="O5" s="33" t="n">
        <f aca="true">IF($N5="","",TODAY()-$N5)</f>
        <v>6</v>
      </c>
      <c r="P5" s="33" t="str">
        <f aca="false">IF($O5="","",IF($O5&gt;IFERROR(INDEX(02_階段定義_Stages!$G$5:$G$13,MATCH(LEFT($G5,2),02_階段定義_Stages!$A$5:$A$13,0)),9999),"⚠ 停滯",IF($O5&gt;14,"注意","正常")))</f>
        <v>正常</v>
      </c>
      <c r="Q5" s="24" t="s">
        <v>127</v>
      </c>
      <c r="R5" s="25" t="s">
        <v>128</v>
      </c>
      <c r="S5" s="24" t="s">
        <v>129</v>
      </c>
      <c r="T5" s="28" t="s">
        <v>130</v>
      </c>
      <c r="U5" s="32" t="s">
        <v>131</v>
      </c>
      <c r="V5" s="28"/>
      <c r="W5" s="25" t="s">
        <v>132</v>
      </c>
    </row>
    <row r="6" customFormat="false" ht="29.85" hidden="false" customHeight="false" outlineLevel="0" collapsed="false">
      <c r="A6" s="24" t="s">
        <v>133</v>
      </c>
      <c r="B6" s="28" t="s">
        <v>134</v>
      </c>
      <c r="C6" s="24" t="s">
        <v>135</v>
      </c>
      <c r="D6" s="25" t="s">
        <v>136</v>
      </c>
      <c r="E6" s="25" t="s">
        <v>137</v>
      </c>
      <c r="F6" s="24" t="s">
        <v>124</v>
      </c>
      <c r="G6" s="24" t="s">
        <v>45</v>
      </c>
      <c r="H6" s="29" t="n">
        <f aca="false">IFERROR(INDEX(02_階段定義_Stages!$D$5:$D$13,MATCH(LEFT($G6,2),02_階段定義_Stages!$A$5:$A$13,0)),"")</f>
        <v>0.7</v>
      </c>
      <c r="I6" s="30" t="n">
        <v>920</v>
      </c>
      <c r="J6" s="26" t="n">
        <v>0.19</v>
      </c>
      <c r="K6" s="31" t="n">
        <f aca="false">IF(OR($I6="",$H6=""),"",$I6*$H6)</f>
        <v>644</v>
      </c>
      <c r="L6" s="31" t="n">
        <f aca="false">IF(OR($K6="",$J6=""),"",$K6*$J6)</f>
        <v>122.36</v>
      </c>
      <c r="M6" s="32" t="s">
        <v>138</v>
      </c>
      <c r="N6" s="32" t="s">
        <v>139</v>
      </c>
      <c r="O6" s="33" t="n">
        <f aca="true">IF($N6="","",TODAY()-$N6)</f>
        <v>4</v>
      </c>
      <c r="P6" s="33" t="str">
        <f aca="false">IF($O6="","",IF($O6&gt;IFERROR(INDEX(02_階段定義_Stages!$G$5:$G$13,MATCH(LEFT($G6,2),02_階段定義_Stages!$A$5:$A$13,0)),9999),"⚠ 停滯",IF($O6&gt;14,"注意","正常")))</f>
        <v>正常</v>
      </c>
      <c r="Q6" s="24" t="s">
        <v>140</v>
      </c>
      <c r="R6" s="25" t="s">
        <v>141</v>
      </c>
      <c r="S6" s="24" t="s">
        <v>142</v>
      </c>
      <c r="T6" s="28" t="s">
        <v>143</v>
      </c>
      <c r="U6" s="32" t="s">
        <v>144</v>
      </c>
      <c r="V6" s="28" t="s">
        <v>145</v>
      </c>
      <c r="W6" s="25" t="s">
        <v>132</v>
      </c>
    </row>
    <row r="7" customFormat="false" ht="15" hidden="false" customHeight="false" outlineLevel="0" collapsed="false">
      <c r="A7" s="24" t="s">
        <v>146</v>
      </c>
      <c r="B7" s="28" t="s">
        <v>147</v>
      </c>
      <c r="C7" s="24" t="s">
        <v>148</v>
      </c>
      <c r="D7" s="25" t="s">
        <v>149</v>
      </c>
      <c r="E7" s="25" t="s">
        <v>150</v>
      </c>
      <c r="F7" s="24" t="s">
        <v>124</v>
      </c>
      <c r="G7" s="24" t="s">
        <v>42</v>
      </c>
      <c r="H7" s="29" t="n">
        <f aca="false">IFERROR(INDEX(02_階段定義_Stages!$D$5:$D$13,MATCH(LEFT($G7,2),02_階段定義_Stages!$A$5:$A$13,0)),"")</f>
        <v>0.2</v>
      </c>
      <c r="I7" s="30" t="n">
        <v>1400</v>
      </c>
      <c r="J7" s="26" t="n">
        <v>0.2</v>
      </c>
      <c r="K7" s="31" t="n">
        <f aca="false">IF(OR($I7="",$H7=""),"",$I7*$H7)</f>
        <v>280</v>
      </c>
      <c r="L7" s="31" t="n">
        <f aca="false">IF(OR($K7="",$J7=""),"",$K7*$J7)</f>
        <v>56</v>
      </c>
      <c r="M7" s="32" t="s">
        <v>151</v>
      </c>
      <c r="N7" s="32" t="s">
        <v>152</v>
      </c>
      <c r="O7" s="33" t="n">
        <f aca="true">IF($N7="","",TODAY()-$N7)</f>
        <v>51</v>
      </c>
      <c r="P7" s="33" t="str">
        <f aca="false">IF($O7="","",IF($O7&gt;IFERROR(INDEX(02_階段定義_Stages!$G$5:$G$13,MATCH(LEFT($G7,2),02_階段定義_Stages!$A$5:$A$13,0)),9999),"⚠ 停滯",IF($O7&gt;14,"注意","正常")))</f>
        <v>⚠ 停滯</v>
      </c>
      <c r="Q7" s="24" t="s">
        <v>153</v>
      </c>
      <c r="R7" s="25" t="s">
        <v>128</v>
      </c>
      <c r="S7" s="25" t="s">
        <v>154</v>
      </c>
      <c r="T7" s="28" t="s">
        <v>155</v>
      </c>
      <c r="U7" s="32" t="s">
        <v>156</v>
      </c>
      <c r="V7" s="28" t="s">
        <v>157</v>
      </c>
      <c r="W7" s="25" t="s">
        <v>132</v>
      </c>
    </row>
    <row r="8" customFormat="false" ht="29.85" hidden="false" customHeight="false" outlineLevel="0" collapsed="false">
      <c r="A8" s="24" t="s">
        <v>158</v>
      </c>
      <c r="B8" s="28" t="s">
        <v>159</v>
      </c>
      <c r="C8" s="24" t="s">
        <v>160</v>
      </c>
      <c r="D8" s="25" t="s">
        <v>161</v>
      </c>
      <c r="E8" s="25" t="s">
        <v>162</v>
      </c>
      <c r="F8" s="24" t="s">
        <v>163</v>
      </c>
      <c r="G8" s="24" t="s">
        <v>43</v>
      </c>
      <c r="H8" s="29" t="n">
        <f aca="false">IFERROR(INDEX(02_階段定義_Stages!$D$5:$D$13,MATCH(LEFT($G8,2),02_階段定義_Stages!$A$5:$A$13,0)),"")</f>
        <v>0.35</v>
      </c>
      <c r="I8" s="30" t="n">
        <v>3200</v>
      </c>
      <c r="J8" s="26" t="n">
        <v>0.16</v>
      </c>
      <c r="K8" s="31" t="n">
        <f aca="false">IF(OR($I8="",$H8=""),"",$I8*$H8)</f>
        <v>1120</v>
      </c>
      <c r="L8" s="31" t="n">
        <f aca="false">IF(OR($K8="",$J8=""),"",$K8*$J8)</f>
        <v>179.2</v>
      </c>
      <c r="M8" s="32" t="s">
        <v>164</v>
      </c>
      <c r="N8" s="32" t="s">
        <v>165</v>
      </c>
      <c r="O8" s="33" t="n">
        <f aca="true">IF($N8="","",TODAY()-$N8)</f>
        <v>8</v>
      </c>
      <c r="P8" s="33" t="str">
        <f aca="false">IF($O8="","",IF($O8&gt;IFERROR(INDEX(02_階段定義_Stages!$G$5:$G$13,MATCH(LEFT($G8,2),02_階段定義_Stages!$A$5:$A$13,0)),9999),"⚠ 停滯",IF($O8&gt;14,"注意","正常")))</f>
        <v>正常</v>
      </c>
      <c r="Q8" s="24" t="s">
        <v>166</v>
      </c>
      <c r="R8" s="25" t="s">
        <v>167</v>
      </c>
      <c r="S8" s="24" t="s">
        <v>168</v>
      </c>
      <c r="T8" s="28" t="s">
        <v>169</v>
      </c>
      <c r="U8" s="32" t="s">
        <v>170</v>
      </c>
      <c r="V8" s="28"/>
      <c r="W8" s="25" t="s">
        <v>132</v>
      </c>
    </row>
    <row r="9" customFormat="false" ht="15" hidden="false" customHeight="false" outlineLevel="0" collapsed="false">
      <c r="A9" s="25"/>
      <c r="B9" s="28"/>
      <c r="C9" s="25"/>
      <c r="D9" s="25"/>
      <c r="E9" s="25"/>
      <c r="F9" s="24"/>
      <c r="G9" s="24"/>
      <c r="H9" s="29" t="str">
        <f aca="false">IFERROR(INDEX(02_階段定義_Stages!$D$5:$D$13,MATCH(LEFT($G9,2),02_階段定義_Stages!$A$5:$A$13,0)),"")</f>
        <v/>
      </c>
      <c r="I9" s="30"/>
      <c r="J9" s="26"/>
      <c r="K9" s="31" t="str">
        <f aca="false">IF(OR($I9="",$H9=""),"",$I9*$H9)</f>
        <v/>
      </c>
      <c r="L9" s="31" t="str">
        <f aca="false">IF(OR($K9="",$J9=""),"",$K9*$J9)</f>
        <v/>
      </c>
      <c r="M9" s="32"/>
      <c r="N9" s="32"/>
      <c r="O9" s="33" t="str">
        <f aca="true">IF($N9="","",TODAY()-$N9)</f>
        <v/>
      </c>
      <c r="P9" s="33" t="str">
        <f aca="false">IF($O9="","",IF($O9&gt;IFERROR(INDEX(02_階段定義_Stages!$G$5:$G$13,MATCH(LEFT($G9,2),02_階段定義_Stages!$A$5:$A$13,0)),9999),"⚠ 停滯",IF($O9&gt;14,"注意","正常")))</f>
        <v/>
      </c>
      <c r="Q9" s="25"/>
      <c r="R9" s="25"/>
      <c r="S9" s="25"/>
      <c r="T9" s="28"/>
      <c r="U9" s="32"/>
      <c r="V9" s="28"/>
      <c r="W9" s="25"/>
    </row>
    <row r="10" customFormat="false" ht="15" hidden="false" customHeight="false" outlineLevel="0" collapsed="false">
      <c r="A10" s="25"/>
      <c r="B10" s="28"/>
      <c r="C10" s="25"/>
      <c r="D10" s="25"/>
      <c r="E10" s="25"/>
      <c r="F10" s="24"/>
      <c r="G10" s="24"/>
      <c r="H10" s="29" t="str">
        <f aca="false">IFERROR(INDEX(02_階段定義_Stages!$D$5:$D$13,MATCH(LEFT($G10,2),02_階段定義_Stages!$A$5:$A$13,0)),"")</f>
        <v/>
      </c>
      <c r="I10" s="30"/>
      <c r="J10" s="26"/>
      <c r="K10" s="31" t="str">
        <f aca="false">IF(OR($I10="",$H10=""),"",$I10*$H10)</f>
        <v/>
      </c>
      <c r="L10" s="31" t="str">
        <f aca="false">IF(OR($K10="",$J10=""),"",$K10*$J10)</f>
        <v/>
      </c>
      <c r="M10" s="32"/>
      <c r="N10" s="32"/>
      <c r="O10" s="33" t="str">
        <f aca="true">IF($N10="","",TODAY()-$N10)</f>
        <v/>
      </c>
      <c r="P10" s="33" t="str">
        <f aca="false">IF($O10="","",IF($O10&gt;IFERROR(INDEX(02_階段定義_Stages!$G$5:$G$13,MATCH(LEFT($G10,2),02_階段定義_Stages!$A$5:$A$13,0)),9999),"⚠ 停滯",IF($O10&gt;14,"注意","正常")))</f>
        <v/>
      </c>
      <c r="Q10" s="25"/>
      <c r="R10" s="25"/>
      <c r="S10" s="25"/>
      <c r="T10" s="28"/>
      <c r="U10" s="32"/>
      <c r="V10" s="28"/>
      <c r="W10" s="25"/>
    </row>
    <row r="11" customFormat="false" ht="15" hidden="false" customHeight="false" outlineLevel="0" collapsed="false">
      <c r="A11" s="25"/>
      <c r="B11" s="28"/>
      <c r="C11" s="25"/>
      <c r="D11" s="25"/>
      <c r="E11" s="25"/>
      <c r="F11" s="24"/>
      <c r="G11" s="24"/>
      <c r="H11" s="29" t="str">
        <f aca="false">IFERROR(INDEX(02_階段定義_Stages!$D$5:$D$13,MATCH(LEFT($G11,2),02_階段定義_Stages!$A$5:$A$13,0)),"")</f>
        <v/>
      </c>
      <c r="I11" s="30"/>
      <c r="J11" s="26"/>
      <c r="K11" s="31" t="str">
        <f aca="false">IF(OR($I11="",$H11=""),"",$I11*$H11)</f>
        <v/>
      </c>
      <c r="L11" s="31" t="str">
        <f aca="false">IF(OR($K11="",$J11=""),"",$K11*$J11)</f>
        <v/>
      </c>
      <c r="M11" s="32"/>
      <c r="N11" s="32"/>
      <c r="O11" s="33" t="str">
        <f aca="true">IF($N11="","",TODAY()-$N11)</f>
        <v/>
      </c>
      <c r="P11" s="33" t="str">
        <f aca="false">IF($O11="","",IF($O11&gt;IFERROR(INDEX(02_階段定義_Stages!$G$5:$G$13,MATCH(LEFT($G11,2),02_階段定義_Stages!$A$5:$A$13,0)),9999),"⚠ 停滯",IF($O11&gt;14,"注意","正常")))</f>
        <v/>
      </c>
      <c r="Q11" s="25"/>
      <c r="R11" s="25"/>
      <c r="S11" s="25"/>
      <c r="T11" s="28"/>
      <c r="U11" s="32"/>
      <c r="V11" s="28"/>
      <c r="W11" s="25"/>
    </row>
    <row r="12" customFormat="false" ht="15" hidden="false" customHeight="false" outlineLevel="0" collapsed="false">
      <c r="A12" s="25"/>
      <c r="B12" s="28"/>
      <c r="C12" s="25"/>
      <c r="D12" s="25"/>
      <c r="E12" s="25"/>
      <c r="F12" s="24"/>
      <c r="G12" s="24"/>
      <c r="H12" s="29" t="str">
        <f aca="false">IFERROR(INDEX(02_階段定義_Stages!$D$5:$D$13,MATCH(LEFT($G12,2),02_階段定義_Stages!$A$5:$A$13,0)),"")</f>
        <v/>
      </c>
      <c r="I12" s="30"/>
      <c r="J12" s="26"/>
      <c r="K12" s="31" t="str">
        <f aca="false">IF(OR($I12="",$H12=""),"",$I12*$H12)</f>
        <v/>
      </c>
      <c r="L12" s="31" t="str">
        <f aca="false">IF(OR($K12="",$J12=""),"",$K12*$J12)</f>
        <v/>
      </c>
      <c r="M12" s="32"/>
      <c r="N12" s="32"/>
      <c r="O12" s="33" t="str">
        <f aca="true">IF($N12="","",TODAY()-$N12)</f>
        <v/>
      </c>
      <c r="P12" s="33" t="str">
        <f aca="false">IF($O12="","",IF($O12&gt;IFERROR(INDEX(02_階段定義_Stages!$G$5:$G$13,MATCH(LEFT($G12,2),02_階段定義_Stages!$A$5:$A$13,0)),9999),"⚠ 停滯",IF($O12&gt;14,"注意","正常")))</f>
        <v/>
      </c>
      <c r="Q12" s="25"/>
      <c r="R12" s="25"/>
      <c r="S12" s="25"/>
      <c r="T12" s="28"/>
      <c r="U12" s="32"/>
      <c r="V12" s="28"/>
      <c r="W12" s="25"/>
    </row>
    <row r="13" customFormat="false" ht="15" hidden="false" customHeight="false" outlineLevel="0" collapsed="false">
      <c r="A13" s="25"/>
      <c r="B13" s="28"/>
      <c r="C13" s="25"/>
      <c r="D13" s="25"/>
      <c r="E13" s="25"/>
      <c r="F13" s="24"/>
      <c r="G13" s="24"/>
      <c r="H13" s="29" t="str">
        <f aca="false">IFERROR(INDEX(02_階段定義_Stages!$D$5:$D$13,MATCH(LEFT($G13,2),02_階段定義_Stages!$A$5:$A$13,0)),"")</f>
        <v/>
      </c>
      <c r="I13" s="30"/>
      <c r="J13" s="26"/>
      <c r="K13" s="31" t="str">
        <f aca="false">IF(OR($I13="",$H13=""),"",$I13*$H13)</f>
        <v/>
      </c>
      <c r="L13" s="31" t="str">
        <f aca="false">IF(OR($K13="",$J13=""),"",$K13*$J13)</f>
        <v/>
      </c>
      <c r="M13" s="32"/>
      <c r="N13" s="32"/>
      <c r="O13" s="33" t="str">
        <f aca="true">IF($N13="","",TODAY()-$N13)</f>
        <v/>
      </c>
      <c r="P13" s="33" t="str">
        <f aca="false">IF($O13="","",IF($O13&gt;IFERROR(INDEX(02_階段定義_Stages!$G$5:$G$13,MATCH(LEFT($G13,2),02_階段定義_Stages!$A$5:$A$13,0)),9999),"⚠ 停滯",IF($O13&gt;14,"注意","正常")))</f>
        <v/>
      </c>
      <c r="Q13" s="25"/>
      <c r="R13" s="25"/>
      <c r="S13" s="25"/>
      <c r="T13" s="28"/>
      <c r="U13" s="32"/>
      <c r="V13" s="28"/>
      <c r="W13" s="25"/>
    </row>
    <row r="14" customFormat="false" ht="15" hidden="false" customHeight="false" outlineLevel="0" collapsed="false">
      <c r="A14" s="25"/>
      <c r="B14" s="28"/>
      <c r="C14" s="25"/>
      <c r="D14" s="25"/>
      <c r="E14" s="25"/>
      <c r="F14" s="24"/>
      <c r="G14" s="24"/>
      <c r="H14" s="29" t="str">
        <f aca="false">IFERROR(INDEX(02_階段定義_Stages!$D$5:$D$13,MATCH(LEFT($G14,2),02_階段定義_Stages!$A$5:$A$13,0)),"")</f>
        <v/>
      </c>
      <c r="I14" s="30"/>
      <c r="J14" s="26"/>
      <c r="K14" s="31" t="str">
        <f aca="false">IF(OR($I14="",$H14=""),"",$I14*$H14)</f>
        <v/>
      </c>
      <c r="L14" s="31" t="str">
        <f aca="false">IF(OR($K14="",$J14=""),"",$K14*$J14)</f>
        <v/>
      </c>
      <c r="M14" s="32"/>
      <c r="N14" s="32"/>
      <c r="O14" s="33" t="str">
        <f aca="true">IF($N14="","",TODAY()-$N14)</f>
        <v/>
      </c>
      <c r="P14" s="33" t="str">
        <f aca="false">IF($O14="","",IF($O14&gt;IFERROR(INDEX(02_階段定義_Stages!$G$5:$G$13,MATCH(LEFT($G14,2),02_階段定義_Stages!$A$5:$A$13,0)),9999),"⚠ 停滯",IF($O14&gt;14,"注意","正常")))</f>
        <v/>
      </c>
      <c r="Q14" s="25"/>
      <c r="R14" s="25"/>
      <c r="S14" s="25"/>
      <c r="T14" s="28"/>
      <c r="U14" s="32"/>
      <c r="V14" s="28"/>
      <c r="W14" s="25"/>
    </row>
    <row r="15" customFormat="false" ht="15" hidden="false" customHeight="false" outlineLevel="0" collapsed="false">
      <c r="A15" s="25"/>
      <c r="B15" s="28"/>
      <c r="C15" s="25"/>
      <c r="D15" s="25"/>
      <c r="E15" s="25"/>
      <c r="F15" s="24"/>
      <c r="G15" s="24"/>
      <c r="H15" s="29" t="str">
        <f aca="false">IFERROR(INDEX(02_階段定義_Stages!$D$5:$D$13,MATCH(LEFT($G15,2),02_階段定義_Stages!$A$5:$A$13,0)),"")</f>
        <v/>
      </c>
      <c r="I15" s="30"/>
      <c r="J15" s="26"/>
      <c r="K15" s="31" t="str">
        <f aca="false">IF(OR($I15="",$H15=""),"",$I15*$H15)</f>
        <v/>
      </c>
      <c r="L15" s="31" t="str">
        <f aca="false">IF(OR($K15="",$J15=""),"",$K15*$J15)</f>
        <v/>
      </c>
      <c r="M15" s="32"/>
      <c r="N15" s="32"/>
      <c r="O15" s="33" t="str">
        <f aca="true">IF($N15="","",TODAY()-$N15)</f>
        <v/>
      </c>
      <c r="P15" s="33" t="str">
        <f aca="false">IF($O15="","",IF($O15&gt;IFERROR(INDEX(02_階段定義_Stages!$G$5:$G$13,MATCH(LEFT($G15,2),02_階段定義_Stages!$A$5:$A$13,0)),9999),"⚠ 停滯",IF($O15&gt;14,"注意","正常")))</f>
        <v/>
      </c>
      <c r="Q15" s="25"/>
      <c r="R15" s="25"/>
      <c r="S15" s="25"/>
      <c r="T15" s="28"/>
      <c r="U15" s="32"/>
      <c r="V15" s="28"/>
      <c r="W15" s="25"/>
    </row>
    <row r="16" customFormat="false" ht="15" hidden="false" customHeight="false" outlineLevel="0" collapsed="false">
      <c r="A16" s="25"/>
      <c r="B16" s="28"/>
      <c r="C16" s="25"/>
      <c r="D16" s="25"/>
      <c r="E16" s="25"/>
      <c r="F16" s="24"/>
      <c r="G16" s="24"/>
      <c r="H16" s="29" t="str">
        <f aca="false">IFERROR(INDEX(02_階段定義_Stages!$D$5:$D$13,MATCH(LEFT($G16,2),02_階段定義_Stages!$A$5:$A$13,0)),"")</f>
        <v/>
      </c>
      <c r="I16" s="30"/>
      <c r="J16" s="26"/>
      <c r="K16" s="31" t="str">
        <f aca="false">IF(OR($I16="",$H16=""),"",$I16*$H16)</f>
        <v/>
      </c>
      <c r="L16" s="31" t="str">
        <f aca="false">IF(OR($K16="",$J16=""),"",$K16*$J16)</f>
        <v/>
      </c>
      <c r="M16" s="32"/>
      <c r="N16" s="32"/>
      <c r="O16" s="33" t="str">
        <f aca="true">IF($N16="","",TODAY()-$N16)</f>
        <v/>
      </c>
      <c r="P16" s="33" t="str">
        <f aca="false">IF($O16="","",IF($O16&gt;IFERROR(INDEX(02_階段定義_Stages!$G$5:$G$13,MATCH(LEFT($G16,2),02_階段定義_Stages!$A$5:$A$13,0)),9999),"⚠ 停滯",IF($O16&gt;14,"注意","正常")))</f>
        <v/>
      </c>
      <c r="Q16" s="25"/>
      <c r="R16" s="25"/>
      <c r="S16" s="25"/>
      <c r="T16" s="28"/>
      <c r="U16" s="32"/>
      <c r="V16" s="28"/>
      <c r="W16" s="25"/>
    </row>
    <row r="17" customFormat="false" ht="15" hidden="false" customHeight="false" outlineLevel="0" collapsed="false">
      <c r="A17" s="25"/>
      <c r="B17" s="28"/>
      <c r="C17" s="25"/>
      <c r="D17" s="25"/>
      <c r="E17" s="25"/>
      <c r="F17" s="24"/>
      <c r="G17" s="24"/>
      <c r="H17" s="29" t="str">
        <f aca="false">IFERROR(INDEX(02_階段定義_Stages!$D$5:$D$13,MATCH(LEFT($G17,2),02_階段定義_Stages!$A$5:$A$13,0)),"")</f>
        <v/>
      </c>
      <c r="I17" s="30"/>
      <c r="J17" s="26"/>
      <c r="K17" s="31" t="str">
        <f aca="false">IF(OR($I17="",$H17=""),"",$I17*$H17)</f>
        <v/>
      </c>
      <c r="L17" s="31" t="str">
        <f aca="false">IF(OR($K17="",$J17=""),"",$K17*$J17)</f>
        <v/>
      </c>
      <c r="M17" s="32"/>
      <c r="N17" s="32"/>
      <c r="O17" s="33" t="str">
        <f aca="true">IF($N17="","",TODAY()-$N17)</f>
        <v/>
      </c>
      <c r="P17" s="33" t="str">
        <f aca="false">IF($O17="","",IF($O17&gt;IFERROR(INDEX(02_階段定義_Stages!$G$5:$G$13,MATCH(LEFT($G17,2),02_階段定義_Stages!$A$5:$A$13,0)),9999),"⚠ 停滯",IF($O17&gt;14,"注意","正常")))</f>
        <v/>
      </c>
      <c r="Q17" s="25"/>
      <c r="R17" s="25"/>
      <c r="S17" s="25"/>
      <c r="T17" s="28"/>
      <c r="U17" s="32"/>
      <c r="V17" s="28"/>
      <c r="W17" s="25"/>
    </row>
    <row r="18" customFormat="false" ht="15" hidden="false" customHeight="false" outlineLevel="0" collapsed="false">
      <c r="A18" s="25"/>
      <c r="B18" s="28"/>
      <c r="C18" s="25"/>
      <c r="D18" s="25"/>
      <c r="E18" s="25"/>
      <c r="F18" s="24"/>
      <c r="G18" s="24"/>
      <c r="H18" s="29" t="str">
        <f aca="false">IFERROR(INDEX(02_階段定義_Stages!$D$5:$D$13,MATCH(LEFT($G18,2),02_階段定義_Stages!$A$5:$A$13,0)),"")</f>
        <v/>
      </c>
      <c r="I18" s="30"/>
      <c r="J18" s="26"/>
      <c r="K18" s="31" t="str">
        <f aca="false">IF(OR($I18="",$H18=""),"",$I18*$H18)</f>
        <v/>
      </c>
      <c r="L18" s="31" t="str">
        <f aca="false">IF(OR($K18="",$J18=""),"",$K18*$J18)</f>
        <v/>
      </c>
      <c r="M18" s="32"/>
      <c r="N18" s="32"/>
      <c r="O18" s="33" t="str">
        <f aca="true">IF($N18="","",TODAY()-$N18)</f>
        <v/>
      </c>
      <c r="P18" s="33" t="str">
        <f aca="false">IF($O18="","",IF($O18&gt;IFERROR(INDEX(02_階段定義_Stages!$G$5:$G$13,MATCH(LEFT($G18,2),02_階段定義_Stages!$A$5:$A$13,0)),9999),"⚠ 停滯",IF($O18&gt;14,"注意","正常")))</f>
        <v/>
      </c>
      <c r="Q18" s="25"/>
      <c r="R18" s="25"/>
      <c r="S18" s="25"/>
      <c r="T18" s="28"/>
      <c r="U18" s="32"/>
      <c r="V18" s="28"/>
      <c r="W18" s="25"/>
    </row>
    <row r="19" customFormat="false" ht="15" hidden="false" customHeight="false" outlineLevel="0" collapsed="false">
      <c r="A19" s="25"/>
      <c r="B19" s="28"/>
      <c r="C19" s="25"/>
      <c r="D19" s="25"/>
      <c r="E19" s="25"/>
      <c r="F19" s="24"/>
      <c r="G19" s="24"/>
      <c r="H19" s="29" t="str">
        <f aca="false">IFERROR(INDEX(02_階段定義_Stages!$D$5:$D$13,MATCH(LEFT($G19,2),02_階段定義_Stages!$A$5:$A$13,0)),"")</f>
        <v/>
      </c>
      <c r="I19" s="30"/>
      <c r="J19" s="26"/>
      <c r="K19" s="31" t="str">
        <f aca="false">IF(OR($I19="",$H19=""),"",$I19*$H19)</f>
        <v/>
      </c>
      <c r="L19" s="31" t="str">
        <f aca="false">IF(OR($K19="",$J19=""),"",$K19*$J19)</f>
        <v/>
      </c>
      <c r="M19" s="32"/>
      <c r="N19" s="32"/>
      <c r="O19" s="33" t="str">
        <f aca="true">IF($N19="","",TODAY()-$N19)</f>
        <v/>
      </c>
      <c r="P19" s="33" t="str">
        <f aca="false">IF($O19="","",IF($O19&gt;IFERROR(INDEX(02_階段定義_Stages!$G$5:$G$13,MATCH(LEFT($G19,2),02_階段定義_Stages!$A$5:$A$13,0)),9999),"⚠ 停滯",IF($O19&gt;14,"注意","正常")))</f>
        <v/>
      </c>
      <c r="Q19" s="25"/>
      <c r="R19" s="25"/>
      <c r="S19" s="25"/>
      <c r="T19" s="28"/>
      <c r="U19" s="32"/>
      <c r="V19" s="28"/>
      <c r="W19" s="25"/>
    </row>
    <row r="20" customFormat="false" ht="15" hidden="false" customHeight="false" outlineLevel="0" collapsed="false">
      <c r="A20" s="25"/>
      <c r="B20" s="28"/>
      <c r="C20" s="25"/>
      <c r="D20" s="25"/>
      <c r="E20" s="25"/>
      <c r="F20" s="24"/>
      <c r="G20" s="24"/>
      <c r="H20" s="29" t="str">
        <f aca="false">IFERROR(INDEX(02_階段定義_Stages!$D$5:$D$13,MATCH(LEFT($G20,2),02_階段定義_Stages!$A$5:$A$13,0)),"")</f>
        <v/>
      </c>
      <c r="I20" s="30"/>
      <c r="J20" s="26"/>
      <c r="K20" s="31" t="str">
        <f aca="false">IF(OR($I20="",$H20=""),"",$I20*$H20)</f>
        <v/>
      </c>
      <c r="L20" s="31" t="str">
        <f aca="false">IF(OR($K20="",$J20=""),"",$K20*$J20)</f>
        <v/>
      </c>
      <c r="M20" s="32"/>
      <c r="N20" s="32"/>
      <c r="O20" s="33" t="str">
        <f aca="true">IF($N20="","",TODAY()-$N20)</f>
        <v/>
      </c>
      <c r="P20" s="33" t="str">
        <f aca="false">IF($O20="","",IF($O20&gt;IFERROR(INDEX(02_階段定義_Stages!$G$5:$G$13,MATCH(LEFT($G20,2),02_階段定義_Stages!$A$5:$A$13,0)),9999),"⚠ 停滯",IF($O20&gt;14,"注意","正常")))</f>
        <v/>
      </c>
      <c r="Q20" s="25"/>
      <c r="R20" s="25"/>
      <c r="S20" s="25"/>
      <c r="T20" s="28"/>
      <c r="U20" s="32"/>
      <c r="V20" s="28"/>
      <c r="W20" s="25"/>
    </row>
    <row r="21" customFormat="false" ht="15" hidden="false" customHeight="false" outlineLevel="0" collapsed="false">
      <c r="A21" s="25"/>
      <c r="B21" s="28"/>
      <c r="C21" s="25"/>
      <c r="D21" s="25"/>
      <c r="E21" s="25"/>
      <c r="F21" s="24"/>
      <c r="G21" s="24"/>
      <c r="H21" s="29" t="str">
        <f aca="false">IFERROR(INDEX(02_階段定義_Stages!$D$5:$D$13,MATCH(LEFT($G21,2),02_階段定義_Stages!$A$5:$A$13,0)),"")</f>
        <v/>
      </c>
      <c r="I21" s="30"/>
      <c r="J21" s="26"/>
      <c r="K21" s="31" t="str">
        <f aca="false">IF(OR($I21="",$H21=""),"",$I21*$H21)</f>
        <v/>
      </c>
      <c r="L21" s="31" t="str">
        <f aca="false">IF(OR($K21="",$J21=""),"",$K21*$J21)</f>
        <v/>
      </c>
      <c r="M21" s="32"/>
      <c r="N21" s="32"/>
      <c r="O21" s="33" t="str">
        <f aca="true">IF($N21="","",TODAY()-$N21)</f>
        <v/>
      </c>
      <c r="P21" s="33" t="str">
        <f aca="false">IF($O21="","",IF($O21&gt;IFERROR(INDEX(02_階段定義_Stages!$G$5:$G$13,MATCH(LEFT($G21,2),02_階段定義_Stages!$A$5:$A$13,0)),9999),"⚠ 停滯",IF($O21&gt;14,"注意","正常")))</f>
        <v/>
      </c>
      <c r="Q21" s="25"/>
      <c r="R21" s="25"/>
      <c r="S21" s="25"/>
      <c r="T21" s="28"/>
      <c r="U21" s="32"/>
      <c r="V21" s="28"/>
      <c r="W21" s="25"/>
    </row>
    <row r="22" customFormat="false" ht="15" hidden="false" customHeight="false" outlineLevel="0" collapsed="false">
      <c r="A22" s="25"/>
      <c r="B22" s="28"/>
      <c r="C22" s="25"/>
      <c r="D22" s="25"/>
      <c r="E22" s="25"/>
      <c r="F22" s="24"/>
      <c r="G22" s="24"/>
      <c r="H22" s="29" t="str">
        <f aca="false">IFERROR(INDEX(02_階段定義_Stages!$D$5:$D$13,MATCH(LEFT($G22,2),02_階段定義_Stages!$A$5:$A$13,0)),"")</f>
        <v/>
      </c>
      <c r="I22" s="30"/>
      <c r="J22" s="26"/>
      <c r="K22" s="31" t="str">
        <f aca="false">IF(OR($I22="",$H22=""),"",$I22*$H22)</f>
        <v/>
      </c>
      <c r="L22" s="31" t="str">
        <f aca="false">IF(OR($K22="",$J22=""),"",$K22*$J22)</f>
        <v/>
      </c>
      <c r="M22" s="32"/>
      <c r="N22" s="32"/>
      <c r="O22" s="33" t="str">
        <f aca="true">IF($N22="","",TODAY()-$N22)</f>
        <v/>
      </c>
      <c r="P22" s="33" t="str">
        <f aca="false">IF($O22="","",IF($O22&gt;IFERROR(INDEX(02_階段定義_Stages!$G$5:$G$13,MATCH(LEFT($G22,2),02_階段定義_Stages!$A$5:$A$13,0)),9999),"⚠ 停滯",IF($O22&gt;14,"注意","正常")))</f>
        <v/>
      </c>
      <c r="Q22" s="25"/>
      <c r="R22" s="25"/>
      <c r="S22" s="25"/>
      <c r="T22" s="28"/>
      <c r="U22" s="32"/>
      <c r="V22" s="28"/>
      <c r="W22" s="25"/>
    </row>
    <row r="23" customFormat="false" ht="15" hidden="false" customHeight="false" outlineLevel="0" collapsed="false">
      <c r="A23" s="25"/>
      <c r="B23" s="28"/>
      <c r="C23" s="25"/>
      <c r="D23" s="25"/>
      <c r="E23" s="25"/>
      <c r="F23" s="24"/>
      <c r="G23" s="24"/>
      <c r="H23" s="29" t="str">
        <f aca="false">IFERROR(INDEX(02_階段定義_Stages!$D$5:$D$13,MATCH(LEFT($G23,2),02_階段定義_Stages!$A$5:$A$13,0)),"")</f>
        <v/>
      </c>
      <c r="I23" s="30"/>
      <c r="J23" s="26"/>
      <c r="K23" s="31" t="str">
        <f aca="false">IF(OR($I23="",$H23=""),"",$I23*$H23)</f>
        <v/>
      </c>
      <c r="L23" s="31" t="str">
        <f aca="false">IF(OR($K23="",$J23=""),"",$K23*$J23)</f>
        <v/>
      </c>
      <c r="M23" s="32"/>
      <c r="N23" s="32"/>
      <c r="O23" s="33" t="str">
        <f aca="true">IF($N23="","",TODAY()-$N23)</f>
        <v/>
      </c>
      <c r="P23" s="33" t="str">
        <f aca="false">IF($O23="","",IF($O23&gt;IFERROR(INDEX(02_階段定義_Stages!$G$5:$G$13,MATCH(LEFT($G23,2),02_階段定義_Stages!$A$5:$A$13,0)),9999),"⚠ 停滯",IF($O23&gt;14,"注意","正常")))</f>
        <v/>
      </c>
      <c r="Q23" s="25"/>
      <c r="R23" s="25"/>
      <c r="S23" s="25"/>
      <c r="T23" s="28"/>
      <c r="U23" s="32"/>
      <c r="V23" s="28"/>
      <c r="W23" s="25"/>
    </row>
    <row r="24" customFormat="false" ht="15" hidden="false" customHeight="false" outlineLevel="0" collapsed="false">
      <c r="A24" s="25"/>
      <c r="B24" s="28"/>
      <c r="C24" s="25"/>
      <c r="D24" s="25"/>
      <c r="E24" s="25"/>
      <c r="F24" s="24"/>
      <c r="G24" s="24"/>
      <c r="H24" s="29" t="str">
        <f aca="false">IFERROR(INDEX(02_階段定義_Stages!$D$5:$D$13,MATCH(LEFT($G24,2),02_階段定義_Stages!$A$5:$A$13,0)),"")</f>
        <v/>
      </c>
      <c r="I24" s="30"/>
      <c r="J24" s="26"/>
      <c r="K24" s="31" t="str">
        <f aca="false">IF(OR($I24="",$H24=""),"",$I24*$H24)</f>
        <v/>
      </c>
      <c r="L24" s="31" t="str">
        <f aca="false">IF(OR($K24="",$J24=""),"",$K24*$J24)</f>
        <v/>
      </c>
      <c r="M24" s="32"/>
      <c r="N24" s="32"/>
      <c r="O24" s="33" t="str">
        <f aca="true">IF($N24="","",TODAY()-$N24)</f>
        <v/>
      </c>
      <c r="P24" s="33" t="str">
        <f aca="false">IF($O24="","",IF($O24&gt;IFERROR(INDEX(02_階段定義_Stages!$G$5:$G$13,MATCH(LEFT($G24,2),02_階段定義_Stages!$A$5:$A$13,0)),9999),"⚠ 停滯",IF($O24&gt;14,"注意","正常")))</f>
        <v/>
      </c>
      <c r="Q24" s="25"/>
      <c r="R24" s="25"/>
      <c r="S24" s="25"/>
      <c r="T24" s="28"/>
      <c r="U24" s="32"/>
      <c r="V24" s="28"/>
      <c r="W24" s="25"/>
    </row>
    <row r="25" customFormat="false" ht="15" hidden="false" customHeight="false" outlineLevel="0" collapsed="false">
      <c r="A25" s="25"/>
      <c r="B25" s="28"/>
      <c r="C25" s="25"/>
      <c r="D25" s="25"/>
      <c r="E25" s="25"/>
      <c r="F25" s="24"/>
      <c r="G25" s="24"/>
      <c r="H25" s="29" t="str">
        <f aca="false">IFERROR(INDEX(02_階段定義_Stages!$D$5:$D$13,MATCH(LEFT($G25,2),02_階段定義_Stages!$A$5:$A$13,0)),"")</f>
        <v/>
      </c>
      <c r="I25" s="30"/>
      <c r="J25" s="26"/>
      <c r="K25" s="31" t="str">
        <f aca="false">IF(OR($I25="",$H25=""),"",$I25*$H25)</f>
        <v/>
      </c>
      <c r="L25" s="31" t="str">
        <f aca="false">IF(OR($K25="",$J25=""),"",$K25*$J25)</f>
        <v/>
      </c>
      <c r="M25" s="32"/>
      <c r="N25" s="32"/>
      <c r="O25" s="33" t="str">
        <f aca="true">IF($N25="","",TODAY()-$N25)</f>
        <v/>
      </c>
      <c r="P25" s="33" t="str">
        <f aca="false">IF($O25="","",IF($O25&gt;IFERROR(INDEX(02_階段定義_Stages!$G$5:$G$13,MATCH(LEFT($G25,2),02_階段定義_Stages!$A$5:$A$13,0)),9999),"⚠ 停滯",IF($O25&gt;14,"注意","正常")))</f>
        <v/>
      </c>
      <c r="Q25" s="25"/>
      <c r="R25" s="25"/>
      <c r="S25" s="25"/>
      <c r="T25" s="28"/>
      <c r="U25" s="32"/>
      <c r="V25" s="28"/>
      <c r="W25" s="25"/>
    </row>
    <row r="26" customFormat="false" ht="15" hidden="false" customHeight="false" outlineLevel="0" collapsed="false">
      <c r="A26" s="25"/>
      <c r="B26" s="28"/>
      <c r="C26" s="25"/>
      <c r="D26" s="25"/>
      <c r="E26" s="25"/>
      <c r="F26" s="24"/>
      <c r="G26" s="24"/>
      <c r="H26" s="29" t="str">
        <f aca="false">IFERROR(INDEX(02_階段定義_Stages!$D$5:$D$13,MATCH(LEFT($G26,2),02_階段定義_Stages!$A$5:$A$13,0)),"")</f>
        <v/>
      </c>
      <c r="I26" s="30"/>
      <c r="J26" s="26"/>
      <c r="K26" s="31" t="str">
        <f aca="false">IF(OR($I26="",$H26=""),"",$I26*$H26)</f>
        <v/>
      </c>
      <c r="L26" s="31" t="str">
        <f aca="false">IF(OR($K26="",$J26=""),"",$K26*$J26)</f>
        <v/>
      </c>
      <c r="M26" s="32"/>
      <c r="N26" s="32"/>
      <c r="O26" s="33" t="str">
        <f aca="true">IF($N26="","",TODAY()-$N26)</f>
        <v/>
      </c>
      <c r="P26" s="33" t="str">
        <f aca="false">IF($O26="","",IF($O26&gt;IFERROR(INDEX(02_階段定義_Stages!$G$5:$G$13,MATCH(LEFT($G26,2),02_階段定義_Stages!$A$5:$A$13,0)),9999),"⚠ 停滯",IF($O26&gt;14,"注意","正常")))</f>
        <v/>
      </c>
      <c r="Q26" s="25"/>
      <c r="R26" s="25"/>
      <c r="S26" s="25"/>
      <c r="T26" s="28"/>
      <c r="U26" s="32"/>
      <c r="V26" s="28"/>
      <c r="W26" s="25"/>
    </row>
    <row r="27" customFormat="false" ht="15" hidden="false" customHeight="false" outlineLevel="0" collapsed="false">
      <c r="A27" s="25"/>
      <c r="B27" s="28"/>
      <c r="C27" s="25"/>
      <c r="D27" s="25"/>
      <c r="E27" s="25"/>
      <c r="F27" s="24"/>
      <c r="G27" s="24"/>
      <c r="H27" s="29" t="str">
        <f aca="false">IFERROR(INDEX(02_階段定義_Stages!$D$5:$D$13,MATCH(LEFT($G27,2),02_階段定義_Stages!$A$5:$A$13,0)),"")</f>
        <v/>
      </c>
      <c r="I27" s="30"/>
      <c r="J27" s="26"/>
      <c r="K27" s="31" t="str">
        <f aca="false">IF(OR($I27="",$H27=""),"",$I27*$H27)</f>
        <v/>
      </c>
      <c r="L27" s="31" t="str">
        <f aca="false">IF(OR($K27="",$J27=""),"",$K27*$J27)</f>
        <v/>
      </c>
      <c r="M27" s="32"/>
      <c r="N27" s="32"/>
      <c r="O27" s="33" t="str">
        <f aca="true">IF($N27="","",TODAY()-$N27)</f>
        <v/>
      </c>
      <c r="P27" s="33" t="str">
        <f aca="false">IF($O27="","",IF($O27&gt;IFERROR(INDEX(02_階段定義_Stages!$G$5:$G$13,MATCH(LEFT($G27,2),02_階段定義_Stages!$A$5:$A$13,0)),9999),"⚠ 停滯",IF($O27&gt;14,"注意","正常")))</f>
        <v/>
      </c>
      <c r="Q27" s="25"/>
      <c r="R27" s="25"/>
      <c r="S27" s="25"/>
      <c r="T27" s="28"/>
      <c r="U27" s="32"/>
      <c r="V27" s="28"/>
      <c r="W27" s="25"/>
    </row>
    <row r="28" customFormat="false" ht="15" hidden="false" customHeight="false" outlineLevel="0" collapsed="false">
      <c r="A28" s="25"/>
      <c r="B28" s="28"/>
      <c r="C28" s="25"/>
      <c r="D28" s="25"/>
      <c r="E28" s="25"/>
      <c r="F28" s="24"/>
      <c r="G28" s="24"/>
      <c r="H28" s="29" t="str">
        <f aca="false">IFERROR(INDEX(02_階段定義_Stages!$D$5:$D$13,MATCH(LEFT($G28,2),02_階段定義_Stages!$A$5:$A$13,0)),"")</f>
        <v/>
      </c>
      <c r="I28" s="30"/>
      <c r="J28" s="26"/>
      <c r="K28" s="31" t="str">
        <f aca="false">IF(OR($I28="",$H28=""),"",$I28*$H28)</f>
        <v/>
      </c>
      <c r="L28" s="31" t="str">
        <f aca="false">IF(OR($K28="",$J28=""),"",$K28*$J28)</f>
        <v/>
      </c>
      <c r="M28" s="32"/>
      <c r="N28" s="32"/>
      <c r="O28" s="33" t="str">
        <f aca="true">IF($N28="","",TODAY()-$N28)</f>
        <v/>
      </c>
      <c r="P28" s="33" t="str">
        <f aca="false">IF($O28="","",IF($O28&gt;IFERROR(INDEX(02_階段定義_Stages!$G$5:$G$13,MATCH(LEFT($G28,2),02_階段定義_Stages!$A$5:$A$13,0)),9999),"⚠ 停滯",IF($O28&gt;14,"注意","正常")))</f>
        <v/>
      </c>
      <c r="Q28" s="25"/>
      <c r="R28" s="25"/>
      <c r="S28" s="25"/>
      <c r="T28" s="28"/>
      <c r="U28" s="32"/>
      <c r="V28" s="28"/>
      <c r="W28" s="25"/>
    </row>
    <row r="29" customFormat="false" ht="15" hidden="false" customHeight="false" outlineLevel="0" collapsed="false">
      <c r="A29" s="25"/>
      <c r="B29" s="28"/>
      <c r="C29" s="25"/>
      <c r="D29" s="25"/>
      <c r="E29" s="25"/>
      <c r="F29" s="24"/>
      <c r="G29" s="24"/>
      <c r="H29" s="29" t="str">
        <f aca="false">IFERROR(INDEX(02_階段定義_Stages!$D$5:$D$13,MATCH(LEFT($G29,2),02_階段定義_Stages!$A$5:$A$13,0)),"")</f>
        <v/>
      </c>
      <c r="I29" s="30"/>
      <c r="J29" s="26"/>
      <c r="K29" s="31" t="str">
        <f aca="false">IF(OR($I29="",$H29=""),"",$I29*$H29)</f>
        <v/>
      </c>
      <c r="L29" s="31" t="str">
        <f aca="false">IF(OR($K29="",$J29=""),"",$K29*$J29)</f>
        <v/>
      </c>
      <c r="M29" s="32"/>
      <c r="N29" s="32"/>
      <c r="O29" s="33" t="str">
        <f aca="true">IF($N29="","",TODAY()-$N29)</f>
        <v/>
      </c>
      <c r="P29" s="33" t="str">
        <f aca="false">IF($O29="","",IF($O29&gt;IFERROR(INDEX(02_階段定義_Stages!$G$5:$G$13,MATCH(LEFT($G29,2),02_階段定義_Stages!$A$5:$A$13,0)),9999),"⚠ 停滯",IF($O29&gt;14,"注意","正常")))</f>
        <v/>
      </c>
      <c r="Q29" s="25"/>
      <c r="R29" s="25"/>
      <c r="S29" s="25"/>
      <c r="T29" s="28"/>
      <c r="U29" s="32"/>
      <c r="V29" s="28"/>
      <c r="W29" s="25"/>
    </row>
    <row r="30" customFormat="false" ht="15" hidden="false" customHeight="false" outlineLevel="0" collapsed="false">
      <c r="A30" s="25"/>
      <c r="B30" s="28"/>
      <c r="C30" s="25"/>
      <c r="D30" s="25"/>
      <c r="E30" s="25"/>
      <c r="F30" s="24"/>
      <c r="G30" s="24"/>
      <c r="H30" s="29" t="str">
        <f aca="false">IFERROR(INDEX(02_階段定義_Stages!$D$5:$D$13,MATCH(LEFT($G30,2),02_階段定義_Stages!$A$5:$A$13,0)),"")</f>
        <v/>
      </c>
      <c r="I30" s="30"/>
      <c r="J30" s="26"/>
      <c r="K30" s="31" t="str">
        <f aca="false">IF(OR($I30="",$H30=""),"",$I30*$H30)</f>
        <v/>
      </c>
      <c r="L30" s="31" t="str">
        <f aca="false">IF(OR($K30="",$J30=""),"",$K30*$J30)</f>
        <v/>
      </c>
      <c r="M30" s="32"/>
      <c r="N30" s="32"/>
      <c r="O30" s="33" t="str">
        <f aca="true">IF($N30="","",TODAY()-$N30)</f>
        <v/>
      </c>
      <c r="P30" s="33" t="str">
        <f aca="false">IF($O30="","",IF($O30&gt;IFERROR(INDEX(02_階段定義_Stages!$G$5:$G$13,MATCH(LEFT($G30,2),02_階段定義_Stages!$A$5:$A$13,0)),9999),"⚠ 停滯",IF($O30&gt;14,"注意","正常")))</f>
        <v/>
      </c>
      <c r="Q30" s="25"/>
      <c r="R30" s="25"/>
      <c r="S30" s="25"/>
      <c r="T30" s="28"/>
      <c r="U30" s="32"/>
      <c r="V30" s="28"/>
      <c r="W30" s="25"/>
    </row>
    <row r="31" customFormat="false" ht="15" hidden="false" customHeight="false" outlineLevel="0" collapsed="false">
      <c r="A31" s="25"/>
      <c r="B31" s="28"/>
      <c r="C31" s="25"/>
      <c r="D31" s="25"/>
      <c r="E31" s="25"/>
      <c r="F31" s="24"/>
      <c r="G31" s="24"/>
      <c r="H31" s="29" t="str">
        <f aca="false">IFERROR(INDEX(02_階段定義_Stages!$D$5:$D$13,MATCH(LEFT($G31,2),02_階段定義_Stages!$A$5:$A$13,0)),"")</f>
        <v/>
      </c>
      <c r="I31" s="30"/>
      <c r="J31" s="26"/>
      <c r="K31" s="31" t="str">
        <f aca="false">IF(OR($I31="",$H31=""),"",$I31*$H31)</f>
        <v/>
      </c>
      <c r="L31" s="31" t="str">
        <f aca="false">IF(OR($K31="",$J31=""),"",$K31*$J31)</f>
        <v/>
      </c>
      <c r="M31" s="32"/>
      <c r="N31" s="32"/>
      <c r="O31" s="33" t="str">
        <f aca="true">IF($N31="","",TODAY()-$N31)</f>
        <v/>
      </c>
      <c r="P31" s="33" t="str">
        <f aca="false">IF($O31="","",IF($O31&gt;IFERROR(INDEX(02_階段定義_Stages!$G$5:$G$13,MATCH(LEFT($G31,2),02_階段定義_Stages!$A$5:$A$13,0)),9999),"⚠ 停滯",IF($O31&gt;14,"注意","正常")))</f>
        <v/>
      </c>
      <c r="Q31" s="25"/>
      <c r="R31" s="25"/>
      <c r="S31" s="25"/>
      <c r="T31" s="28"/>
      <c r="U31" s="32"/>
      <c r="V31" s="28"/>
      <c r="W31" s="25"/>
    </row>
    <row r="32" customFormat="false" ht="15" hidden="false" customHeight="false" outlineLevel="0" collapsed="false">
      <c r="A32" s="25"/>
      <c r="B32" s="28"/>
      <c r="C32" s="25"/>
      <c r="D32" s="25"/>
      <c r="E32" s="25"/>
      <c r="F32" s="24"/>
      <c r="G32" s="24"/>
      <c r="H32" s="29" t="str">
        <f aca="false">IFERROR(INDEX(02_階段定義_Stages!$D$5:$D$13,MATCH(LEFT($G32,2),02_階段定義_Stages!$A$5:$A$13,0)),"")</f>
        <v/>
      </c>
      <c r="I32" s="30"/>
      <c r="J32" s="26"/>
      <c r="K32" s="31" t="str">
        <f aca="false">IF(OR($I32="",$H32=""),"",$I32*$H32)</f>
        <v/>
      </c>
      <c r="L32" s="31" t="str">
        <f aca="false">IF(OR($K32="",$J32=""),"",$K32*$J32)</f>
        <v/>
      </c>
      <c r="M32" s="32"/>
      <c r="N32" s="32"/>
      <c r="O32" s="33" t="str">
        <f aca="true">IF($N32="","",TODAY()-$N32)</f>
        <v/>
      </c>
      <c r="P32" s="33" t="str">
        <f aca="false">IF($O32="","",IF($O32&gt;IFERROR(INDEX(02_階段定義_Stages!$G$5:$G$13,MATCH(LEFT($G32,2),02_階段定義_Stages!$A$5:$A$13,0)),9999),"⚠ 停滯",IF($O32&gt;14,"注意","正常")))</f>
        <v/>
      </c>
      <c r="Q32" s="25"/>
      <c r="R32" s="25"/>
      <c r="S32" s="25"/>
      <c r="T32" s="28"/>
      <c r="U32" s="32"/>
      <c r="V32" s="28"/>
      <c r="W32" s="25"/>
    </row>
    <row r="33" customFormat="false" ht="15" hidden="false" customHeight="false" outlineLevel="0" collapsed="false">
      <c r="A33" s="25"/>
      <c r="B33" s="28"/>
      <c r="C33" s="25"/>
      <c r="D33" s="25"/>
      <c r="E33" s="25"/>
      <c r="F33" s="24"/>
      <c r="G33" s="24"/>
      <c r="H33" s="29" t="str">
        <f aca="false">IFERROR(INDEX(02_階段定義_Stages!$D$5:$D$13,MATCH(LEFT($G33,2),02_階段定義_Stages!$A$5:$A$13,0)),"")</f>
        <v/>
      </c>
      <c r="I33" s="30"/>
      <c r="J33" s="26"/>
      <c r="K33" s="31" t="str">
        <f aca="false">IF(OR($I33="",$H33=""),"",$I33*$H33)</f>
        <v/>
      </c>
      <c r="L33" s="31" t="str">
        <f aca="false">IF(OR($K33="",$J33=""),"",$K33*$J33)</f>
        <v/>
      </c>
      <c r="M33" s="32"/>
      <c r="N33" s="32"/>
      <c r="O33" s="33" t="str">
        <f aca="true">IF($N33="","",TODAY()-$N33)</f>
        <v/>
      </c>
      <c r="P33" s="33" t="str">
        <f aca="false">IF($O33="","",IF($O33&gt;IFERROR(INDEX(02_階段定義_Stages!$G$5:$G$13,MATCH(LEFT($G33,2),02_階段定義_Stages!$A$5:$A$13,0)),9999),"⚠ 停滯",IF($O33&gt;14,"注意","正常")))</f>
        <v/>
      </c>
      <c r="Q33" s="25"/>
      <c r="R33" s="25"/>
      <c r="S33" s="25"/>
      <c r="T33" s="28"/>
      <c r="U33" s="32"/>
      <c r="V33" s="28"/>
      <c r="W33" s="25"/>
    </row>
    <row r="34" customFormat="false" ht="15" hidden="false" customHeight="false" outlineLevel="0" collapsed="false">
      <c r="A34" s="25"/>
      <c r="B34" s="28"/>
      <c r="C34" s="25"/>
      <c r="D34" s="25"/>
      <c r="E34" s="25"/>
      <c r="F34" s="24"/>
      <c r="G34" s="24"/>
      <c r="H34" s="29" t="str">
        <f aca="false">IFERROR(INDEX(02_階段定義_Stages!$D$5:$D$13,MATCH(LEFT($G34,2),02_階段定義_Stages!$A$5:$A$13,0)),"")</f>
        <v/>
      </c>
      <c r="I34" s="30"/>
      <c r="J34" s="26"/>
      <c r="K34" s="31" t="str">
        <f aca="false">IF(OR($I34="",$H34=""),"",$I34*$H34)</f>
        <v/>
      </c>
      <c r="L34" s="31" t="str">
        <f aca="false">IF(OR($K34="",$J34=""),"",$K34*$J34)</f>
        <v/>
      </c>
      <c r="M34" s="32"/>
      <c r="N34" s="32"/>
      <c r="O34" s="33" t="str">
        <f aca="true">IF($N34="","",TODAY()-$N34)</f>
        <v/>
      </c>
      <c r="P34" s="33" t="str">
        <f aca="false">IF($O34="","",IF($O34&gt;IFERROR(INDEX(02_階段定義_Stages!$G$5:$G$13,MATCH(LEFT($G34,2),02_階段定義_Stages!$A$5:$A$13,0)),9999),"⚠ 停滯",IF($O34&gt;14,"注意","正常")))</f>
        <v/>
      </c>
      <c r="Q34" s="25"/>
      <c r="R34" s="25"/>
      <c r="S34" s="25"/>
      <c r="T34" s="28"/>
      <c r="U34" s="32"/>
      <c r="V34" s="28"/>
      <c r="W34" s="25"/>
    </row>
    <row r="35" customFormat="false" ht="15" hidden="false" customHeight="false" outlineLevel="0" collapsed="false">
      <c r="A35" s="25"/>
      <c r="B35" s="28"/>
      <c r="C35" s="25"/>
      <c r="D35" s="25"/>
      <c r="E35" s="25"/>
      <c r="F35" s="24"/>
      <c r="G35" s="24"/>
      <c r="H35" s="29" t="str">
        <f aca="false">IFERROR(INDEX(02_階段定義_Stages!$D$5:$D$13,MATCH(LEFT($G35,2),02_階段定義_Stages!$A$5:$A$13,0)),"")</f>
        <v/>
      </c>
      <c r="I35" s="30"/>
      <c r="J35" s="26"/>
      <c r="K35" s="31" t="str">
        <f aca="false">IF(OR($I35="",$H35=""),"",$I35*$H35)</f>
        <v/>
      </c>
      <c r="L35" s="31" t="str">
        <f aca="false">IF(OR($K35="",$J35=""),"",$K35*$J35)</f>
        <v/>
      </c>
      <c r="M35" s="32"/>
      <c r="N35" s="32"/>
      <c r="O35" s="33" t="str">
        <f aca="true">IF($N35="","",TODAY()-$N35)</f>
        <v/>
      </c>
      <c r="P35" s="33" t="str">
        <f aca="false">IF($O35="","",IF($O35&gt;IFERROR(INDEX(02_階段定義_Stages!$G$5:$G$13,MATCH(LEFT($G35,2),02_階段定義_Stages!$A$5:$A$13,0)),9999),"⚠ 停滯",IF($O35&gt;14,"注意","正常")))</f>
        <v/>
      </c>
      <c r="Q35" s="25"/>
      <c r="R35" s="25"/>
      <c r="S35" s="25"/>
      <c r="T35" s="28"/>
      <c r="U35" s="32"/>
      <c r="V35" s="28"/>
      <c r="W35" s="25"/>
    </row>
    <row r="36" customFormat="false" ht="15" hidden="false" customHeight="false" outlineLevel="0" collapsed="false">
      <c r="A36" s="25"/>
      <c r="B36" s="28"/>
      <c r="C36" s="25"/>
      <c r="D36" s="25"/>
      <c r="E36" s="25"/>
      <c r="F36" s="24"/>
      <c r="G36" s="24"/>
      <c r="H36" s="29" t="str">
        <f aca="false">IFERROR(INDEX(02_階段定義_Stages!$D$5:$D$13,MATCH(LEFT($G36,2),02_階段定義_Stages!$A$5:$A$13,0)),"")</f>
        <v/>
      </c>
      <c r="I36" s="30"/>
      <c r="J36" s="26"/>
      <c r="K36" s="31" t="str">
        <f aca="false">IF(OR($I36="",$H36=""),"",$I36*$H36)</f>
        <v/>
      </c>
      <c r="L36" s="31" t="str">
        <f aca="false">IF(OR($K36="",$J36=""),"",$K36*$J36)</f>
        <v/>
      </c>
      <c r="M36" s="32"/>
      <c r="N36" s="32"/>
      <c r="O36" s="33" t="str">
        <f aca="true">IF($N36="","",TODAY()-$N36)</f>
        <v/>
      </c>
      <c r="P36" s="33" t="str">
        <f aca="false">IF($O36="","",IF($O36&gt;IFERROR(INDEX(02_階段定義_Stages!$G$5:$G$13,MATCH(LEFT($G36,2),02_階段定義_Stages!$A$5:$A$13,0)),9999),"⚠ 停滯",IF($O36&gt;14,"注意","正常")))</f>
        <v/>
      </c>
      <c r="Q36" s="25"/>
      <c r="R36" s="25"/>
      <c r="S36" s="25"/>
      <c r="T36" s="28"/>
      <c r="U36" s="32"/>
      <c r="V36" s="28"/>
      <c r="W36" s="25"/>
    </row>
    <row r="37" customFormat="false" ht="15" hidden="false" customHeight="false" outlineLevel="0" collapsed="false">
      <c r="A37" s="25"/>
      <c r="B37" s="28"/>
      <c r="C37" s="25"/>
      <c r="D37" s="25"/>
      <c r="E37" s="25"/>
      <c r="F37" s="24"/>
      <c r="G37" s="24"/>
      <c r="H37" s="29" t="str">
        <f aca="false">IFERROR(INDEX(02_階段定義_Stages!$D$5:$D$13,MATCH(LEFT($G37,2),02_階段定義_Stages!$A$5:$A$13,0)),"")</f>
        <v/>
      </c>
      <c r="I37" s="30"/>
      <c r="J37" s="26"/>
      <c r="K37" s="31" t="str">
        <f aca="false">IF(OR($I37="",$H37=""),"",$I37*$H37)</f>
        <v/>
      </c>
      <c r="L37" s="31" t="str">
        <f aca="false">IF(OR($K37="",$J37=""),"",$K37*$J37)</f>
        <v/>
      </c>
      <c r="M37" s="32"/>
      <c r="N37" s="32"/>
      <c r="O37" s="33" t="str">
        <f aca="true">IF($N37="","",TODAY()-$N37)</f>
        <v/>
      </c>
      <c r="P37" s="33" t="str">
        <f aca="false">IF($O37="","",IF($O37&gt;IFERROR(INDEX(02_階段定義_Stages!$G$5:$G$13,MATCH(LEFT($G37,2),02_階段定義_Stages!$A$5:$A$13,0)),9999),"⚠ 停滯",IF($O37&gt;14,"注意","正常")))</f>
        <v/>
      </c>
      <c r="Q37" s="25"/>
      <c r="R37" s="25"/>
      <c r="S37" s="25"/>
      <c r="T37" s="28"/>
      <c r="U37" s="32"/>
      <c r="V37" s="28"/>
      <c r="W37" s="25"/>
    </row>
    <row r="38" customFormat="false" ht="15" hidden="false" customHeight="false" outlineLevel="0" collapsed="false">
      <c r="A38" s="25"/>
      <c r="B38" s="28"/>
      <c r="C38" s="25"/>
      <c r="D38" s="25"/>
      <c r="E38" s="25"/>
      <c r="F38" s="24"/>
      <c r="G38" s="24"/>
      <c r="H38" s="29" t="str">
        <f aca="false">IFERROR(INDEX(02_階段定義_Stages!$D$5:$D$13,MATCH(LEFT($G38,2),02_階段定義_Stages!$A$5:$A$13,0)),"")</f>
        <v/>
      </c>
      <c r="I38" s="30"/>
      <c r="J38" s="26"/>
      <c r="K38" s="31" t="str">
        <f aca="false">IF(OR($I38="",$H38=""),"",$I38*$H38)</f>
        <v/>
      </c>
      <c r="L38" s="31" t="str">
        <f aca="false">IF(OR($K38="",$J38=""),"",$K38*$J38)</f>
        <v/>
      </c>
      <c r="M38" s="32"/>
      <c r="N38" s="32"/>
      <c r="O38" s="33" t="str">
        <f aca="true">IF($N38="","",TODAY()-$N38)</f>
        <v/>
      </c>
      <c r="P38" s="33" t="str">
        <f aca="false">IF($O38="","",IF($O38&gt;IFERROR(INDEX(02_階段定義_Stages!$G$5:$G$13,MATCH(LEFT($G38,2),02_階段定義_Stages!$A$5:$A$13,0)),9999),"⚠ 停滯",IF($O38&gt;14,"注意","正常")))</f>
        <v/>
      </c>
      <c r="Q38" s="25"/>
      <c r="R38" s="25"/>
      <c r="S38" s="25"/>
      <c r="T38" s="28"/>
      <c r="U38" s="32"/>
      <c r="V38" s="28"/>
      <c r="W38" s="25"/>
    </row>
    <row r="39" customFormat="false" ht="15" hidden="false" customHeight="false" outlineLevel="0" collapsed="false">
      <c r="A39" s="25"/>
      <c r="B39" s="28"/>
      <c r="C39" s="25"/>
      <c r="D39" s="25"/>
      <c r="E39" s="25"/>
      <c r="F39" s="24"/>
      <c r="G39" s="24"/>
      <c r="H39" s="29" t="str">
        <f aca="false">IFERROR(INDEX(02_階段定義_Stages!$D$5:$D$13,MATCH(LEFT($G39,2),02_階段定義_Stages!$A$5:$A$13,0)),"")</f>
        <v/>
      </c>
      <c r="I39" s="30"/>
      <c r="J39" s="26"/>
      <c r="K39" s="31" t="str">
        <f aca="false">IF(OR($I39="",$H39=""),"",$I39*$H39)</f>
        <v/>
      </c>
      <c r="L39" s="31" t="str">
        <f aca="false">IF(OR($K39="",$J39=""),"",$K39*$J39)</f>
        <v/>
      </c>
      <c r="M39" s="32"/>
      <c r="N39" s="32"/>
      <c r="O39" s="33" t="str">
        <f aca="true">IF($N39="","",TODAY()-$N39)</f>
        <v/>
      </c>
      <c r="P39" s="33" t="str">
        <f aca="false">IF($O39="","",IF($O39&gt;IFERROR(INDEX(02_階段定義_Stages!$G$5:$G$13,MATCH(LEFT($G39,2),02_階段定義_Stages!$A$5:$A$13,0)),9999),"⚠ 停滯",IF($O39&gt;14,"注意","正常")))</f>
        <v/>
      </c>
      <c r="Q39" s="25"/>
      <c r="R39" s="25"/>
      <c r="S39" s="25"/>
      <c r="T39" s="28"/>
      <c r="U39" s="32"/>
      <c r="V39" s="28"/>
      <c r="W39" s="25"/>
    </row>
    <row r="40" customFormat="false" ht="15" hidden="false" customHeight="false" outlineLevel="0" collapsed="false">
      <c r="A40" s="25"/>
      <c r="B40" s="28"/>
      <c r="C40" s="25"/>
      <c r="D40" s="25"/>
      <c r="E40" s="25"/>
      <c r="F40" s="24"/>
      <c r="G40" s="24"/>
      <c r="H40" s="29" t="str">
        <f aca="false">IFERROR(INDEX(02_階段定義_Stages!$D$5:$D$13,MATCH(LEFT($G40,2),02_階段定義_Stages!$A$5:$A$13,0)),"")</f>
        <v/>
      </c>
      <c r="I40" s="30"/>
      <c r="J40" s="26"/>
      <c r="K40" s="31" t="str">
        <f aca="false">IF(OR($I40="",$H40=""),"",$I40*$H40)</f>
        <v/>
      </c>
      <c r="L40" s="31" t="str">
        <f aca="false">IF(OR($K40="",$J40=""),"",$K40*$J40)</f>
        <v/>
      </c>
      <c r="M40" s="32"/>
      <c r="N40" s="32"/>
      <c r="O40" s="33" t="str">
        <f aca="true">IF($N40="","",TODAY()-$N40)</f>
        <v/>
      </c>
      <c r="P40" s="33" t="str">
        <f aca="false">IF($O40="","",IF($O40&gt;IFERROR(INDEX(02_階段定義_Stages!$G$5:$G$13,MATCH(LEFT($G40,2),02_階段定義_Stages!$A$5:$A$13,0)),9999),"⚠ 停滯",IF($O40&gt;14,"注意","正常")))</f>
        <v/>
      </c>
      <c r="Q40" s="25"/>
      <c r="R40" s="25"/>
      <c r="S40" s="25"/>
      <c r="T40" s="28"/>
      <c r="U40" s="32"/>
      <c r="V40" s="28"/>
      <c r="W40" s="25"/>
    </row>
    <row r="41" customFormat="false" ht="15" hidden="false" customHeight="false" outlineLevel="0" collapsed="false">
      <c r="A41" s="25"/>
      <c r="B41" s="28"/>
      <c r="C41" s="25"/>
      <c r="D41" s="25"/>
      <c r="E41" s="25"/>
      <c r="F41" s="24"/>
      <c r="G41" s="24"/>
      <c r="H41" s="29" t="str">
        <f aca="false">IFERROR(INDEX(02_階段定義_Stages!$D$5:$D$13,MATCH(LEFT($G41,2),02_階段定義_Stages!$A$5:$A$13,0)),"")</f>
        <v/>
      </c>
      <c r="I41" s="30"/>
      <c r="J41" s="26"/>
      <c r="K41" s="31" t="str">
        <f aca="false">IF(OR($I41="",$H41=""),"",$I41*$H41)</f>
        <v/>
      </c>
      <c r="L41" s="31" t="str">
        <f aca="false">IF(OR($K41="",$J41=""),"",$K41*$J41)</f>
        <v/>
      </c>
      <c r="M41" s="32"/>
      <c r="N41" s="32"/>
      <c r="O41" s="33" t="str">
        <f aca="true">IF($N41="","",TODAY()-$N41)</f>
        <v/>
      </c>
      <c r="P41" s="33" t="str">
        <f aca="false">IF($O41="","",IF($O41&gt;IFERROR(INDEX(02_階段定義_Stages!$G$5:$G$13,MATCH(LEFT($G41,2),02_階段定義_Stages!$A$5:$A$13,0)),9999),"⚠ 停滯",IF($O41&gt;14,"注意","正常")))</f>
        <v/>
      </c>
      <c r="Q41" s="25"/>
      <c r="R41" s="25"/>
      <c r="S41" s="25"/>
      <c r="T41" s="28"/>
      <c r="U41" s="32"/>
      <c r="V41" s="28"/>
      <c r="W41" s="25"/>
    </row>
    <row r="42" customFormat="false" ht="15" hidden="false" customHeight="false" outlineLevel="0" collapsed="false">
      <c r="A42" s="25"/>
      <c r="B42" s="28"/>
      <c r="C42" s="25"/>
      <c r="D42" s="25"/>
      <c r="E42" s="25"/>
      <c r="F42" s="24"/>
      <c r="G42" s="24"/>
      <c r="H42" s="29" t="str">
        <f aca="false">IFERROR(INDEX(02_階段定義_Stages!$D$5:$D$13,MATCH(LEFT($G42,2),02_階段定義_Stages!$A$5:$A$13,0)),"")</f>
        <v/>
      </c>
      <c r="I42" s="30"/>
      <c r="J42" s="26"/>
      <c r="K42" s="31" t="str">
        <f aca="false">IF(OR($I42="",$H42=""),"",$I42*$H42)</f>
        <v/>
      </c>
      <c r="L42" s="31" t="str">
        <f aca="false">IF(OR($K42="",$J42=""),"",$K42*$J42)</f>
        <v/>
      </c>
      <c r="M42" s="32"/>
      <c r="N42" s="32"/>
      <c r="O42" s="33" t="str">
        <f aca="true">IF($N42="","",TODAY()-$N42)</f>
        <v/>
      </c>
      <c r="P42" s="33" t="str">
        <f aca="false">IF($O42="","",IF($O42&gt;IFERROR(INDEX(02_階段定義_Stages!$G$5:$G$13,MATCH(LEFT($G42,2),02_階段定義_Stages!$A$5:$A$13,0)),9999),"⚠ 停滯",IF($O42&gt;14,"注意","正常")))</f>
        <v/>
      </c>
      <c r="Q42" s="25"/>
      <c r="R42" s="25"/>
      <c r="S42" s="25"/>
      <c r="T42" s="28"/>
      <c r="U42" s="32"/>
      <c r="V42" s="28"/>
      <c r="W42" s="25"/>
    </row>
    <row r="43" customFormat="false" ht="15" hidden="false" customHeight="false" outlineLevel="0" collapsed="false">
      <c r="A43" s="25"/>
      <c r="B43" s="28"/>
      <c r="C43" s="25"/>
      <c r="D43" s="25"/>
      <c r="E43" s="25"/>
      <c r="F43" s="24"/>
      <c r="G43" s="24"/>
      <c r="H43" s="29" t="str">
        <f aca="false">IFERROR(INDEX(02_階段定義_Stages!$D$5:$D$13,MATCH(LEFT($G43,2),02_階段定義_Stages!$A$5:$A$13,0)),"")</f>
        <v/>
      </c>
      <c r="I43" s="30"/>
      <c r="J43" s="26"/>
      <c r="K43" s="31" t="str">
        <f aca="false">IF(OR($I43="",$H43=""),"",$I43*$H43)</f>
        <v/>
      </c>
      <c r="L43" s="31" t="str">
        <f aca="false">IF(OR($K43="",$J43=""),"",$K43*$J43)</f>
        <v/>
      </c>
      <c r="M43" s="32"/>
      <c r="N43" s="32"/>
      <c r="O43" s="33" t="str">
        <f aca="true">IF($N43="","",TODAY()-$N43)</f>
        <v/>
      </c>
      <c r="P43" s="33" t="str">
        <f aca="false">IF($O43="","",IF($O43&gt;IFERROR(INDEX(02_階段定義_Stages!$G$5:$G$13,MATCH(LEFT($G43,2),02_階段定義_Stages!$A$5:$A$13,0)),9999),"⚠ 停滯",IF($O43&gt;14,"注意","正常")))</f>
        <v/>
      </c>
      <c r="Q43" s="25"/>
      <c r="R43" s="25"/>
      <c r="S43" s="25"/>
      <c r="T43" s="28"/>
      <c r="U43" s="32"/>
      <c r="V43" s="28"/>
      <c r="W43" s="25"/>
    </row>
    <row r="44" customFormat="false" ht="15" hidden="false" customHeight="false" outlineLevel="0" collapsed="false">
      <c r="A44" s="25"/>
      <c r="B44" s="28"/>
      <c r="C44" s="25"/>
      <c r="D44" s="25"/>
      <c r="E44" s="25"/>
      <c r="F44" s="24"/>
      <c r="G44" s="24"/>
      <c r="H44" s="29" t="str">
        <f aca="false">IFERROR(INDEX(02_階段定義_Stages!$D$5:$D$13,MATCH(LEFT($G44,2),02_階段定義_Stages!$A$5:$A$13,0)),"")</f>
        <v/>
      </c>
      <c r="I44" s="30"/>
      <c r="J44" s="26"/>
      <c r="K44" s="31" t="str">
        <f aca="false">IF(OR($I44="",$H44=""),"",$I44*$H44)</f>
        <v/>
      </c>
      <c r="L44" s="31" t="str">
        <f aca="false">IF(OR($K44="",$J44=""),"",$K44*$J44)</f>
        <v/>
      </c>
      <c r="M44" s="32"/>
      <c r="N44" s="32"/>
      <c r="O44" s="33" t="str">
        <f aca="true">IF($N44="","",TODAY()-$N44)</f>
        <v/>
      </c>
      <c r="P44" s="33" t="str">
        <f aca="false">IF($O44="","",IF($O44&gt;IFERROR(INDEX(02_階段定義_Stages!$G$5:$G$13,MATCH(LEFT($G44,2),02_階段定義_Stages!$A$5:$A$13,0)),9999),"⚠ 停滯",IF($O44&gt;14,"注意","正常")))</f>
        <v/>
      </c>
      <c r="Q44" s="25"/>
      <c r="R44" s="25"/>
      <c r="S44" s="25"/>
      <c r="T44" s="28"/>
      <c r="U44" s="32"/>
      <c r="V44" s="28"/>
      <c r="W44" s="25"/>
    </row>
    <row r="45" customFormat="false" ht="15" hidden="false" customHeight="false" outlineLevel="0" collapsed="false">
      <c r="A45" s="25"/>
      <c r="B45" s="28"/>
      <c r="C45" s="25"/>
      <c r="D45" s="25"/>
      <c r="E45" s="25"/>
      <c r="F45" s="24"/>
      <c r="G45" s="24"/>
      <c r="H45" s="29" t="str">
        <f aca="false">IFERROR(INDEX(02_階段定義_Stages!$D$5:$D$13,MATCH(LEFT($G45,2),02_階段定義_Stages!$A$5:$A$13,0)),"")</f>
        <v/>
      </c>
      <c r="I45" s="30"/>
      <c r="J45" s="26"/>
      <c r="K45" s="31" t="str">
        <f aca="false">IF(OR($I45="",$H45=""),"",$I45*$H45)</f>
        <v/>
      </c>
      <c r="L45" s="31" t="str">
        <f aca="false">IF(OR($K45="",$J45=""),"",$K45*$J45)</f>
        <v/>
      </c>
      <c r="M45" s="32"/>
      <c r="N45" s="32"/>
      <c r="O45" s="33" t="str">
        <f aca="true">IF($N45="","",TODAY()-$N45)</f>
        <v/>
      </c>
      <c r="P45" s="33" t="str">
        <f aca="false">IF($O45="","",IF($O45&gt;IFERROR(INDEX(02_階段定義_Stages!$G$5:$G$13,MATCH(LEFT($G45,2),02_階段定義_Stages!$A$5:$A$13,0)),9999),"⚠ 停滯",IF($O45&gt;14,"注意","正常")))</f>
        <v/>
      </c>
      <c r="Q45" s="25"/>
      <c r="R45" s="25"/>
      <c r="S45" s="25"/>
      <c r="T45" s="28"/>
      <c r="U45" s="32"/>
      <c r="V45" s="28"/>
      <c r="W45" s="25"/>
    </row>
    <row r="46" customFormat="false" ht="15" hidden="false" customHeight="false" outlineLevel="0" collapsed="false">
      <c r="A46" s="25"/>
      <c r="B46" s="28"/>
      <c r="C46" s="25"/>
      <c r="D46" s="25"/>
      <c r="E46" s="25"/>
      <c r="F46" s="24"/>
      <c r="G46" s="24"/>
      <c r="H46" s="29" t="str">
        <f aca="false">IFERROR(INDEX(02_階段定義_Stages!$D$5:$D$13,MATCH(LEFT($G46,2),02_階段定義_Stages!$A$5:$A$13,0)),"")</f>
        <v/>
      </c>
      <c r="I46" s="30"/>
      <c r="J46" s="26"/>
      <c r="K46" s="31" t="str">
        <f aca="false">IF(OR($I46="",$H46=""),"",$I46*$H46)</f>
        <v/>
      </c>
      <c r="L46" s="31" t="str">
        <f aca="false">IF(OR($K46="",$J46=""),"",$K46*$J46)</f>
        <v/>
      </c>
      <c r="M46" s="32"/>
      <c r="N46" s="32"/>
      <c r="O46" s="33" t="str">
        <f aca="true">IF($N46="","",TODAY()-$N46)</f>
        <v/>
      </c>
      <c r="P46" s="33" t="str">
        <f aca="false">IF($O46="","",IF($O46&gt;IFERROR(INDEX(02_階段定義_Stages!$G$5:$G$13,MATCH(LEFT($G46,2),02_階段定義_Stages!$A$5:$A$13,0)),9999),"⚠ 停滯",IF($O46&gt;14,"注意","正常")))</f>
        <v/>
      </c>
      <c r="Q46" s="25"/>
      <c r="R46" s="25"/>
      <c r="S46" s="25"/>
      <c r="T46" s="28"/>
      <c r="U46" s="32"/>
      <c r="V46" s="28"/>
      <c r="W46" s="25"/>
    </row>
    <row r="47" customFormat="false" ht="15" hidden="false" customHeight="false" outlineLevel="0" collapsed="false">
      <c r="A47" s="25"/>
      <c r="B47" s="28"/>
      <c r="C47" s="25"/>
      <c r="D47" s="25"/>
      <c r="E47" s="25"/>
      <c r="F47" s="24"/>
      <c r="G47" s="24"/>
      <c r="H47" s="29" t="str">
        <f aca="false">IFERROR(INDEX(02_階段定義_Stages!$D$5:$D$13,MATCH(LEFT($G47,2),02_階段定義_Stages!$A$5:$A$13,0)),"")</f>
        <v/>
      </c>
      <c r="I47" s="30"/>
      <c r="J47" s="26"/>
      <c r="K47" s="31" t="str">
        <f aca="false">IF(OR($I47="",$H47=""),"",$I47*$H47)</f>
        <v/>
      </c>
      <c r="L47" s="31" t="str">
        <f aca="false">IF(OR($K47="",$J47=""),"",$K47*$J47)</f>
        <v/>
      </c>
      <c r="M47" s="32"/>
      <c r="N47" s="32"/>
      <c r="O47" s="33" t="str">
        <f aca="true">IF($N47="","",TODAY()-$N47)</f>
        <v/>
      </c>
      <c r="P47" s="33" t="str">
        <f aca="false">IF($O47="","",IF($O47&gt;IFERROR(INDEX(02_階段定義_Stages!$G$5:$G$13,MATCH(LEFT($G47,2),02_階段定義_Stages!$A$5:$A$13,0)),9999),"⚠ 停滯",IF($O47&gt;14,"注意","正常")))</f>
        <v/>
      </c>
      <c r="Q47" s="25"/>
      <c r="R47" s="25"/>
      <c r="S47" s="25"/>
      <c r="T47" s="28"/>
      <c r="U47" s="32"/>
      <c r="V47" s="28"/>
      <c r="W47" s="25"/>
    </row>
    <row r="48" customFormat="false" ht="15" hidden="false" customHeight="false" outlineLevel="0" collapsed="false">
      <c r="A48" s="25"/>
      <c r="B48" s="28"/>
      <c r="C48" s="25"/>
      <c r="D48" s="25"/>
      <c r="E48" s="25"/>
      <c r="F48" s="24"/>
      <c r="G48" s="24"/>
      <c r="H48" s="29" t="str">
        <f aca="false">IFERROR(INDEX(02_階段定義_Stages!$D$5:$D$13,MATCH(LEFT($G48,2),02_階段定義_Stages!$A$5:$A$13,0)),"")</f>
        <v/>
      </c>
      <c r="I48" s="30"/>
      <c r="J48" s="26"/>
      <c r="K48" s="31" t="str">
        <f aca="false">IF(OR($I48="",$H48=""),"",$I48*$H48)</f>
        <v/>
      </c>
      <c r="L48" s="31" t="str">
        <f aca="false">IF(OR($K48="",$J48=""),"",$K48*$J48)</f>
        <v/>
      </c>
      <c r="M48" s="32"/>
      <c r="N48" s="32"/>
      <c r="O48" s="33" t="str">
        <f aca="true">IF($N48="","",TODAY()-$N48)</f>
        <v/>
      </c>
      <c r="P48" s="33" t="str">
        <f aca="false">IF($O48="","",IF($O48&gt;IFERROR(INDEX(02_階段定義_Stages!$G$5:$G$13,MATCH(LEFT($G48,2),02_階段定義_Stages!$A$5:$A$13,0)),9999),"⚠ 停滯",IF($O48&gt;14,"注意","正常")))</f>
        <v/>
      </c>
      <c r="Q48" s="25"/>
      <c r="R48" s="25"/>
      <c r="S48" s="25"/>
      <c r="T48" s="28"/>
      <c r="U48" s="32"/>
      <c r="V48" s="28"/>
      <c r="W48" s="25"/>
    </row>
    <row r="49" customFormat="false" ht="15" hidden="false" customHeight="false" outlineLevel="0" collapsed="false">
      <c r="A49" s="25"/>
      <c r="B49" s="28"/>
      <c r="C49" s="25"/>
      <c r="D49" s="25"/>
      <c r="E49" s="25"/>
      <c r="F49" s="24"/>
      <c r="G49" s="24"/>
      <c r="H49" s="29" t="str">
        <f aca="false">IFERROR(INDEX(02_階段定義_Stages!$D$5:$D$13,MATCH(LEFT($G49,2),02_階段定義_Stages!$A$5:$A$13,0)),"")</f>
        <v/>
      </c>
      <c r="I49" s="30"/>
      <c r="J49" s="26"/>
      <c r="K49" s="31" t="str">
        <f aca="false">IF(OR($I49="",$H49=""),"",$I49*$H49)</f>
        <v/>
      </c>
      <c r="L49" s="31" t="str">
        <f aca="false">IF(OR($K49="",$J49=""),"",$K49*$J49)</f>
        <v/>
      </c>
      <c r="M49" s="32"/>
      <c r="N49" s="32"/>
      <c r="O49" s="33" t="str">
        <f aca="true">IF($N49="","",TODAY()-$N49)</f>
        <v/>
      </c>
      <c r="P49" s="33" t="str">
        <f aca="false">IF($O49="","",IF($O49&gt;IFERROR(INDEX(02_階段定義_Stages!$G$5:$G$13,MATCH(LEFT($G49,2),02_階段定義_Stages!$A$5:$A$13,0)),9999),"⚠ 停滯",IF($O49&gt;14,"注意","正常")))</f>
        <v/>
      </c>
      <c r="Q49" s="25"/>
      <c r="R49" s="25"/>
      <c r="S49" s="25"/>
      <c r="T49" s="28"/>
      <c r="U49" s="32"/>
      <c r="V49" s="28"/>
      <c r="W49" s="25"/>
    </row>
    <row r="50" customFormat="false" ht="15" hidden="false" customHeight="false" outlineLevel="0" collapsed="false">
      <c r="A50" s="25"/>
      <c r="B50" s="28"/>
      <c r="C50" s="25"/>
      <c r="D50" s="25"/>
      <c r="E50" s="25"/>
      <c r="F50" s="24"/>
      <c r="G50" s="24"/>
      <c r="H50" s="29" t="str">
        <f aca="false">IFERROR(INDEX(02_階段定義_Stages!$D$5:$D$13,MATCH(LEFT($G50,2),02_階段定義_Stages!$A$5:$A$13,0)),"")</f>
        <v/>
      </c>
      <c r="I50" s="30"/>
      <c r="J50" s="26"/>
      <c r="K50" s="31" t="str">
        <f aca="false">IF(OR($I50="",$H50=""),"",$I50*$H50)</f>
        <v/>
      </c>
      <c r="L50" s="31" t="str">
        <f aca="false">IF(OR($K50="",$J50=""),"",$K50*$J50)</f>
        <v/>
      </c>
      <c r="M50" s="32"/>
      <c r="N50" s="32"/>
      <c r="O50" s="33" t="str">
        <f aca="true">IF($N50="","",TODAY()-$N50)</f>
        <v/>
      </c>
      <c r="P50" s="33" t="str">
        <f aca="false">IF($O50="","",IF($O50&gt;IFERROR(INDEX(02_階段定義_Stages!$G$5:$G$13,MATCH(LEFT($G50,2),02_階段定義_Stages!$A$5:$A$13,0)),9999),"⚠ 停滯",IF($O50&gt;14,"注意","正常")))</f>
        <v/>
      </c>
      <c r="Q50" s="25"/>
      <c r="R50" s="25"/>
      <c r="S50" s="25"/>
      <c r="T50" s="28"/>
      <c r="U50" s="32"/>
      <c r="V50" s="28"/>
      <c r="W50" s="25"/>
    </row>
    <row r="51" customFormat="false" ht="15" hidden="false" customHeight="false" outlineLevel="0" collapsed="false">
      <c r="A51" s="25"/>
      <c r="B51" s="28"/>
      <c r="C51" s="25"/>
      <c r="D51" s="25"/>
      <c r="E51" s="25"/>
      <c r="F51" s="24"/>
      <c r="G51" s="24"/>
      <c r="H51" s="29" t="str">
        <f aca="false">IFERROR(INDEX(02_階段定義_Stages!$D$5:$D$13,MATCH(LEFT($G51,2),02_階段定義_Stages!$A$5:$A$13,0)),"")</f>
        <v/>
      </c>
      <c r="I51" s="30"/>
      <c r="J51" s="26"/>
      <c r="K51" s="31" t="str">
        <f aca="false">IF(OR($I51="",$H51=""),"",$I51*$H51)</f>
        <v/>
      </c>
      <c r="L51" s="31" t="str">
        <f aca="false">IF(OR($K51="",$J51=""),"",$K51*$J51)</f>
        <v/>
      </c>
      <c r="M51" s="32"/>
      <c r="N51" s="32"/>
      <c r="O51" s="33" t="str">
        <f aca="true">IF($N51="","",TODAY()-$N51)</f>
        <v/>
      </c>
      <c r="P51" s="33" t="str">
        <f aca="false">IF($O51="","",IF($O51&gt;IFERROR(INDEX(02_階段定義_Stages!$G$5:$G$13,MATCH(LEFT($G51,2),02_階段定義_Stages!$A$5:$A$13,0)),9999),"⚠ 停滯",IF($O51&gt;14,"注意","正常")))</f>
        <v/>
      </c>
      <c r="Q51" s="25"/>
      <c r="R51" s="25"/>
      <c r="S51" s="25"/>
      <c r="T51" s="28"/>
      <c r="U51" s="32"/>
      <c r="V51" s="28"/>
      <c r="W51" s="25"/>
    </row>
    <row r="52" customFormat="false" ht="15" hidden="false" customHeight="false" outlineLevel="0" collapsed="false">
      <c r="A52" s="25"/>
      <c r="B52" s="28"/>
      <c r="C52" s="25"/>
      <c r="D52" s="25"/>
      <c r="E52" s="25"/>
      <c r="F52" s="24"/>
      <c r="G52" s="24"/>
      <c r="H52" s="29" t="str">
        <f aca="false">IFERROR(INDEX(02_階段定義_Stages!$D$5:$D$13,MATCH(LEFT($G52,2),02_階段定義_Stages!$A$5:$A$13,0)),"")</f>
        <v/>
      </c>
      <c r="I52" s="30"/>
      <c r="J52" s="26"/>
      <c r="K52" s="31" t="str">
        <f aca="false">IF(OR($I52="",$H52=""),"",$I52*$H52)</f>
        <v/>
      </c>
      <c r="L52" s="31" t="str">
        <f aca="false">IF(OR($K52="",$J52=""),"",$K52*$J52)</f>
        <v/>
      </c>
      <c r="M52" s="32"/>
      <c r="N52" s="32"/>
      <c r="O52" s="33" t="str">
        <f aca="true">IF($N52="","",TODAY()-$N52)</f>
        <v/>
      </c>
      <c r="P52" s="33" t="str">
        <f aca="false">IF($O52="","",IF($O52&gt;IFERROR(INDEX(02_階段定義_Stages!$G$5:$G$13,MATCH(LEFT($G52,2),02_階段定義_Stages!$A$5:$A$13,0)),9999),"⚠ 停滯",IF($O52&gt;14,"注意","正常")))</f>
        <v/>
      </c>
      <c r="Q52" s="25"/>
      <c r="R52" s="25"/>
      <c r="S52" s="25"/>
      <c r="T52" s="28"/>
      <c r="U52" s="32"/>
      <c r="V52" s="28"/>
      <c r="W52" s="25"/>
    </row>
    <row r="53" customFormat="false" ht="15" hidden="false" customHeight="false" outlineLevel="0" collapsed="false">
      <c r="A53" s="25"/>
      <c r="B53" s="28"/>
      <c r="C53" s="25"/>
      <c r="D53" s="25"/>
      <c r="E53" s="25"/>
      <c r="F53" s="24"/>
      <c r="G53" s="24"/>
      <c r="H53" s="29" t="str">
        <f aca="false">IFERROR(INDEX(02_階段定義_Stages!$D$5:$D$13,MATCH(LEFT($G53,2),02_階段定義_Stages!$A$5:$A$13,0)),"")</f>
        <v/>
      </c>
      <c r="I53" s="30"/>
      <c r="J53" s="26"/>
      <c r="K53" s="31" t="str">
        <f aca="false">IF(OR($I53="",$H53=""),"",$I53*$H53)</f>
        <v/>
      </c>
      <c r="L53" s="31" t="str">
        <f aca="false">IF(OR($K53="",$J53=""),"",$K53*$J53)</f>
        <v/>
      </c>
      <c r="M53" s="32"/>
      <c r="N53" s="32"/>
      <c r="O53" s="33" t="str">
        <f aca="true">IF($N53="","",TODAY()-$N53)</f>
        <v/>
      </c>
      <c r="P53" s="33" t="str">
        <f aca="false">IF($O53="","",IF($O53&gt;IFERROR(INDEX(02_階段定義_Stages!$G$5:$G$13,MATCH(LEFT($G53,2),02_階段定義_Stages!$A$5:$A$13,0)),9999),"⚠ 停滯",IF($O53&gt;14,"注意","正常")))</f>
        <v/>
      </c>
      <c r="Q53" s="25"/>
      <c r="R53" s="25"/>
      <c r="S53" s="25"/>
      <c r="T53" s="28"/>
      <c r="U53" s="32"/>
      <c r="V53" s="28"/>
      <c r="W53" s="25"/>
    </row>
    <row r="54" customFormat="false" ht="15" hidden="false" customHeight="false" outlineLevel="0" collapsed="false">
      <c r="A54" s="25"/>
      <c r="B54" s="28"/>
      <c r="C54" s="25"/>
      <c r="D54" s="25"/>
      <c r="E54" s="25"/>
      <c r="F54" s="24"/>
      <c r="G54" s="24"/>
      <c r="H54" s="29" t="str">
        <f aca="false">IFERROR(INDEX(02_階段定義_Stages!$D$5:$D$13,MATCH(LEFT($G54,2),02_階段定義_Stages!$A$5:$A$13,0)),"")</f>
        <v/>
      </c>
      <c r="I54" s="30"/>
      <c r="J54" s="26"/>
      <c r="K54" s="31" t="str">
        <f aca="false">IF(OR($I54="",$H54=""),"",$I54*$H54)</f>
        <v/>
      </c>
      <c r="L54" s="31" t="str">
        <f aca="false">IF(OR($K54="",$J54=""),"",$K54*$J54)</f>
        <v/>
      </c>
      <c r="M54" s="32"/>
      <c r="N54" s="32"/>
      <c r="O54" s="33" t="str">
        <f aca="true">IF($N54="","",TODAY()-$N54)</f>
        <v/>
      </c>
      <c r="P54" s="33" t="str">
        <f aca="false">IF($O54="","",IF($O54&gt;IFERROR(INDEX(02_階段定義_Stages!$G$5:$G$13,MATCH(LEFT($G54,2),02_階段定義_Stages!$A$5:$A$13,0)),9999),"⚠ 停滯",IF($O54&gt;14,"注意","正常")))</f>
        <v/>
      </c>
      <c r="Q54" s="25"/>
      <c r="R54" s="25"/>
      <c r="S54" s="25"/>
      <c r="T54" s="28"/>
      <c r="U54" s="32"/>
      <c r="V54" s="28"/>
      <c r="W54" s="25"/>
    </row>
    <row r="55" customFormat="false" ht="15" hidden="false" customHeight="false" outlineLevel="0" collapsed="false">
      <c r="A55" s="25"/>
      <c r="B55" s="28"/>
      <c r="C55" s="25"/>
      <c r="D55" s="25"/>
      <c r="E55" s="25"/>
      <c r="F55" s="24"/>
      <c r="G55" s="24"/>
      <c r="H55" s="29" t="str">
        <f aca="false">IFERROR(INDEX(02_階段定義_Stages!$D$5:$D$13,MATCH(LEFT($G55,2),02_階段定義_Stages!$A$5:$A$13,0)),"")</f>
        <v/>
      </c>
      <c r="I55" s="30"/>
      <c r="J55" s="26"/>
      <c r="K55" s="31" t="str">
        <f aca="false">IF(OR($I55="",$H55=""),"",$I55*$H55)</f>
        <v/>
      </c>
      <c r="L55" s="31" t="str">
        <f aca="false">IF(OR($K55="",$J55=""),"",$K55*$J55)</f>
        <v/>
      </c>
      <c r="M55" s="32"/>
      <c r="N55" s="32"/>
      <c r="O55" s="33" t="str">
        <f aca="true">IF($N55="","",TODAY()-$N55)</f>
        <v/>
      </c>
      <c r="P55" s="33" t="str">
        <f aca="false">IF($O55="","",IF($O55&gt;IFERROR(INDEX(02_階段定義_Stages!$G$5:$G$13,MATCH(LEFT($G55,2),02_階段定義_Stages!$A$5:$A$13,0)),9999),"⚠ 停滯",IF($O55&gt;14,"注意","正常")))</f>
        <v/>
      </c>
      <c r="Q55" s="25"/>
      <c r="R55" s="25"/>
      <c r="S55" s="25"/>
      <c r="T55" s="28"/>
      <c r="U55" s="32"/>
      <c r="V55" s="28"/>
      <c r="W55" s="25"/>
    </row>
    <row r="56" customFormat="false" ht="15" hidden="false" customHeight="false" outlineLevel="0" collapsed="false">
      <c r="A56" s="25"/>
      <c r="B56" s="28"/>
      <c r="C56" s="25"/>
      <c r="D56" s="25"/>
      <c r="E56" s="25"/>
      <c r="F56" s="24"/>
      <c r="G56" s="24"/>
      <c r="H56" s="29" t="str">
        <f aca="false">IFERROR(INDEX(02_階段定義_Stages!$D$5:$D$13,MATCH(LEFT($G56,2),02_階段定義_Stages!$A$5:$A$13,0)),"")</f>
        <v/>
      </c>
      <c r="I56" s="30"/>
      <c r="J56" s="26"/>
      <c r="K56" s="31" t="str">
        <f aca="false">IF(OR($I56="",$H56=""),"",$I56*$H56)</f>
        <v/>
      </c>
      <c r="L56" s="31" t="str">
        <f aca="false">IF(OR($K56="",$J56=""),"",$K56*$J56)</f>
        <v/>
      </c>
      <c r="M56" s="32"/>
      <c r="N56" s="32"/>
      <c r="O56" s="33" t="str">
        <f aca="true">IF($N56="","",TODAY()-$N56)</f>
        <v/>
      </c>
      <c r="P56" s="33" t="str">
        <f aca="false">IF($O56="","",IF($O56&gt;IFERROR(INDEX(02_階段定義_Stages!$G$5:$G$13,MATCH(LEFT($G56,2),02_階段定義_Stages!$A$5:$A$13,0)),9999),"⚠ 停滯",IF($O56&gt;14,"注意","正常")))</f>
        <v/>
      </c>
      <c r="Q56" s="25"/>
      <c r="R56" s="25"/>
      <c r="S56" s="25"/>
      <c r="T56" s="28"/>
      <c r="U56" s="32"/>
      <c r="V56" s="28"/>
      <c r="W56" s="25"/>
    </row>
    <row r="57" customFormat="false" ht="15" hidden="false" customHeight="false" outlineLevel="0" collapsed="false">
      <c r="A57" s="25"/>
      <c r="B57" s="28"/>
      <c r="C57" s="25"/>
      <c r="D57" s="25"/>
      <c r="E57" s="25"/>
      <c r="F57" s="24"/>
      <c r="G57" s="24"/>
      <c r="H57" s="29" t="str">
        <f aca="false">IFERROR(INDEX(02_階段定義_Stages!$D$5:$D$13,MATCH(LEFT($G57,2),02_階段定義_Stages!$A$5:$A$13,0)),"")</f>
        <v/>
      </c>
      <c r="I57" s="30"/>
      <c r="J57" s="26"/>
      <c r="K57" s="31" t="str">
        <f aca="false">IF(OR($I57="",$H57=""),"",$I57*$H57)</f>
        <v/>
      </c>
      <c r="L57" s="31" t="str">
        <f aca="false">IF(OR($K57="",$J57=""),"",$K57*$J57)</f>
        <v/>
      </c>
      <c r="M57" s="32"/>
      <c r="N57" s="32"/>
      <c r="O57" s="33" t="str">
        <f aca="true">IF($N57="","",TODAY()-$N57)</f>
        <v/>
      </c>
      <c r="P57" s="33" t="str">
        <f aca="false">IF($O57="","",IF($O57&gt;IFERROR(INDEX(02_階段定義_Stages!$G$5:$G$13,MATCH(LEFT($G57,2),02_階段定義_Stages!$A$5:$A$13,0)),9999),"⚠ 停滯",IF($O57&gt;14,"注意","正常")))</f>
        <v/>
      </c>
      <c r="Q57" s="25"/>
      <c r="R57" s="25"/>
      <c r="S57" s="25"/>
      <c r="T57" s="28"/>
      <c r="U57" s="32"/>
      <c r="V57" s="28"/>
      <c r="W57" s="25"/>
    </row>
    <row r="58" customFormat="false" ht="15" hidden="false" customHeight="false" outlineLevel="0" collapsed="false">
      <c r="A58" s="25"/>
      <c r="B58" s="28"/>
      <c r="C58" s="25"/>
      <c r="D58" s="25"/>
      <c r="E58" s="25"/>
      <c r="F58" s="24"/>
      <c r="G58" s="24"/>
      <c r="H58" s="29" t="str">
        <f aca="false">IFERROR(INDEX(02_階段定義_Stages!$D$5:$D$13,MATCH(LEFT($G58,2),02_階段定義_Stages!$A$5:$A$13,0)),"")</f>
        <v/>
      </c>
      <c r="I58" s="30"/>
      <c r="J58" s="26"/>
      <c r="K58" s="31" t="str">
        <f aca="false">IF(OR($I58="",$H58=""),"",$I58*$H58)</f>
        <v/>
      </c>
      <c r="L58" s="31" t="str">
        <f aca="false">IF(OR($K58="",$J58=""),"",$K58*$J58)</f>
        <v/>
      </c>
      <c r="M58" s="32"/>
      <c r="N58" s="32"/>
      <c r="O58" s="33" t="str">
        <f aca="true">IF($N58="","",TODAY()-$N58)</f>
        <v/>
      </c>
      <c r="P58" s="33" t="str">
        <f aca="false">IF($O58="","",IF($O58&gt;IFERROR(INDEX(02_階段定義_Stages!$G$5:$G$13,MATCH(LEFT($G58,2),02_階段定義_Stages!$A$5:$A$13,0)),9999),"⚠ 停滯",IF($O58&gt;14,"注意","正常")))</f>
        <v/>
      </c>
      <c r="Q58" s="25"/>
      <c r="R58" s="25"/>
      <c r="S58" s="25"/>
      <c r="T58" s="28"/>
      <c r="U58" s="32"/>
      <c r="V58" s="28"/>
      <c r="W58" s="25"/>
    </row>
    <row r="59" customFormat="false" ht="15" hidden="false" customHeight="false" outlineLevel="0" collapsed="false">
      <c r="A59" s="25"/>
      <c r="B59" s="28"/>
      <c r="C59" s="25"/>
      <c r="D59" s="25"/>
      <c r="E59" s="25"/>
      <c r="F59" s="24"/>
      <c r="G59" s="24"/>
      <c r="H59" s="29" t="str">
        <f aca="false">IFERROR(INDEX(02_階段定義_Stages!$D$5:$D$13,MATCH(LEFT($G59,2),02_階段定義_Stages!$A$5:$A$13,0)),"")</f>
        <v/>
      </c>
      <c r="I59" s="30"/>
      <c r="J59" s="26"/>
      <c r="K59" s="31" t="str">
        <f aca="false">IF(OR($I59="",$H59=""),"",$I59*$H59)</f>
        <v/>
      </c>
      <c r="L59" s="31" t="str">
        <f aca="false">IF(OR($K59="",$J59=""),"",$K59*$J59)</f>
        <v/>
      </c>
      <c r="M59" s="32"/>
      <c r="N59" s="32"/>
      <c r="O59" s="33" t="str">
        <f aca="true">IF($N59="","",TODAY()-$N59)</f>
        <v/>
      </c>
      <c r="P59" s="33" t="str">
        <f aca="false">IF($O59="","",IF($O59&gt;IFERROR(INDEX(02_階段定義_Stages!$G$5:$G$13,MATCH(LEFT($G59,2),02_階段定義_Stages!$A$5:$A$13,0)),9999),"⚠ 停滯",IF($O59&gt;14,"注意","正常")))</f>
        <v/>
      </c>
      <c r="Q59" s="25"/>
      <c r="R59" s="25"/>
      <c r="S59" s="25"/>
      <c r="T59" s="28"/>
      <c r="U59" s="32"/>
      <c r="V59" s="28"/>
      <c r="W59" s="25"/>
    </row>
    <row r="60" customFormat="false" ht="15" hidden="false" customHeight="false" outlineLevel="0" collapsed="false">
      <c r="A60" s="25"/>
      <c r="B60" s="28"/>
      <c r="C60" s="25"/>
      <c r="D60" s="25"/>
      <c r="E60" s="25"/>
      <c r="F60" s="24"/>
      <c r="G60" s="24"/>
      <c r="H60" s="29" t="str">
        <f aca="false">IFERROR(INDEX(02_階段定義_Stages!$D$5:$D$13,MATCH(LEFT($G60,2),02_階段定義_Stages!$A$5:$A$13,0)),"")</f>
        <v/>
      </c>
      <c r="I60" s="30"/>
      <c r="J60" s="26"/>
      <c r="K60" s="31" t="str">
        <f aca="false">IF(OR($I60="",$H60=""),"",$I60*$H60)</f>
        <v/>
      </c>
      <c r="L60" s="31" t="str">
        <f aca="false">IF(OR($K60="",$J60=""),"",$K60*$J60)</f>
        <v/>
      </c>
      <c r="M60" s="32"/>
      <c r="N60" s="32"/>
      <c r="O60" s="33" t="str">
        <f aca="true">IF($N60="","",TODAY()-$N60)</f>
        <v/>
      </c>
      <c r="P60" s="33" t="str">
        <f aca="false">IF($O60="","",IF($O60&gt;IFERROR(INDEX(02_階段定義_Stages!$G$5:$G$13,MATCH(LEFT($G60,2),02_階段定義_Stages!$A$5:$A$13,0)),9999),"⚠ 停滯",IF($O60&gt;14,"注意","正常")))</f>
        <v/>
      </c>
      <c r="Q60" s="25"/>
      <c r="R60" s="25"/>
      <c r="S60" s="25"/>
      <c r="T60" s="28"/>
      <c r="U60" s="32"/>
      <c r="V60" s="28"/>
      <c r="W60" s="25"/>
    </row>
    <row r="61" customFormat="false" ht="15" hidden="false" customHeight="false" outlineLevel="0" collapsed="false">
      <c r="A61" s="25"/>
      <c r="B61" s="28"/>
      <c r="C61" s="25"/>
      <c r="D61" s="25"/>
      <c r="E61" s="25"/>
      <c r="F61" s="24"/>
      <c r="G61" s="24"/>
      <c r="H61" s="29" t="str">
        <f aca="false">IFERROR(INDEX(02_階段定義_Stages!$D$5:$D$13,MATCH(LEFT($G61,2),02_階段定義_Stages!$A$5:$A$13,0)),"")</f>
        <v/>
      </c>
      <c r="I61" s="30"/>
      <c r="J61" s="26"/>
      <c r="K61" s="31" t="str">
        <f aca="false">IF(OR($I61="",$H61=""),"",$I61*$H61)</f>
        <v/>
      </c>
      <c r="L61" s="31" t="str">
        <f aca="false">IF(OR($K61="",$J61=""),"",$K61*$J61)</f>
        <v/>
      </c>
      <c r="M61" s="32"/>
      <c r="N61" s="32"/>
      <c r="O61" s="33" t="str">
        <f aca="true">IF($N61="","",TODAY()-$N61)</f>
        <v/>
      </c>
      <c r="P61" s="33" t="str">
        <f aca="false">IF($O61="","",IF($O61&gt;IFERROR(INDEX(02_階段定義_Stages!$G$5:$G$13,MATCH(LEFT($G61,2),02_階段定義_Stages!$A$5:$A$13,0)),9999),"⚠ 停滯",IF($O61&gt;14,"注意","正常")))</f>
        <v/>
      </c>
      <c r="Q61" s="25"/>
      <c r="R61" s="25"/>
      <c r="S61" s="25"/>
      <c r="T61" s="28"/>
      <c r="U61" s="32"/>
      <c r="V61" s="28"/>
      <c r="W61" s="25"/>
    </row>
    <row r="62" customFormat="false" ht="15" hidden="false" customHeight="false" outlineLevel="0" collapsed="false">
      <c r="A62" s="25"/>
      <c r="B62" s="28"/>
      <c r="C62" s="25"/>
      <c r="D62" s="25"/>
      <c r="E62" s="25"/>
      <c r="F62" s="24"/>
      <c r="G62" s="24"/>
      <c r="H62" s="29" t="str">
        <f aca="false">IFERROR(INDEX(02_階段定義_Stages!$D$5:$D$13,MATCH(LEFT($G62,2),02_階段定義_Stages!$A$5:$A$13,0)),"")</f>
        <v/>
      </c>
      <c r="I62" s="30"/>
      <c r="J62" s="26"/>
      <c r="K62" s="31" t="str">
        <f aca="false">IF(OR($I62="",$H62=""),"",$I62*$H62)</f>
        <v/>
      </c>
      <c r="L62" s="31" t="str">
        <f aca="false">IF(OR($K62="",$J62=""),"",$K62*$J62)</f>
        <v/>
      </c>
      <c r="M62" s="32"/>
      <c r="N62" s="32"/>
      <c r="O62" s="33" t="str">
        <f aca="true">IF($N62="","",TODAY()-$N62)</f>
        <v/>
      </c>
      <c r="P62" s="33" t="str">
        <f aca="false">IF($O62="","",IF($O62&gt;IFERROR(INDEX(02_階段定義_Stages!$G$5:$G$13,MATCH(LEFT($G62,2),02_階段定義_Stages!$A$5:$A$13,0)),9999),"⚠ 停滯",IF($O62&gt;14,"注意","正常")))</f>
        <v/>
      </c>
      <c r="Q62" s="25"/>
      <c r="R62" s="25"/>
      <c r="S62" s="25"/>
      <c r="T62" s="28"/>
      <c r="U62" s="32"/>
      <c r="V62" s="28"/>
      <c r="W62" s="25"/>
    </row>
    <row r="63" customFormat="false" ht="15" hidden="false" customHeight="false" outlineLevel="0" collapsed="false">
      <c r="A63" s="25"/>
      <c r="B63" s="28"/>
      <c r="C63" s="25"/>
      <c r="D63" s="25"/>
      <c r="E63" s="25"/>
      <c r="F63" s="24"/>
      <c r="G63" s="24"/>
      <c r="H63" s="29" t="str">
        <f aca="false">IFERROR(INDEX(02_階段定義_Stages!$D$5:$D$13,MATCH(LEFT($G63,2),02_階段定義_Stages!$A$5:$A$13,0)),"")</f>
        <v/>
      </c>
      <c r="I63" s="30"/>
      <c r="J63" s="26"/>
      <c r="K63" s="31" t="str">
        <f aca="false">IF(OR($I63="",$H63=""),"",$I63*$H63)</f>
        <v/>
      </c>
      <c r="L63" s="31" t="str">
        <f aca="false">IF(OR($K63="",$J63=""),"",$K63*$J63)</f>
        <v/>
      </c>
      <c r="M63" s="32"/>
      <c r="N63" s="32"/>
      <c r="O63" s="33" t="str">
        <f aca="true">IF($N63="","",TODAY()-$N63)</f>
        <v/>
      </c>
      <c r="P63" s="33" t="str">
        <f aca="false">IF($O63="","",IF($O63&gt;IFERROR(INDEX(02_階段定義_Stages!$G$5:$G$13,MATCH(LEFT($G63,2),02_階段定義_Stages!$A$5:$A$13,0)),9999),"⚠ 停滯",IF($O63&gt;14,"注意","正常")))</f>
        <v/>
      </c>
      <c r="Q63" s="25"/>
      <c r="R63" s="25"/>
      <c r="S63" s="25"/>
      <c r="T63" s="28"/>
      <c r="U63" s="32"/>
      <c r="V63" s="28"/>
      <c r="W63" s="25"/>
    </row>
    <row r="64" customFormat="false" ht="15" hidden="false" customHeight="false" outlineLevel="0" collapsed="false">
      <c r="A64" s="25"/>
      <c r="B64" s="28"/>
      <c r="C64" s="25"/>
      <c r="D64" s="25"/>
      <c r="E64" s="25"/>
      <c r="F64" s="24"/>
      <c r="G64" s="24"/>
      <c r="H64" s="29" t="str">
        <f aca="false">IFERROR(INDEX(02_階段定義_Stages!$D$5:$D$13,MATCH(LEFT($G64,2),02_階段定義_Stages!$A$5:$A$13,0)),"")</f>
        <v/>
      </c>
      <c r="I64" s="30"/>
      <c r="J64" s="26"/>
      <c r="K64" s="31" t="str">
        <f aca="false">IF(OR($I64="",$H64=""),"",$I64*$H64)</f>
        <v/>
      </c>
      <c r="L64" s="31" t="str">
        <f aca="false">IF(OR($K64="",$J64=""),"",$K64*$J64)</f>
        <v/>
      </c>
      <c r="M64" s="32"/>
      <c r="N64" s="32"/>
      <c r="O64" s="33" t="str">
        <f aca="true">IF($N64="","",TODAY()-$N64)</f>
        <v/>
      </c>
      <c r="P64" s="33" t="str">
        <f aca="false">IF($O64="","",IF($O64&gt;IFERROR(INDEX(02_階段定義_Stages!$G$5:$G$13,MATCH(LEFT($G64,2),02_階段定義_Stages!$A$5:$A$13,0)),9999),"⚠ 停滯",IF($O64&gt;14,"注意","正常")))</f>
        <v/>
      </c>
      <c r="Q64" s="25"/>
      <c r="R64" s="25"/>
      <c r="S64" s="25"/>
      <c r="T64" s="28"/>
      <c r="U64" s="32"/>
      <c r="V64" s="28"/>
      <c r="W64" s="25"/>
    </row>
    <row r="65" customFormat="false" ht="15" hidden="false" customHeight="false" outlineLevel="0" collapsed="false">
      <c r="A65" s="25"/>
      <c r="B65" s="28"/>
      <c r="C65" s="25"/>
      <c r="D65" s="25"/>
      <c r="E65" s="25"/>
      <c r="F65" s="24"/>
      <c r="G65" s="24"/>
      <c r="H65" s="29" t="str">
        <f aca="false">IFERROR(INDEX(02_階段定義_Stages!$D$5:$D$13,MATCH(LEFT($G65,2),02_階段定義_Stages!$A$5:$A$13,0)),"")</f>
        <v/>
      </c>
      <c r="I65" s="30"/>
      <c r="J65" s="26"/>
      <c r="K65" s="31" t="str">
        <f aca="false">IF(OR($I65="",$H65=""),"",$I65*$H65)</f>
        <v/>
      </c>
      <c r="L65" s="31" t="str">
        <f aca="false">IF(OR($K65="",$J65=""),"",$K65*$J65)</f>
        <v/>
      </c>
      <c r="M65" s="32"/>
      <c r="N65" s="32"/>
      <c r="O65" s="33" t="str">
        <f aca="true">IF($N65="","",TODAY()-$N65)</f>
        <v/>
      </c>
      <c r="P65" s="33" t="str">
        <f aca="false">IF($O65="","",IF($O65&gt;IFERROR(INDEX(02_階段定義_Stages!$G$5:$G$13,MATCH(LEFT($G65,2),02_階段定義_Stages!$A$5:$A$13,0)),9999),"⚠ 停滯",IF($O65&gt;14,"注意","正常")))</f>
        <v/>
      </c>
      <c r="Q65" s="25"/>
      <c r="R65" s="25"/>
      <c r="S65" s="25"/>
      <c r="T65" s="28"/>
      <c r="U65" s="32"/>
      <c r="V65" s="28"/>
      <c r="W65" s="25"/>
    </row>
    <row r="66" customFormat="false" ht="15" hidden="false" customHeight="false" outlineLevel="0" collapsed="false">
      <c r="A66" s="25"/>
      <c r="B66" s="28"/>
      <c r="C66" s="25"/>
      <c r="D66" s="25"/>
      <c r="E66" s="25"/>
      <c r="F66" s="24"/>
      <c r="G66" s="24"/>
      <c r="H66" s="29" t="str">
        <f aca="false">IFERROR(INDEX(02_階段定義_Stages!$D$5:$D$13,MATCH(LEFT($G66,2),02_階段定義_Stages!$A$5:$A$13,0)),"")</f>
        <v/>
      </c>
      <c r="I66" s="30"/>
      <c r="J66" s="26"/>
      <c r="K66" s="31" t="str">
        <f aca="false">IF(OR($I66="",$H66=""),"",$I66*$H66)</f>
        <v/>
      </c>
      <c r="L66" s="31" t="str">
        <f aca="false">IF(OR($K66="",$J66=""),"",$K66*$J66)</f>
        <v/>
      </c>
      <c r="M66" s="32"/>
      <c r="N66" s="32"/>
      <c r="O66" s="33" t="str">
        <f aca="true">IF($N66="","",TODAY()-$N66)</f>
        <v/>
      </c>
      <c r="P66" s="33" t="str">
        <f aca="false">IF($O66="","",IF($O66&gt;IFERROR(INDEX(02_階段定義_Stages!$G$5:$G$13,MATCH(LEFT($G66,2),02_階段定義_Stages!$A$5:$A$13,0)),9999),"⚠ 停滯",IF($O66&gt;14,"注意","正常")))</f>
        <v/>
      </c>
      <c r="Q66" s="25"/>
      <c r="R66" s="25"/>
      <c r="S66" s="25"/>
      <c r="T66" s="28"/>
      <c r="U66" s="32"/>
      <c r="V66" s="28"/>
      <c r="W66" s="25"/>
    </row>
    <row r="67" customFormat="false" ht="15" hidden="false" customHeight="false" outlineLevel="0" collapsed="false">
      <c r="A67" s="25"/>
      <c r="B67" s="28"/>
      <c r="C67" s="25"/>
      <c r="D67" s="25"/>
      <c r="E67" s="25"/>
      <c r="F67" s="24"/>
      <c r="G67" s="24"/>
      <c r="H67" s="29" t="str">
        <f aca="false">IFERROR(INDEX(02_階段定義_Stages!$D$5:$D$13,MATCH(LEFT($G67,2),02_階段定義_Stages!$A$5:$A$13,0)),"")</f>
        <v/>
      </c>
      <c r="I67" s="30"/>
      <c r="J67" s="26"/>
      <c r="K67" s="31" t="str">
        <f aca="false">IF(OR($I67="",$H67=""),"",$I67*$H67)</f>
        <v/>
      </c>
      <c r="L67" s="31" t="str">
        <f aca="false">IF(OR($K67="",$J67=""),"",$K67*$J67)</f>
        <v/>
      </c>
      <c r="M67" s="32"/>
      <c r="N67" s="32"/>
      <c r="O67" s="33" t="str">
        <f aca="true">IF($N67="","",TODAY()-$N67)</f>
        <v/>
      </c>
      <c r="P67" s="33" t="str">
        <f aca="false">IF($O67="","",IF($O67&gt;IFERROR(INDEX(02_階段定義_Stages!$G$5:$G$13,MATCH(LEFT($G67,2),02_階段定義_Stages!$A$5:$A$13,0)),9999),"⚠ 停滯",IF($O67&gt;14,"注意","正常")))</f>
        <v/>
      </c>
      <c r="Q67" s="25"/>
      <c r="R67" s="25"/>
      <c r="S67" s="25"/>
      <c r="T67" s="28"/>
      <c r="U67" s="32"/>
      <c r="V67" s="28"/>
      <c r="W67" s="25"/>
    </row>
    <row r="68" customFormat="false" ht="15" hidden="false" customHeight="false" outlineLevel="0" collapsed="false">
      <c r="A68" s="25"/>
      <c r="B68" s="28"/>
      <c r="C68" s="25"/>
      <c r="D68" s="25"/>
      <c r="E68" s="25"/>
      <c r="F68" s="24"/>
      <c r="G68" s="24"/>
      <c r="H68" s="29" t="str">
        <f aca="false">IFERROR(INDEX(02_階段定義_Stages!$D$5:$D$13,MATCH(LEFT($G68,2),02_階段定義_Stages!$A$5:$A$13,0)),"")</f>
        <v/>
      </c>
      <c r="I68" s="30"/>
      <c r="J68" s="26"/>
      <c r="K68" s="31" t="str">
        <f aca="false">IF(OR($I68="",$H68=""),"",$I68*$H68)</f>
        <v/>
      </c>
      <c r="L68" s="31" t="str">
        <f aca="false">IF(OR($K68="",$J68=""),"",$K68*$J68)</f>
        <v/>
      </c>
      <c r="M68" s="32"/>
      <c r="N68" s="32"/>
      <c r="O68" s="33" t="str">
        <f aca="true">IF($N68="","",TODAY()-$N68)</f>
        <v/>
      </c>
      <c r="P68" s="33" t="str">
        <f aca="false">IF($O68="","",IF($O68&gt;IFERROR(INDEX(02_階段定義_Stages!$G$5:$G$13,MATCH(LEFT($G68,2),02_階段定義_Stages!$A$5:$A$13,0)),9999),"⚠ 停滯",IF($O68&gt;14,"注意","正常")))</f>
        <v/>
      </c>
      <c r="Q68" s="25"/>
      <c r="R68" s="25"/>
      <c r="S68" s="25"/>
      <c r="T68" s="28"/>
      <c r="U68" s="32"/>
      <c r="V68" s="28"/>
      <c r="W68" s="25"/>
    </row>
    <row r="69" customFormat="false" ht="15" hidden="false" customHeight="false" outlineLevel="0" collapsed="false">
      <c r="A69" s="25"/>
      <c r="B69" s="28"/>
      <c r="C69" s="25"/>
      <c r="D69" s="25"/>
      <c r="E69" s="25"/>
      <c r="F69" s="24"/>
      <c r="G69" s="24"/>
      <c r="H69" s="29" t="str">
        <f aca="false">IFERROR(INDEX(02_階段定義_Stages!$D$5:$D$13,MATCH(LEFT($G69,2),02_階段定義_Stages!$A$5:$A$13,0)),"")</f>
        <v/>
      </c>
      <c r="I69" s="30"/>
      <c r="J69" s="26"/>
      <c r="K69" s="31" t="str">
        <f aca="false">IF(OR($I69="",$H69=""),"",$I69*$H69)</f>
        <v/>
      </c>
      <c r="L69" s="31" t="str">
        <f aca="false">IF(OR($K69="",$J69=""),"",$K69*$J69)</f>
        <v/>
      </c>
      <c r="M69" s="32"/>
      <c r="N69" s="32"/>
      <c r="O69" s="33" t="str">
        <f aca="true">IF($N69="","",TODAY()-$N69)</f>
        <v/>
      </c>
      <c r="P69" s="33" t="str">
        <f aca="false">IF($O69="","",IF($O69&gt;IFERROR(INDEX(02_階段定義_Stages!$G$5:$G$13,MATCH(LEFT($G69,2),02_階段定義_Stages!$A$5:$A$13,0)),9999),"⚠ 停滯",IF($O69&gt;14,"注意","正常")))</f>
        <v/>
      </c>
      <c r="Q69" s="25"/>
      <c r="R69" s="25"/>
      <c r="S69" s="25"/>
      <c r="T69" s="28"/>
      <c r="U69" s="32"/>
      <c r="V69" s="28"/>
      <c r="W69" s="25"/>
    </row>
    <row r="70" customFormat="false" ht="15" hidden="false" customHeight="false" outlineLevel="0" collapsed="false">
      <c r="A70" s="25"/>
      <c r="B70" s="28"/>
      <c r="C70" s="25"/>
      <c r="D70" s="25"/>
      <c r="E70" s="25"/>
      <c r="F70" s="24"/>
      <c r="G70" s="24"/>
      <c r="H70" s="29" t="str">
        <f aca="false">IFERROR(INDEX(02_階段定義_Stages!$D$5:$D$13,MATCH(LEFT($G70,2),02_階段定義_Stages!$A$5:$A$13,0)),"")</f>
        <v/>
      </c>
      <c r="I70" s="30"/>
      <c r="J70" s="26"/>
      <c r="K70" s="31" t="str">
        <f aca="false">IF(OR($I70="",$H70=""),"",$I70*$H70)</f>
        <v/>
      </c>
      <c r="L70" s="31" t="str">
        <f aca="false">IF(OR($K70="",$J70=""),"",$K70*$J70)</f>
        <v/>
      </c>
      <c r="M70" s="32"/>
      <c r="N70" s="32"/>
      <c r="O70" s="33" t="str">
        <f aca="true">IF($N70="","",TODAY()-$N70)</f>
        <v/>
      </c>
      <c r="P70" s="33" t="str">
        <f aca="false">IF($O70="","",IF($O70&gt;IFERROR(INDEX(02_階段定義_Stages!$G$5:$G$13,MATCH(LEFT($G70,2),02_階段定義_Stages!$A$5:$A$13,0)),9999),"⚠ 停滯",IF($O70&gt;14,"注意","正常")))</f>
        <v/>
      </c>
      <c r="Q70" s="25"/>
      <c r="R70" s="25"/>
      <c r="S70" s="25"/>
      <c r="T70" s="28"/>
      <c r="U70" s="32"/>
      <c r="V70" s="28"/>
      <c r="W70" s="25"/>
    </row>
    <row r="71" customFormat="false" ht="15" hidden="false" customHeight="false" outlineLevel="0" collapsed="false">
      <c r="A71" s="25"/>
      <c r="B71" s="28"/>
      <c r="C71" s="25"/>
      <c r="D71" s="25"/>
      <c r="E71" s="25"/>
      <c r="F71" s="24"/>
      <c r="G71" s="24"/>
      <c r="H71" s="29" t="str">
        <f aca="false">IFERROR(INDEX(02_階段定義_Stages!$D$5:$D$13,MATCH(LEFT($G71,2),02_階段定義_Stages!$A$5:$A$13,0)),"")</f>
        <v/>
      </c>
      <c r="I71" s="30"/>
      <c r="J71" s="26"/>
      <c r="K71" s="31" t="str">
        <f aca="false">IF(OR($I71="",$H71=""),"",$I71*$H71)</f>
        <v/>
      </c>
      <c r="L71" s="31" t="str">
        <f aca="false">IF(OR($K71="",$J71=""),"",$K71*$J71)</f>
        <v/>
      </c>
      <c r="M71" s="32"/>
      <c r="N71" s="32"/>
      <c r="O71" s="33" t="str">
        <f aca="true">IF($N71="","",TODAY()-$N71)</f>
        <v/>
      </c>
      <c r="P71" s="33" t="str">
        <f aca="false">IF($O71="","",IF($O71&gt;IFERROR(INDEX(02_階段定義_Stages!$G$5:$G$13,MATCH(LEFT($G71,2),02_階段定義_Stages!$A$5:$A$13,0)),9999),"⚠ 停滯",IF($O71&gt;14,"注意","正常")))</f>
        <v/>
      </c>
      <c r="Q71" s="25"/>
      <c r="R71" s="25"/>
      <c r="S71" s="25"/>
      <c r="T71" s="28"/>
      <c r="U71" s="32"/>
      <c r="V71" s="28"/>
      <c r="W71" s="25"/>
    </row>
    <row r="72" customFormat="false" ht="15" hidden="false" customHeight="false" outlineLevel="0" collapsed="false">
      <c r="A72" s="25"/>
      <c r="B72" s="28"/>
      <c r="C72" s="25"/>
      <c r="D72" s="25"/>
      <c r="E72" s="25"/>
      <c r="F72" s="24"/>
      <c r="G72" s="24"/>
      <c r="H72" s="29" t="str">
        <f aca="false">IFERROR(INDEX(02_階段定義_Stages!$D$5:$D$13,MATCH(LEFT($G72,2),02_階段定義_Stages!$A$5:$A$13,0)),"")</f>
        <v/>
      </c>
      <c r="I72" s="30"/>
      <c r="J72" s="26"/>
      <c r="K72" s="31" t="str">
        <f aca="false">IF(OR($I72="",$H72=""),"",$I72*$H72)</f>
        <v/>
      </c>
      <c r="L72" s="31" t="str">
        <f aca="false">IF(OR($K72="",$J72=""),"",$K72*$J72)</f>
        <v/>
      </c>
      <c r="M72" s="32"/>
      <c r="N72" s="32"/>
      <c r="O72" s="33" t="str">
        <f aca="true">IF($N72="","",TODAY()-$N72)</f>
        <v/>
      </c>
      <c r="P72" s="33" t="str">
        <f aca="false">IF($O72="","",IF($O72&gt;IFERROR(INDEX(02_階段定義_Stages!$G$5:$G$13,MATCH(LEFT($G72,2),02_階段定義_Stages!$A$5:$A$13,0)),9999),"⚠ 停滯",IF($O72&gt;14,"注意","正常")))</f>
        <v/>
      </c>
      <c r="Q72" s="25"/>
      <c r="R72" s="25"/>
      <c r="S72" s="25"/>
      <c r="T72" s="28"/>
      <c r="U72" s="32"/>
      <c r="V72" s="28"/>
      <c r="W72" s="25"/>
    </row>
    <row r="73" customFormat="false" ht="15" hidden="false" customHeight="false" outlineLevel="0" collapsed="false">
      <c r="A73" s="25"/>
      <c r="B73" s="28"/>
      <c r="C73" s="25"/>
      <c r="D73" s="25"/>
      <c r="E73" s="25"/>
      <c r="F73" s="24"/>
      <c r="G73" s="24"/>
      <c r="H73" s="29" t="str">
        <f aca="false">IFERROR(INDEX(02_階段定義_Stages!$D$5:$D$13,MATCH(LEFT($G73,2),02_階段定義_Stages!$A$5:$A$13,0)),"")</f>
        <v/>
      </c>
      <c r="I73" s="30"/>
      <c r="J73" s="26"/>
      <c r="K73" s="31" t="str">
        <f aca="false">IF(OR($I73="",$H73=""),"",$I73*$H73)</f>
        <v/>
      </c>
      <c r="L73" s="31" t="str">
        <f aca="false">IF(OR($K73="",$J73=""),"",$K73*$J73)</f>
        <v/>
      </c>
      <c r="M73" s="32"/>
      <c r="N73" s="32"/>
      <c r="O73" s="33" t="str">
        <f aca="true">IF($N73="","",TODAY()-$N73)</f>
        <v/>
      </c>
      <c r="P73" s="33" t="str">
        <f aca="false">IF($O73="","",IF($O73&gt;IFERROR(INDEX(02_階段定義_Stages!$G$5:$G$13,MATCH(LEFT($G73,2),02_階段定義_Stages!$A$5:$A$13,0)),9999),"⚠ 停滯",IF($O73&gt;14,"注意","正常")))</f>
        <v/>
      </c>
      <c r="Q73" s="25"/>
      <c r="R73" s="25"/>
      <c r="S73" s="25"/>
      <c r="T73" s="28"/>
      <c r="U73" s="32"/>
      <c r="V73" s="28"/>
      <c r="W73" s="25"/>
    </row>
    <row r="74" customFormat="false" ht="15" hidden="false" customHeight="false" outlineLevel="0" collapsed="false">
      <c r="A74" s="25"/>
      <c r="B74" s="28"/>
      <c r="C74" s="25"/>
      <c r="D74" s="25"/>
      <c r="E74" s="25"/>
      <c r="F74" s="24"/>
      <c r="G74" s="24"/>
      <c r="H74" s="29" t="str">
        <f aca="false">IFERROR(INDEX(02_階段定義_Stages!$D$5:$D$13,MATCH(LEFT($G74,2),02_階段定義_Stages!$A$5:$A$13,0)),"")</f>
        <v/>
      </c>
      <c r="I74" s="30"/>
      <c r="J74" s="26"/>
      <c r="K74" s="31" t="str">
        <f aca="false">IF(OR($I74="",$H74=""),"",$I74*$H74)</f>
        <v/>
      </c>
      <c r="L74" s="31" t="str">
        <f aca="false">IF(OR($K74="",$J74=""),"",$K74*$J74)</f>
        <v/>
      </c>
      <c r="M74" s="32"/>
      <c r="N74" s="32"/>
      <c r="O74" s="33" t="str">
        <f aca="true">IF($N74="","",TODAY()-$N74)</f>
        <v/>
      </c>
      <c r="P74" s="33" t="str">
        <f aca="false">IF($O74="","",IF($O74&gt;IFERROR(INDEX(02_階段定義_Stages!$G$5:$G$13,MATCH(LEFT($G74,2),02_階段定義_Stages!$A$5:$A$13,0)),9999),"⚠ 停滯",IF($O74&gt;14,"注意","正常")))</f>
        <v/>
      </c>
      <c r="Q74" s="25"/>
      <c r="R74" s="25"/>
      <c r="S74" s="25"/>
      <c r="T74" s="28"/>
      <c r="U74" s="32"/>
      <c r="V74" s="28"/>
      <c r="W74" s="25"/>
    </row>
    <row r="75" customFormat="false" ht="15" hidden="false" customHeight="false" outlineLevel="0" collapsed="false">
      <c r="A75" s="25"/>
      <c r="B75" s="28"/>
      <c r="C75" s="25"/>
      <c r="D75" s="25"/>
      <c r="E75" s="25"/>
      <c r="F75" s="24"/>
      <c r="G75" s="24"/>
      <c r="H75" s="29" t="str">
        <f aca="false">IFERROR(INDEX(02_階段定義_Stages!$D$5:$D$13,MATCH(LEFT($G75,2),02_階段定義_Stages!$A$5:$A$13,0)),"")</f>
        <v/>
      </c>
      <c r="I75" s="30"/>
      <c r="J75" s="26"/>
      <c r="K75" s="31" t="str">
        <f aca="false">IF(OR($I75="",$H75=""),"",$I75*$H75)</f>
        <v/>
      </c>
      <c r="L75" s="31" t="str">
        <f aca="false">IF(OR($K75="",$J75=""),"",$K75*$J75)</f>
        <v/>
      </c>
      <c r="M75" s="32"/>
      <c r="N75" s="32"/>
      <c r="O75" s="33" t="str">
        <f aca="true">IF($N75="","",TODAY()-$N75)</f>
        <v/>
      </c>
      <c r="P75" s="33" t="str">
        <f aca="false">IF($O75="","",IF($O75&gt;IFERROR(INDEX(02_階段定義_Stages!$G$5:$G$13,MATCH(LEFT($G75,2),02_階段定義_Stages!$A$5:$A$13,0)),9999),"⚠ 停滯",IF($O75&gt;14,"注意","正常")))</f>
        <v/>
      </c>
      <c r="Q75" s="25"/>
      <c r="R75" s="25"/>
      <c r="S75" s="25"/>
      <c r="T75" s="28"/>
      <c r="U75" s="32"/>
      <c r="V75" s="28"/>
      <c r="W75" s="25"/>
    </row>
    <row r="76" customFormat="false" ht="15" hidden="false" customHeight="false" outlineLevel="0" collapsed="false">
      <c r="A76" s="25"/>
      <c r="B76" s="28"/>
      <c r="C76" s="25"/>
      <c r="D76" s="25"/>
      <c r="E76" s="25"/>
      <c r="F76" s="24"/>
      <c r="G76" s="24"/>
      <c r="H76" s="29" t="str">
        <f aca="false">IFERROR(INDEX(02_階段定義_Stages!$D$5:$D$13,MATCH(LEFT($G76,2),02_階段定義_Stages!$A$5:$A$13,0)),"")</f>
        <v/>
      </c>
      <c r="I76" s="30"/>
      <c r="J76" s="26"/>
      <c r="K76" s="31" t="str">
        <f aca="false">IF(OR($I76="",$H76=""),"",$I76*$H76)</f>
        <v/>
      </c>
      <c r="L76" s="31" t="str">
        <f aca="false">IF(OR($K76="",$J76=""),"",$K76*$J76)</f>
        <v/>
      </c>
      <c r="M76" s="32"/>
      <c r="N76" s="32"/>
      <c r="O76" s="33" t="str">
        <f aca="true">IF($N76="","",TODAY()-$N76)</f>
        <v/>
      </c>
      <c r="P76" s="33" t="str">
        <f aca="false">IF($O76="","",IF($O76&gt;IFERROR(INDEX(02_階段定義_Stages!$G$5:$G$13,MATCH(LEFT($G76,2),02_階段定義_Stages!$A$5:$A$13,0)),9999),"⚠ 停滯",IF($O76&gt;14,"注意","正常")))</f>
        <v/>
      </c>
      <c r="Q76" s="25"/>
      <c r="R76" s="25"/>
      <c r="S76" s="25"/>
      <c r="T76" s="28"/>
      <c r="U76" s="32"/>
      <c r="V76" s="28"/>
      <c r="W76" s="25"/>
    </row>
    <row r="77" customFormat="false" ht="15" hidden="false" customHeight="false" outlineLevel="0" collapsed="false">
      <c r="A77" s="25"/>
      <c r="B77" s="28"/>
      <c r="C77" s="25"/>
      <c r="D77" s="25"/>
      <c r="E77" s="25"/>
      <c r="F77" s="24"/>
      <c r="G77" s="24"/>
      <c r="H77" s="29" t="str">
        <f aca="false">IFERROR(INDEX(02_階段定義_Stages!$D$5:$D$13,MATCH(LEFT($G77,2),02_階段定義_Stages!$A$5:$A$13,0)),"")</f>
        <v/>
      </c>
      <c r="I77" s="30"/>
      <c r="J77" s="26"/>
      <c r="K77" s="31" t="str">
        <f aca="false">IF(OR($I77="",$H77=""),"",$I77*$H77)</f>
        <v/>
      </c>
      <c r="L77" s="31" t="str">
        <f aca="false">IF(OR($K77="",$J77=""),"",$K77*$J77)</f>
        <v/>
      </c>
      <c r="M77" s="32"/>
      <c r="N77" s="32"/>
      <c r="O77" s="33" t="str">
        <f aca="true">IF($N77="","",TODAY()-$N77)</f>
        <v/>
      </c>
      <c r="P77" s="33" t="str">
        <f aca="false">IF($O77="","",IF($O77&gt;IFERROR(INDEX(02_階段定義_Stages!$G$5:$G$13,MATCH(LEFT($G77,2),02_階段定義_Stages!$A$5:$A$13,0)),9999),"⚠ 停滯",IF($O77&gt;14,"注意","正常")))</f>
        <v/>
      </c>
      <c r="Q77" s="25"/>
      <c r="R77" s="25"/>
      <c r="S77" s="25"/>
      <c r="T77" s="28"/>
      <c r="U77" s="32"/>
      <c r="V77" s="28"/>
      <c r="W77" s="25"/>
    </row>
    <row r="78" customFormat="false" ht="15" hidden="false" customHeight="false" outlineLevel="0" collapsed="false">
      <c r="A78" s="25"/>
      <c r="B78" s="28"/>
      <c r="C78" s="25"/>
      <c r="D78" s="25"/>
      <c r="E78" s="25"/>
      <c r="F78" s="24"/>
      <c r="G78" s="24"/>
      <c r="H78" s="29" t="str">
        <f aca="false">IFERROR(INDEX(02_階段定義_Stages!$D$5:$D$13,MATCH(LEFT($G78,2),02_階段定義_Stages!$A$5:$A$13,0)),"")</f>
        <v/>
      </c>
      <c r="I78" s="30"/>
      <c r="J78" s="26"/>
      <c r="K78" s="31" t="str">
        <f aca="false">IF(OR($I78="",$H78=""),"",$I78*$H78)</f>
        <v/>
      </c>
      <c r="L78" s="31" t="str">
        <f aca="false">IF(OR($K78="",$J78=""),"",$K78*$J78)</f>
        <v/>
      </c>
      <c r="M78" s="32"/>
      <c r="N78" s="32"/>
      <c r="O78" s="33" t="str">
        <f aca="true">IF($N78="","",TODAY()-$N78)</f>
        <v/>
      </c>
      <c r="P78" s="33" t="str">
        <f aca="false">IF($O78="","",IF($O78&gt;IFERROR(INDEX(02_階段定義_Stages!$G$5:$G$13,MATCH(LEFT($G78,2),02_階段定義_Stages!$A$5:$A$13,0)),9999),"⚠ 停滯",IF($O78&gt;14,"注意","正常")))</f>
        <v/>
      </c>
      <c r="Q78" s="25"/>
      <c r="R78" s="25"/>
      <c r="S78" s="25"/>
      <c r="T78" s="28"/>
      <c r="U78" s="32"/>
      <c r="V78" s="28"/>
      <c r="W78" s="25"/>
    </row>
    <row r="79" customFormat="false" ht="15" hidden="false" customHeight="false" outlineLevel="0" collapsed="false">
      <c r="A79" s="25"/>
      <c r="B79" s="28"/>
      <c r="C79" s="25"/>
      <c r="D79" s="25"/>
      <c r="E79" s="25"/>
      <c r="F79" s="24"/>
      <c r="G79" s="24"/>
      <c r="H79" s="29" t="str">
        <f aca="false">IFERROR(INDEX(02_階段定義_Stages!$D$5:$D$13,MATCH(LEFT($G79,2),02_階段定義_Stages!$A$5:$A$13,0)),"")</f>
        <v/>
      </c>
      <c r="I79" s="30"/>
      <c r="J79" s="26"/>
      <c r="K79" s="31" t="str">
        <f aca="false">IF(OR($I79="",$H79=""),"",$I79*$H79)</f>
        <v/>
      </c>
      <c r="L79" s="31" t="str">
        <f aca="false">IF(OR($K79="",$J79=""),"",$K79*$J79)</f>
        <v/>
      </c>
      <c r="M79" s="32"/>
      <c r="N79" s="32"/>
      <c r="O79" s="33" t="str">
        <f aca="true">IF($N79="","",TODAY()-$N79)</f>
        <v/>
      </c>
      <c r="P79" s="33" t="str">
        <f aca="false">IF($O79="","",IF($O79&gt;IFERROR(INDEX(02_階段定義_Stages!$G$5:$G$13,MATCH(LEFT($G79,2),02_階段定義_Stages!$A$5:$A$13,0)),9999),"⚠ 停滯",IF($O79&gt;14,"注意","正常")))</f>
        <v/>
      </c>
      <c r="Q79" s="25"/>
      <c r="R79" s="25"/>
      <c r="S79" s="25"/>
      <c r="T79" s="28"/>
      <c r="U79" s="32"/>
      <c r="V79" s="28"/>
      <c r="W79" s="25"/>
    </row>
    <row r="80" customFormat="false" ht="15" hidden="false" customHeight="false" outlineLevel="0" collapsed="false">
      <c r="A80" s="25"/>
      <c r="B80" s="28"/>
      <c r="C80" s="25"/>
      <c r="D80" s="25"/>
      <c r="E80" s="25"/>
      <c r="F80" s="24"/>
      <c r="G80" s="24"/>
      <c r="H80" s="29" t="str">
        <f aca="false">IFERROR(INDEX(02_階段定義_Stages!$D$5:$D$13,MATCH(LEFT($G80,2),02_階段定義_Stages!$A$5:$A$13,0)),"")</f>
        <v/>
      </c>
      <c r="I80" s="30"/>
      <c r="J80" s="26"/>
      <c r="K80" s="31" t="str">
        <f aca="false">IF(OR($I80="",$H80=""),"",$I80*$H80)</f>
        <v/>
      </c>
      <c r="L80" s="31" t="str">
        <f aca="false">IF(OR($K80="",$J80=""),"",$K80*$J80)</f>
        <v/>
      </c>
      <c r="M80" s="32"/>
      <c r="N80" s="32"/>
      <c r="O80" s="33" t="str">
        <f aca="true">IF($N80="","",TODAY()-$N80)</f>
        <v/>
      </c>
      <c r="P80" s="33" t="str">
        <f aca="false">IF($O80="","",IF($O80&gt;IFERROR(INDEX(02_階段定義_Stages!$G$5:$G$13,MATCH(LEFT($G80,2),02_階段定義_Stages!$A$5:$A$13,0)),9999),"⚠ 停滯",IF($O80&gt;14,"注意","正常")))</f>
        <v/>
      </c>
      <c r="Q80" s="25"/>
      <c r="R80" s="25"/>
      <c r="S80" s="25"/>
      <c r="T80" s="28"/>
      <c r="U80" s="32"/>
      <c r="V80" s="28"/>
      <c r="W80" s="25"/>
    </row>
    <row r="81" customFormat="false" ht="15" hidden="false" customHeight="false" outlineLevel="0" collapsed="false">
      <c r="A81" s="25"/>
      <c r="B81" s="28"/>
      <c r="C81" s="25"/>
      <c r="D81" s="25"/>
      <c r="E81" s="25"/>
      <c r="F81" s="24"/>
      <c r="G81" s="24"/>
      <c r="H81" s="29" t="str">
        <f aca="false">IFERROR(INDEX(02_階段定義_Stages!$D$5:$D$13,MATCH(LEFT($G81,2),02_階段定義_Stages!$A$5:$A$13,0)),"")</f>
        <v/>
      </c>
      <c r="I81" s="30"/>
      <c r="J81" s="26"/>
      <c r="K81" s="31" t="str">
        <f aca="false">IF(OR($I81="",$H81=""),"",$I81*$H81)</f>
        <v/>
      </c>
      <c r="L81" s="31" t="str">
        <f aca="false">IF(OR($K81="",$J81=""),"",$K81*$J81)</f>
        <v/>
      </c>
      <c r="M81" s="32"/>
      <c r="N81" s="32"/>
      <c r="O81" s="33" t="str">
        <f aca="true">IF($N81="","",TODAY()-$N81)</f>
        <v/>
      </c>
      <c r="P81" s="33" t="str">
        <f aca="false">IF($O81="","",IF($O81&gt;IFERROR(INDEX(02_階段定義_Stages!$G$5:$G$13,MATCH(LEFT($G81,2),02_階段定義_Stages!$A$5:$A$13,0)),9999),"⚠ 停滯",IF($O81&gt;14,"注意","正常")))</f>
        <v/>
      </c>
      <c r="Q81" s="25"/>
      <c r="R81" s="25"/>
      <c r="S81" s="25"/>
      <c r="T81" s="28"/>
      <c r="U81" s="32"/>
      <c r="V81" s="28"/>
      <c r="W81" s="25"/>
    </row>
    <row r="82" customFormat="false" ht="15" hidden="false" customHeight="false" outlineLevel="0" collapsed="false">
      <c r="A82" s="25"/>
      <c r="B82" s="28"/>
      <c r="C82" s="25"/>
      <c r="D82" s="25"/>
      <c r="E82" s="25"/>
      <c r="F82" s="24"/>
      <c r="G82" s="24"/>
      <c r="H82" s="29" t="str">
        <f aca="false">IFERROR(INDEX(02_階段定義_Stages!$D$5:$D$13,MATCH(LEFT($G82,2),02_階段定義_Stages!$A$5:$A$13,0)),"")</f>
        <v/>
      </c>
      <c r="I82" s="30"/>
      <c r="J82" s="26"/>
      <c r="K82" s="31" t="str">
        <f aca="false">IF(OR($I82="",$H82=""),"",$I82*$H82)</f>
        <v/>
      </c>
      <c r="L82" s="31" t="str">
        <f aca="false">IF(OR($K82="",$J82=""),"",$K82*$J82)</f>
        <v/>
      </c>
      <c r="M82" s="32"/>
      <c r="N82" s="32"/>
      <c r="O82" s="33" t="str">
        <f aca="true">IF($N82="","",TODAY()-$N82)</f>
        <v/>
      </c>
      <c r="P82" s="33" t="str">
        <f aca="false">IF($O82="","",IF($O82&gt;IFERROR(INDEX(02_階段定義_Stages!$G$5:$G$13,MATCH(LEFT($G82,2),02_階段定義_Stages!$A$5:$A$13,0)),9999),"⚠ 停滯",IF($O82&gt;14,"注意","正常")))</f>
        <v/>
      </c>
      <c r="Q82" s="25"/>
      <c r="R82" s="25"/>
      <c r="S82" s="25"/>
      <c r="T82" s="28"/>
      <c r="U82" s="32"/>
      <c r="V82" s="28"/>
      <c r="W82" s="25"/>
    </row>
    <row r="83" customFormat="false" ht="15" hidden="false" customHeight="false" outlineLevel="0" collapsed="false">
      <c r="A83" s="25"/>
      <c r="B83" s="28"/>
      <c r="C83" s="25"/>
      <c r="D83" s="25"/>
      <c r="E83" s="25"/>
      <c r="F83" s="24"/>
      <c r="G83" s="24"/>
      <c r="H83" s="29" t="str">
        <f aca="false">IFERROR(INDEX(02_階段定義_Stages!$D$5:$D$13,MATCH(LEFT($G83,2),02_階段定義_Stages!$A$5:$A$13,0)),"")</f>
        <v/>
      </c>
      <c r="I83" s="30"/>
      <c r="J83" s="26"/>
      <c r="K83" s="31" t="str">
        <f aca="false">IF(OR($I83="",$H83=""),"",$I83*$H83)</f>
        <v/>
      </c>
      <c r="L83" s="31" t="str">
        <f aca="false">IF(OR($K83="",$J83=""),"",$K83*$J83)</f>
        <v/>
      </c>
      <c r="M83" s="32"/>
      <c r="N83" s="32"/>
      <c r="O83" s="33" t="str">
        <f aca="true">IF($N83="","",TODAY()-$N83)</f>
        <v/>
      </c>
      <c r="P83" s="33" t="str">
        <f aca="false">IF($O83="","",IF($O83&gt;IFERROR(INDEX(02_階段定義_Stages!$G$5:$G$13,MATCH(LEFT($G83,2),02_階段定義_Stages!$A$5:$A$13,0)),9999),"⚠ 停滯",IF($O83&gt;14,"注意","正常")))</f>
        <v/>
      </c>
      <c r="Q83" s="25"/>
      <c r="R83" s="25"/>
      <c r="S83" s="25"/>
      <c r="T83" s="28"/>
      <c r="U83" s="32"/>
      <c r="V83" s="28"/>
      <c r="W83" s="25"/>
    </row>
    <row r="84" customFormat="false" ht="15" hidden="false" customHeight="false" outlineLevel="0" collapsed="false">
      <c r="A84" s="25"/>
      <c r="B84" s="28"/>
      <c r="C84" s="25"/>
      <c r="D84" s="25"/>
      <c r="E84" s="25"/>
      <c r="F84" s="24"/>
      <c r="G84" s="24"/>
      <c r="H84" s="29" t="str">
        <f aca="false">IFERROR(INDEX(02_階段定義_Stages!$D$5:$D$13,MATCH(LEFT($G84,2),02_階段定義_Stages!$A$5:$A$13,0)),"")</f>
        <v/>
      </c>
      <c r="I84" s="30"/>
      <c r="J84" s="26"/>
      <c r="K84" s="31" t="str">
        <f aca="false">IF(OR($I84="",$H84=""),"",$I84*$H84)</f>
        <v/>
      </c>
      <c r="L84" s="31" t="str">
        <f aca="false">IF(OR($K84="",$J84=""),"",$K84*$J84)</f>
        <v/>
      </c>
      <c r="M84" s="32"/>
      <c r="N84" s="32"/>
      <c r="O84" s="33" t="str">
        <f aca="true">IF($N84="","",TODAY()-$N84)</f>
        <v/>
      </c>
      <c r="P84" s="33" t="str">
        <f aca="false">IF($O84="","",IF($O84&gt;IFERROR(INDEX(02_階段定義_Stages!$G$5:$G$13,MATCH(LEFT($G84,2),02_階段定義_Stages!$A$5:$A$13,0)),9999),"⚠ 停滯",IF($O84&gt;14,"注意","正常")))</f>
        <v/>
      </c>
      <c r="Q84" s="25"/>
      <c r="R84" s="25"/>
      <c r="S84" s="25"/>
      <c r="T84" s="28"/>
      <c r="U84" s="32"/>
      <c r="V84" s="28"/>
      <c r="W84" s="25"/>
    </row>
  </sheetData>
  <autoFilter ref="A4:W84"/>
  <dataValidations count="3">
    <dataValidation allowBlank="true" errorStyle="stop" operator="between" showDropDown="false" showErrorMessage="false" showInputMessage="false" sqref="G5:G84" type="list">
      <formula1>_選單_Lists!$A$2:$A$10</formula1>
      <formula2>0</formula2>
    </dataValidation>
    <dataValidation allowBlank="true" errorStyle="stop" operator="between" showDropDown="false" showErrorMessage="false" showInputMessage="false" sqref="F5:F84" type="list">
      <formula1>_選單_Lists!$B$2:$B$10</formula1>
      <formula2>0</formula2>
    </dataValidation>
    <dataValidation allowBlank="true" errorStyle="stop" operator="between" showDropDown="false" showErrorMessage="false" showInputMessage="false" sqref="W5:W84" type="list">
      <formula1>_選單_Lists!$C$2:$C$6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8" min="6" style="0" width="13"/>
    <col collapsed="false" customWidth="true" hidden="false" outlineLevel="0" max="9" min="9" style="0" width="30"/>
  </cols>
  <sheetData>
    <row r="1" customFormat="false" ht="23.1" hidden="false" customHeight="false" outlineLevel="0" collapsed="false">
      <c r="A1" s="6" t="s">
        <v>171</v>
      </c>
    </row>
    <row r="2" customFormat="false" ht="15" hidden="false" customHeight="false" outlineLevel="0" collapsed="false">
      <c r="A2" s="7" t="s">
        <v>172</v>
      </c>
    </row>
    <row r="3" customFormat="false" ht="15" hidden="false" customHeight="false" outlineLevel="0" collapsed="false">
      <c r="A3" s="3" t="s">
        <v>57</v>
      </c>
      <c r="B3" s="20" t="s">
        <v>58</v>
      </c>
      <c r="C3" s="21" t="s">
        <v>59</v>
      </c>
      <c r="D3" s="22" t="s">
        <v>60</v>
      </c>
    </row>
    <row r="4" customFormat="false" ht="30" hidden="false" customHeight="true" outlineLevel="0" collapsed="false">
      <c r="A4" s="23" t="s">
        <v>173</v>
      </c>
      <c r="B4" s="23" t="s">
        <v>35</v>
      </c>
      <c r="C4" s="23" t="s">
        <v>36</v>
      </c>
      <c r="D4" s="23" t="s">
        <v>174</v>
      </c>
      <c r="E4" s="23" t="s">
        <v>175</v>
      </c>
      <c r="F4" s="23" t="s">
        <v>176</v>
      </c>
      <c r="G4" s="23" t="s">
        <v>177</v>
      </c>
      <c r="H4" s="23" t="s">
        <v>178</v>
      </c>
      <c r="I4" s="23" t="s">
        <v>179</v>
      </c>
    </row>
    <row r="5" customFormat="false" ht="15" hidden="false" customHeight="false" outlineLevel="0" collapsed="false">
      <c r="A5" s="34" t="s">
        <v>180</v>
      </c>
      <c r="B5" s="34" t="s">
        <v>41</v>
      </c>
      <c r="C5" s="34" t="n">
        <v>6</v>
      </c>
      <c r="D5" s="35" t="n">
        <v>4200</v>
      </c>
      <c r="E5" s="35" t="n">
        <v>420</v>
      </c>
      <c r="F5" s="34" t="n">
        <v>3</v>
      </c>
      <c r="G5" s="34" t="n">
        <v>0</v>
      </c>
      <c r="H5" s="34" t="n">
        <v>1</v>
      </c>
      <c r="I5" s="36" t="s">
        <v>181</v>
      </c>
    </row>
    <row r="6" customFormat="false" ht="15" hidden="false" customHeight="false" outlineLevel="0" collapsed="false">
      <c r="A6" s="34" t="s">
        <v>180</v>
      </c>
      <c r="B6" s="34" t="s">
        <v>44</v>
      </c>
      <c r="C6" s="36" t="n">
        <v>2</v>
      </c>
      <c r="D6" s="35" t="n">
        <v>2100</v>
      </c>
      <c r="E6" s="35" t="n">
        <v>1050</v>
      </c>
      <c r="F6" s="36" t="n">
        <v>1</v>
      </c>
      <c r="G6" s="36" t="n">
        <v>0</v>
      </c>
      <c r="H6" s="36" t="n">
        <v>0</v>
      </c>
      <c r="I6" s="36"/>
    </row>
    <row r="7" customFormat="false" ht="15" hidden="false" customHeight="false" outlineLevel="0" collapsed="false">
      <c r="A7" s="36"/>
      <c r="B7" s="36"/>
      <c r="C7" s="36"/>
      <c r="D7" s="35"/>
      <c r="E7" s="35"/>
      <c r="F7" s="36"/>
      <c r="G7" s="36"/>
      <c r="H7" s="36"/>
      <c r="I7" s="36"/>
    </row>
    <row r="8" customFormat="false" ht="15" hidden="false" customHeight="false" outlineLevel="0" collapsed="false">
      <c r="A8" s="36"/>
      <c r="B8" s="36"/>
      <c r="C8" s="36"/>
      <c r="D8" s="35"/>
      <c r="E8" s="35"/>
      <c r="F8" s="36"/>
      <c r="G8" s="36"/>
      <c r="H8" s="36"/>
      <c r="I8" s="36"/>
    </row>
    <row r="9" customFormat="false" ht="15" hidden="false" customHeight="false" outlineLevel="0" collapsed="false">
      <c r="A9" s="36"/>
      <c r="B9" s="36"/>
      <c r="C9" s="36"/>
      <c r="D9" s="35"/>
      <c r="E9" s="35"/>
      <c r="F9" s="36"/>
      <c r="G9" s="36"/>
      <c r="H9" s="36"/>
      <c r="I9" s="36"/>
    </row>
    <row r="10" customFormat="false" ht="15" hidden="false" customHeight="false" outlineLevel="0" collapsed="false">
      <c r="A10" s="36"/>
      <c r="B10" s="36"/>
      <c r="C10" s="36"/>
      <c r="D10" s="35"/>
      <c r="E10" s="35"/>
      <c r="F10" s="36"/>
      <c r="G10" s="36"/>
      <c r="H10" s="36"/>
      <c r="I10" s="36"/>
    </row>
    <row r="11" customFormat="false" ht="15" hidden="false" customHeight="false" outlineLevel="0" collapsed="false">
      <c r="A11" s="36"/>
      <c r="B11" s="36"/>
      <c r="C11" s="36"/>
      <c r="D11" s="35"/>
      <c r="E11" s="35"/>
      <c r="F11" s="36"/>
      <c r="G11" s="36"/>
      <c r="H11" s="36"/>
      <c r="I11" s="36"/>
    </row>
    <row r="12" customFormat="false" ht="15" hidden="false" customHeight="false" outlineLevel="0" collapsed="false">
      <c r="A12" s="36"/>
      <c r="B12" s="36"/>
      <c r="C12" s="36"/>
      <c r="D12" s="35"/>
      <c r="E12" s="35"/>
      <c r="F12" s="36"/>
      <c r="G12" s="36"/>
      <c r="H12" s="36"/>
      <c r="I12" s="36"/>
    </row>
    <row r="13" customFormat="false" ht="15" hidden="false" customHeight="false" outlineLevel="0" collapsed="false">
      <c r="A13" s="36"/>
      <c r="B13" s="36"/>
      <c r="C13" s="36"/>
      <c r="D13" s="35"/>
      <c r="E13" s="35"/>
      <c r="F13" s="36"/>
      <c r="G13" s="36"/>
      <c r="H13" s="36"/>
      <c r="I13" s="36"/>
    </row>
    <row r="14" customFormat="false" ht="15" hidden="false" customHeight="false" outlineLevel="0" collapsed="false">
      <c r="A14" s="36"/>
      <c r="B14" s="36"/>
      <c r="C14" s="36"/>
      <c r="D14" s="35"/>
      <c r="E14" s="35"/>
      <c r="F14" s="36"/>
      <c r="G14" s="36"/>
      <c r="H14" s="36"/>
      <c r="I14" s="36"/>
    </row>
    <row r="15" customFormat="false" ht="15" hidden="false" customHeight="false" outlineLevel="0" collapsed="false">
      <c r="A15" s="36"/>
      <c r="B15" s="36"/>
      <c r="C15" s="36"/>
      <c r="D15" s="35"/>
      <c r="E15" s="35"/>
      <c r="F15" s="36"/>
      <c r="G15" s="36"/>
      <c r="H15" s="36"/>
      <c r="I15" s="36"/>
    </row>
    <row r="16" customFormat="false" ht="15" hidden="false" customHeight="false" outlineLevel="0" collapsed="false">
      <c r="A16" s="36"/>
      <c r="B16" s="36"/>
      <c r="C16" s="36"/>
      <c r="D16" s="35"/>
      <c r="E16" s="35"/>
      <c r="F16" s="36"/>
      <c r="G16" s="36"/>
      <c r="H16" s="36"/>
      <c r="I16" s="36"/>
    </row>
    <row r="17" customFormat="false" ht="15" hidden="false" customHeight="false" outlineLevel="0" collapsed="false">
      <c r="A17" s="36"/>
      <c r="B17" s="36"/>
      <c r="C17" s="36"/>
      <c r="D17" s="35"/>
      <c r="E17" s="35"/>
      <c r="F17" s="36"/>
      <c r="G17" s="36"/>
      <c r="H17" s="36"/>
      <c r="I17" s="36"/>
    </row>
    <row r="18" customFormat="false" ht="15" hidden="false" customHeight="false" outlineLevel="0" collapsed="false">
      <c r="A18" s="36"/>
      <c r="B18" s="36"/>
      <c r="C18" s="36"/>
      <c r="D18" s="35"/>
      <c r="E18" s="35"/>
      <c r="F18" s="36"/>
      <c r="G18" s="36"/>
      <c r="H18" s="36"/>
      <c r="I18" s="36"/>
    </row>
    <row r="19" customFormat="false" ht="15" hidden="false" customHeight="false" outlineLevel="0" collapsed="false">
      <c r="A19" s="36"/>
      <c r="B19" s="36"/>
      <c r="C19" s="36"/>
      <c r="D19" s="35"/>
      <c r="E19" s="35"/>
      <c r="F19" s="36"/>
      <c r="G19" s="36"/>
      <c r="H19" s="36"/>
      <c r="I19" s="36"/>
    </row>
    <row r="20" customFormat="false" ht="15" hidden="false" customHeight="false" outlineLevel="0" collapsed="false">
      <c r="A20" s="36"/>
      <c r="B20" s="36"/>
      <c r="C20" s="36"/>
      <c r="D20" s="35"/>
      <c r="E20" s="35"/>
      <c r="F20" s="36"/>
      <c r="G20" s="36"/>
      <c r="H20" s="36"/>
      <c r="I20" s="36"/>
    </row>
    <row r="21" customFormat="false" ht="15" hidden="false" customHeight="false" outlineLevel="0" collapsed="false">
      <c r="A21" s="36"/>
      <c r="B21" s="36"/>
      <c r="C21" s="36"/>
      <c r="D21" s="35"/>
      <c r="E21" s="35"/>
      <c r="F21" s="36"/>
      <c r="G21" s="36"/>
      <c r="H21" s="36"/>
      <c r="I21" s="36"/>
    </row>
    <row r="22" customFormat="false" ht="15" hidden="false" customHeight="false" outlineLevel="0" collapsed="false">
      <c r="A22" s="36"/>
      <c r="B22" s="36"/>
      <c r="C22" s="36"/>
      <c r="D22" s="35"/>
      <c r="E22" s="35"/>
      <c r="F22" s="36"/>
      <c r="G22" s="36"/>
      <c r="H22" s="36"/>
      <c r="I22" s="36"/>
    </row>
    <row r="23" customFormat="false" ht="15" hidden="false" customHeight="false" outlineLevel="0" collapsed="false">
      <c r="A23" s="36"/>
      <c r="B23" s="36"/>
      <c r="C23" s="36"/>
      <c r="D23" s="35"/>
      <c r="E23" s="35"/>
      <c r="F23" s="36"/>
      <c r="G23" s="36"/>
      <c r="H23" s="36"/>
      <c r="I23" s="36"/>
    </row>
    <row r="24" customFormat="false" ht="15" hidden="false" customHeight="false" outlineLevel="0" collapsed="false">
      <c r="A24" s="36"/>
      <c r="B24" s="36"/>
      <c r="C24" s="36"/>
      <c r="D24" s="35"/>
      <c r="E24" s="35"/>
      <c r="F24" s="36"/>
      <c r="G24" s="36"/>
      <c r="H24" s="36"/>
      <c r="I24" s="36"/>
    </row>
    <row r="25" customFormat="false" ht="15" hidden="false" customHeight="false" outlineLevel="0" collapsed="false">
      <c r="A25" s="36"/>
      <c r="B25" s="36"/>
      <c r="C25" s="36"/>
      <c r="D25" s="35"/>
      <c r="E25" s="35"/>
      <c r="F25" s="36"/>
      <c r="G25" s="36"/>
      <c r="H25" s="36"/>
      <c r="I25" s="36"/>
    </row>
    <row r="26" customFormat="false" ht="15" hidden="false" customHeight="false" outlineLevel="0" collapsed="false">
      <c r="A26" s="36"/>
      <c r="B26" s="36"/>
      <c r="C26" s="36"/>
      <c r="D26" s="35"/>
      <c r="E26" s="35"/>
      <c r="F26" s="36"/>
      <c r="G26" s="36"/>
      <c r="H26" s="36"/>
      <c r="I26" s="36"/>
    </row>
    <row r="27" customFormat="false" ht="15" hidden="false" customHeight="false" outlineLevel="0" collapsed="false">
      <c r="A27" s="36"/>
      <c r="B27" s="36"/>
      <c r="C27" s="36"/>
      <c r="D27" s="35"/>
      <c r="E27" s="35"/>
      <c r="F27" s="36"/>
      <c r="G27" s="36"/>
      <c r="H27" s="36"/>
      <c r="I27" s="36"/>
    </row>
    <row r="28" customFormat="false" ht="15" hidden="false" customHeight="false" outlineLevel="0" collapsed="false">
      <c r="A28" s="36"/>
      <c r="B28" s="36"/>
      <c r="C28" s="36"/>
      <c r="D28" s="35"/>
      <c r="E28" s="35"/>
      <c r="F28" s="36"/>
      <c r="G28" s="36"/>
      <c r="H28" s="36"/>
      <c r="I28" s="36"/>
    </row>
    <row r="29" customFormat="false" ht="15" hidden="false" customHeight="false" outlineLevel="0" collapsed="false">
      <c r="A29" s="36"/>
      <c r="B29" s="36"/>
      <c r="C29" s="36"/>
      <c r="D29" s="35"/>
      <c r="E29" s="35"/>
      <c r="F29" s="36"/>
      <c r="G29" s="36"/>
      <c r="H29" s="36"/>
      <c r="I29" s="36"/>
    </row>
    <row r="30" customFormat="false" ht="15" hidden="false" customHeight="false" outlineLevel="0" collapsed="false">
      <c r="A30" s="36"/>
      <c r="B30" s="36"/>
      <c r="C30" s="36"/>
      <c r="D30" s="35"/>
      <c r="E30" s="35"/>
      <c r="F30" s="36"/>
      <c r="G30" s="36"/>
      <c r="H30" s="36"/>
      <c r="I30" s="36"/>
    </row>
    <row r="31" customFormat="false" ht="15" hidden="false" customHeight="false" outlineLevel="0" collapsed="false">
      <c r="A31" s="36"/>
      <c r="B31" s="36"/>
      <c r="C31" s="36"/>
      <c r="D31" s="35"/>
      <c r="E31" s="35"/>
      <c r="F31" s="36"/>
      <c r="G31" s="36"/>
      <c r="H31" s="36"/>
      <c r="I31" s="36"/>
    </row>
    <row r="32" customFormat="false" ht="15" hidden="false" customHeight="false" outlineLevel="0" collapsed="false">
      <c r="A32" s="36"/>
      <c r="B32" s="36"/>
      <c r="C32" s="36"/>
      <c r="D32" s="35"/>
      <c r="E32" s="35"/>
      <c r="F32" s="36"/>
      <c r="G32" s="36"/>
      <c r="H32" s="36"/>
      <c r="I32" s="36"/>
    </row>
    <row r="33" customFormat="false" ht="15" hidden="false" customHeight="false" outlineLevel="0" collapsed="false">
      <c r="A33" s="36"/>
      <c r="B33" s="36"/>
      <c r="C33" s="36"/>
      <c r="D33" s="35"/>
      <c r="E33" s="35"/>
      <c r="F33" s="36"/>
      <c r="G33" s="36"/>
      <c r="H33" s="36"/>
      <c r="I33" s="36"/>
    </row>
    <row r="34" customFormat="false" ht="15" hidden="false" customHeight="false" outlineLevel="0" collapsed="false">
      <c r="A34" s="36"/>
      <c r="B34" s="36"/>
      <c r="C34" s="36"/>
      <c r="D34" s="35"/>
      <c r="E34" s="35"/>
      <c r="F34" s="36"/>
      <c r="G34" s="36"/>
      <c r="H34" s="36"/>
      <c r="I34" s="36"/>
    </row>
    <row r="35" customFormat="false" ht="15" hidden="false" customHeight="false" outlineLevel="0" collapsed="false">
      <c r="A35" s="36"/>
      <c r="B35" s="36"/>
      <c r="C35" s="36"/>
      <c r="D35" s="35"/>
      <c r="E35" s="35"/>
      <c r="F35" s="36"/>
      <c r="G35" s="36"/>
      <c r="H35" s="36"/>
      <c r="I35" s="36"/>
    </row>
    <row r="36" customFormat="false" ht="15" hidden="false" customHeight="false" outlineLevel="0" collapsed="false">
      <c r="A36" s="36"/>
      <c r="B36" s="36"/>
      <c r="C36" s="36"/>
      <c r="D36" s="35"/>
      <c r="E36" s="35"/>
      <c r="F36" s="36"/>
      <c r="G36" s="36"/>
      <c r="H36" s="36"/>
      <c r="I36" s="36"/>
    </row>
    <row r="37" customFormat="false" ht="15" hidden="false" customHeight="false" outlineLevel="0" collapsed="false">
      <c r="A37" s="36"/>
      <c r="B37" s="36"/>
      <c r="C37" s="36"/>
      <c r="D37" s="35"/>
      <c r="E37" s="35"/>
      <c r="F37" s="36"/>
      <c r="G37" s="36"/>
      <c r="H37" s="36"/>
      <c r="I37" s="36"/>
    </row>
    <row r="38" customFormat="false" ht="15" hidden="false" customHeight="false" outlineLevel="0" collapsed="false">
      <c r="A38" s="36"/>
      <c r="B38" s="36"/>
      <c r="C38" s="36"/>
      <c r="D38" s="35"/>
      <c r="E38" s="35"/>
      <c r="F38" s="36"/>
      <c r="G38" s="36"/>
      <c r="H38" s="36"/>
      <c r="I38" s="36"/>
    </row>
    <row r="39" customFormat="false" ht="15" hidden="false" customHeight="false" outlineLevel="0" collapsed="false">
      <c r="A39" s="36"/>
      <c r="B39" s="36"/>
      <c r="C39" s="36"/>
      <c r="D39" s="35"/>
      <c r="E39" s="35"/>
      <c r="F39" s="36"/>
      <c r="G39" s="36"/>
      <c r="H39" s="36"/>
      <c r="I39" s="36"/>
    </row>
    <row r="40" customFormat="false" ht="15" hidden="false" customHeight="false" outlineLevel="0" collapsed="false">
      <c r="A40" s="36"/>
      <c r="B40" s="36"/>
      <c r="C40" s="36"/>
      <c r="D40" s="35"/>
      <c r="E40" s="35"/>
      <c r="F40" s="36"/>
      <c r="G40" s="36"/>
      <c r="H40" s="36"/>
      <c r="I40" s="36"/>
    </row>
    <row r="41" customFormat="false" ht="15" hidden="false" customHeight="false" outlineLevel="0" collapsed="false">
      <c r="A41" s="36"/>
      <c r="B41" s="36"/>
      <c r="C41" s="36"/>
      <c r="D41" s="35"/>
      <c r="E41" s="35"/>
      <c r="F41" s="36"/>
      <c r="G41" s="36"/>
      <c r="H41" s="36"/>
      <c r="I41" s="36"/>
    </row>
    <row r="42" customFormat="false" ht="15" hidden="false" customHeight="false" outlineLevel="0" collapsed="false">
      <c r="A42" s="36"/>
      <c r="B42" s="36"/>
      <c r="C42" s="36"/>
      <c r="D42" s="35"/>
      <c r="E42" s="35"/>
      <c r="F42" s="36"/>
      <c r="G42" s="36"/>
      <c r="H42" s="36"/>
      <c r="I42" s="36"/>
    </row>
    <row r="43" customFormat="false" ht="15" hidden="false" customHeight="false" outlineLevel="0" collapsed="false">
      <c r="A43" s="36"/>
      <c r="B43" s="36"/>
      <c r="C43" s="36"/>
      <c r="D43" s="35"/>
      <c r="E43" s="35"/>
      <c r="F43" s="36"/>
      <c r="G43" s="36"/>
      <c r="H43" s="36"/>
      <c r="I43" s="36"/>
    </row>
    <row r="44" customFormat="false" ht="15" hidden="false" customHeight="false" outlineLevel="0" collapsed="false">
      <c r="A44" s="36"/>
      <c r="B44" s="36"/>
      <c r="C44" s="36"/>
      <c r="D44" s="35"/>
      <c r="E44" s="35"/>
      <c r="F44" s="36"/>
      <c r="G44" s="36"/>
      <c r="H44" s="36"/>
      <c r="I44" s="36"/>
    </row>
    <row r="45" customFormat="false" ht="15" hidden="false" customHeight="false" outlineLevel="0" collapsed="false">
      <c r="A45" s="36"/>
      <c r="B45" s="36"/>
      <c r="C45" s="36"/>
      <c r="D45" s="35"/>
      <c r="E45" s="35"/>
      <c r="F45" s="36"/>
      <c r="G45" s="36"/>
      <c r="H45" s="36"/>
      <c r="I45" s="36"/>
    </row>
    <row r="46" customFormat="false" ht="15" hidden="false" customHeight="false" outlineLevel="0" collapsed="false">
      <c r="A46" s="36"/>
      <c r="B46" s="36"/>
      <c r="C46" s="36"/>
      <c r="D46" s="35"/>
      <c r="E46" s="35"/>
      <c r="F46" s="36"/>
      <c r="G46" s="36"/>
      <c r="H46" s="36"/>
      <c r="I46" s="36"/>
    </row>
    <row r="47" customFormat="false" ht="15" hidden="false" customHeight="false" outlineLevel="0" collapsed="false">
      <c r="A47" s="36"/>
      <c r="B47" s="36"/>
      <c r="C47" s="36"/>
      <c r="D47" s="35"/>
      <c r="E47" s="35"/>
      <c r="F47" s="36"/>
      <c r="G47" s="36"/>
      <c r="H47" s="36"/>
      <c r="I47" s="36"/>
    </row>
    <row r="48" customFormat="false" ht="15" hidden="false" customHeight="false" outlineLevel="0" collapsed="false">
      <c r="A48" s="36"/>
      <c r="B48" s="36"/>
      <c r="C48" s="36"/>
      <c r="D48" s="35"/>
      <c r="E48" s="35"/>
      <c r="F48" s="36"/>
      <c r="G48" s="36"/>
      <c r="H48" s="36"/>
      <c r="I48" s="36"/>
    </row>
    <row r="49" customFormat="false" ht="15" hidden="false" customHeight="false" outlineLevel="0" collapsed="false">
      <c r="A49" s="36"/>
      <c r="B49" s="36"/>
      <c r="C49" s="36"/>
      <c r="D49" s="35"/>
      <c r="E49" s="35"/>
      <c r="F49" s="36"/>
      <c r="G49" s="36"/>
      <c r="H49" s="36"/>
      <c r="I49" s="36"/>
    </row>
    <row r="50" customFormat="false" ht="15" hidden="false" customHeight="false" outlineLevel="0" collapsed="false">
      <c r="A50" s="36"/>
      <c r="B50" s="36"/>
      <c r="C50" s="36"/>
      <c r="D50" s="35"/>
      <c r="E50" s="35"/>
      <c r="F50" s="36"/>
      <c r="G50" s="36"/>
      <c r="H50" s="36"/>
      <c r="I50" s="36"/>
    </row>
    <row r="51" customFormat="false" ht="15" hidden="false" customHeight="false" outlineLevel="0" collapsed="false">
      <c r="A51" s="36"/>
      <c r="B51" s="36"/>
      <c r="C51" s="36"/>
      <c r="D51" s="35"/>
      <c r="E51" s="35"/>
      <c r="F51" s="36"/>
      <c r="G51" s="36"/>
      <c r="H51" s="36"/>
      <c r="I51" s="36"/>
    </row>
    <row r="52" customFormat="false" ht="15" hidden="false" customHeight="false" outlineLevel="0" collapsed="false">
      <c r="A52" s="36"/>
      <c r="B52" s="36"/>
      <c r="C52" s="36"/>
      <c r="D52" s="35"/>
      <c r="E52" s="35"/>
      <c r="F52" s="36"/>
      <c r="G52" s="36"/>
      <c r="H52" s="36"/>
      <c r="I52" s="36"/>
    </row>
    <row r="53" customFormat="false" ht="15" hidden="false" customHeight="false" outlineLevel="0" collapsed="false">
      <c r="A53" s="36"/>
      <c r="B53" s="36"/>
      <c r="C53" s="36"/>
      <c r="D53" s="35"/>
      <c r="E53" s="35"/>
      <c r="F53" s="36"/>
      <c r="G53" s="36"/>
      <c r="H53" s="36"/>
      <c r="I53" s="36"/>
    </row>
    <row r="54" customFormat="false" ht="15" hidden="false" customHeight="false" outlineLevel="0" collapsed="false">
      <c r="A54" s="36"/>
      <c r="B54" s="36"/>
      <c r="C54" s="36"/>
      <c r="D54" s="35"/>
      <c r="E54" s="35"/>
      <c r="F54" s="36"/>
      <c r="G54" s="36"/>
      <c r="H54" s="36"/>
      <c r="I54" s="36"/>
    </row>
    <row r="55" customFormat="false" ht="15" hidden="false" customHeight="false" outlineLevel="0" collapsed="false">
      <c r="A55" s="36"/>
      <c r="B55" s="36"/>
      <c r="C55" s="36"/>
      <c r="D55" s="35"/>
      <c r="E55" s="35"/>
      <c r="F55" s="36"/>
      <c r="G55" s="36"/>
      <c r="H55" s="36"/>
      <c r="I55" s="36"/>
    </row>
    <row r="56" customFormat="false" ht="15" hidden="false" customHeight="false" outlineLevel="0" collapsed="false">
      <c r="A56" s="36"/>
      <c r="B56" s="36"/>
      <c r="C56" s="36"/>
      <c r="D56" s="35"/>
      <c r="E56" s="35"/>
      <c r="F56" s="36"/>
      <c r="G56" s="36"/>
      <c r="H56" s="36"/>
      <c r="I56" s="36"/>
    </row>
    <row r="57" customFormat="false" ht="15" hidden="false" customHeight="false" outlineLevel="0" collapsed="false">
      <c r="A57" s="36"/>
      <c r="B57" s="36"/>
      <c r="C57" s="36"/>
      <c r="D57" s="35"/>
      <c r="E57" s="35"/>
      <c r="F57" s="36"/>
      <c r="G57" s="36"/>
      <c r="H57" s="36"/>
      <c r="I57" s="36"/>
    </row>
    <row r="58" customFormat="false" ht="15" hidden="false" customHeight="false" outlineLevel="0" collapsed="false">
      <c r="A58" s="36"/>
      <c r="B58" s="36"/>
      <c r="C58" s="36"/>
      <c r="D58" s="35"/>
      <c r="E58" s="35"/>
      <c r="F58" s="36"/>
      <c r="G58" s="36"/>
      <c r="H58" s="36"/>
      <c r="I58" s="36"/>
    </row>
    <row r="59" customFormat="false" ht="15" hidden="false" customHeight="false" outlineLevel="0" collapsed="false">
      <c r="A59" s="36"/>
      <c r="B59" s="36"/>
      <c r="C59" s="36"/>
      <c r="D59" s="35"/>
      <c r="E59" s="35"/>
      <c r="F59" s="36"/>
      <c r="G59" s="36"/>
      <c r="H59" s="36"/>
      <c r="I59" s="36"/>
    </row>
    <row r="60" customFormat="false" ht="15" hidden="false" customHeight="false" outlineLevel="0" collapsed="false">
      <c r="A60" s="36"/>
      <c r="B60" s="36"/>
      <c r="C60" s="36"/>
      <c r="D60" s="35"/>
      <c r="E60" s="35"/>
      <c r="F60" s="36"/>
      <c r="G60" s="36"/>
      <c r="H60" s="36"/>
      <c r="I60" s="36"/>
    </row>
    <row r="61" customFormat="false" ht="15" hidden="false" customHeight="false" outlineLevel="0" collapsed="false">
      <c r="A61" s="36"/>
      <c r="B61" s="36"/>
      <c r="C61" s="36"/>
      <c r="D61" s="35"/>
      <c r="E61" s="35"/>
      <c r="F61" s="36"/>
      <c r="G61" s="36"/>
      <c r="H61" s="36"/>
      <c r="I61" s="36"/>
    </row>
    <row r="62" customFormat="false" ht="15" hidden="false" customHeight="false" outlineLevel="0" collapsed="false">
      <c r="A62" s="36"/>
      <c r="B62" s="36"/>
      <c r="C62" s="36"/>
      <c r="D62" s="35"/>
      <c r="E62" s="35"/>
      <c r="F62" s="36"/>
      <c r="G62" s="36"/>
      <c r="H62" s="36"/>
      <c r="I62" s="36"/>
    </row>
    <row r="63" customFormat="false" ht="15" hidden="false" customHeight="false" outlineLevel="0" collapsed="false">
      <c r="A63" s="36"/>
      <c r="B63" s="36"/>
      <c r="C63" s="36"/>
      <c r="D63" s="35"/>
      <c r="E63" s="35"/>
      <c r="F63" s="36"/>
      <c r="G63" s="36"/>
      <c r="H63" s="36"/>
      <c r="I63" s="36"/>
    </row>
    <row r="64" customFormat="false" ht="15" hidden="false" customHeight="false" outlineLevel="0" collapsed="false">
      <c r="A64" s="36"/>
      <c r="B64" s="36"/>
      <c r="C64" s="36"/>
      <c r="D64" s="35"/>
      <c r="E64" s="35"/>
      <c r="F64" s="36"/>
      <c r="G64" s="36"/>
      <c r="H64" s="36"/>
      <c r="I64" s="36"/>
    </row>
    <row r="65" customFormat="false" ht="15" hidden="false" customHeight="false" outlineLevel="0" collapsed="false">
      <c r="A65" s="36"/>
      <c r="B65" s="36"/>
      <c r="C65" s="36"/>
      <c r="D65" s="35"/>
      <c r="E65" s="35"/>
      <c r="F65" s="36"/>
      <c r="G65" s="36"/>
      <c r="H65" s="36"/>
      <c r="I65" s="36"/>
    </row>
    <row r="66" customFormat="false" ht="15" hidden="false" customHeight="false" outlineLevel="0" collapsed="false">
      <c r="A66" s="36"/>
      <c r="B66" s="36"/>
      <c r="C66" s="36"/>
      <c r="D66" s="35"/>
      <c r="E66" s="35"/>
      <c r="F66" s="36"/>
      <c r="G66" s="36"/>
      <c r="H66" s="36"/>
      <c r="I66" s="36"/>
    </row>
    <row r="67" customFormat="false" ht="15" hidden="false" customHeight="false" outlineLevel="0" collapsed="false">
      <c r="A67" s="36"/>
      <c r="B67" s="36"/>
      <c r="C67" s="36"/>
      <c r="D67" s="35"/>
      <c r="E67" s="35"/>
      <c r="F67" s="36"/>
      <c r="G67" s="36"/>
      <c r="H67" s="36"/>
      <c r="I67" s="36"/>
    </row>
    <row r="68" customFormat="false" ht="15" hidden="false" customHeight="false" outlineLevel="0" collapsed="false">
      <c r="A68" s="36"/>
      <c r="B68" s="36"/>
      <c r="C68" s="36"/>
      <c r="D68" s="35"/>
      <c r="E68" s="35"/>
      <c r="F68" s="36"/>
      <c r="G68" s="36"/>
      <c r="H68" s="36"/>
      <c r="I68" s="36"/>
    </row>
    <row r="69" customFormat="false" ht="15" hidden="false" customHeight="false" outlineLevel="0" collapsed="false">
      <c r="A69" s="36"/>
      <c r="B69" s="36"/>
      <c r="C69" s="36"/>
      <c r="D69" s="35"/>
      <c r="E69" s="35"/>
      <c r="F69" s="36"/>
      <c r="G69" s="36"/>
      <c r="H69" s="36"/>
      <c r="I69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30" hidden="false" customHeight="true" outlineLevel="0" collapsed="false">
      <c r="A1" s="23" t="s">
        <v>35</v>
      </c>
      <c r="B1" s="23" t="s">
        <v>102</v>
      </c>
      <c r="C1" s="23" t="s">
        <v>182</v>
      </c>
    </row>
    <row r="2" customFormat="false" ht="15" hidden="false" customHeight="false" outlineLevel="0" collapsed="false">
      <c r="A2" s="37" t="s">
        <v>41</v>
      </c>
      <c r="B2" s="37" t="s">
        <v>124</v>
      </c>
      <c r="C2" s="38" t="s">
        <v>132</v>
      </c>
    </row>
    <row r="3" customFormat="false" ht="15" hidden="false" customHeight="false" outlineLevel="0" collapsed="false">
      <c r="A3" s="37" t="s">
        <v>42</v>
      </c>
      <c r="B3" s="37" t="s">
        <v>183</v>
      </c>
      <c r="C3" s="38" t="s">
        <v>184</v>
      </c>
    </row>
    <row r="4" customFormat="false" ht="15" hidden="false" customHeight="false" outlineLevel="0" collapsed="false">
      <c r="A4" s="37" t="s">
        <v>43</v>
      </c>
      <c r="B4" s="37" t="s">
        <v>185</v>
      </c>
      <c r="C4" s="38" t="s">
        <v>186</v>
      </c>
    </row>
    <row r="5" customFormat="false" ht="15" hidden="false" customHeight="false" outlineLevel="0" collapsed="false">
      <c r="A5" s="37" t="s">
        <v>44</v>
      </c>
      <c r="B5" s="37" t="s">
        <v>187</v>
      </c>
      <c r="C5" s="38" t="s">
        <v>93</v>
      </c>
    </row>
    <row r="6" customFormat="false" ht="15" hidden="false" customHeight="false" outlineLevel="0" collapsed="false">
      <c r="A6" s="37" t="s">
        <v>45</v>
      </c>
      <c r="B6" s="37" t="s">
        <v>188</v>
      </c>
    </row>
    <row r="7" customFormat="false" ht="15" hidden="false" customHeight="false" outlineLevel="0" collapsed="false">
      <c r="A7" s="37" t="s">
        <v>46</v>
      </c>
      <c r="B7" s="37" t="s">
        <v>163</v>
      </c>
    </row>
    <row r="8" customFormat="false" ht="15" hidden="false" customHeight="false" outlineLevel="0" collapsed="false">
      <c r="A8" s="37" t="s">
        <v>47</v>
      </c>
      <c r="B8" s="37" t="s">
        <v>189</v>
      </c>
    </row>
    <row r="9" customFormat="false" ht="15" hidden="false" customHeight="false" outlineLevel="0" collapsed="false">
      <c r="A9" s="37" t="s">
        <v>190</v>
      </c>
      <c r="B9" s="37" t="s">
        <v>191</v>
      </c>
    </row>
    <row r="10" customFormat="false" ht="15" hidden="false" customHeight="false" outlineLevel="0" collapsed="false">
      <c r="A10" s="37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2026-08-18T02:01:39Z</dcterms:created>
  <dc:creator>openpyxl</dc:creator>
  <dc:description/>
  <dc:language>en-US</dc:language>
  <cp:lastModifiedBy/>
  <dcterms:modified xsi:type="dcterms:W3CDTF">2026-08-18T02:01:39Z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