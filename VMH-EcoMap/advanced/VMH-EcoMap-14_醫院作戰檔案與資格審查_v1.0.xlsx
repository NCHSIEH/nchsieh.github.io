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說明_ReadMe" sheetId="1" state="visible" r:id="rId3"/>
    <sheet name="醫院名錄_Registry" sheetId="2" state="visible" r:id="rId4"/>
    <sheet name="作戰檔案_Card" sheetId="3" state="visible" r:id="rId5"/>
    <sheet name="資格審查_Scorecard" sheetId="4" state="visible" r:id="rId6"/>
    <sheet name="審查標準_Criteria" sheetId="5" state="visible" r:id="rId7"/>
    <sheet name="選單_Lists" sheetId="6" state="visible" r:id="rId8"/>
  </sheets>
  <definedNames>
    <definedName function="false" hidden="true" localSheetId="3" name="_xlnm._FilterDatabase" vbProcedure="false">資格審查_Scorecard!$A$4:$U$35</definedName>
    <definedName function="false" hidden="true" localSheetId="1" name="_xlnm._FilterDatabase" vbProcedure="false">醫院名錄_Registry!$A$4:$AF$45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<sst xmlns="http://schemas.openxmlformats.org/spreadsheetml/2006/main" count="424" uniqueCount="388">
  <si>
    <r>
      <rPr>
        <b val="true"/>
        <sz val="15"/>
        <color rgb="FF1F3864"/>
        <rFont val="Microsoft JhengHei"/>
        <family val="0"/>
        <charset val="1"/>
      </rPr>
      <t xml:space="preserve">VMH-EcoMap-14 </t>
    </r>
    <r>
      <rPr>
        <b val="true"/>
        <sz val="15"/>
        <color rgb="FF1F3864"/>
        <rFont val="Noto Sans CJK SC"/>
        <family val="2"/>
      </rPr>
      <t xml:space="preserve">醫院作戰檔案與資格審查｜使用說明</t>
    </r>
  </si>
  <si>
    <r>
      <rPr>
        <sz val="10"/>
        <color rgb="FF6B7280"/>
        <rFont val="Microsoft JhengHei"/>
        <family val="0"/>
        <charset val="1"/>
      </rPr>
      <t xml:space="preserve">P0 </t>
    </r>
    <r>
      <rPr>
        <sz val="10"/>
        <color rgb="FF6B7280"/>
        <rFont val="Noto Sans CJK SC"/>
        <family val="2"/>
      </rPr>
      <t xml:space="preserve">鎖定目標工具（①＋②）・</t>
    </r>
    <r>
      <rPr>
        <sz val="10"/>
        <color rgb="FF6B7280"/>
        <rFont val="Microsoft JhengHei"/>
        <family val="0"/>
        <charset val="1"/>
      </rPr>
      <t xml:space="preserve">2026-08-15</t>
    </r>
    <r>
      <rPr>
        <sz val="10"/>
        <color rgb="FF6B7280"/>
        <rFont val="Noto Sans CJK SC"/>
        <family val="2"/>
      </rPr>
      <t xml:space="preserve">・對應藍圖 </t>
    </r>
    <r>
      <rPr>
        <sz val="10"/>
        <color rgb="FF6B7280"/>
        <rFont val="Microsoft JhengHei"/>
        <family val="0"/>
        <charset val="1"/>
      </rPr>
      <t xml:space="preserve">VMH-EcoMap-13</t>
    </r>
  </si>
  <si>
    <t xml:space="preserve">■ 這個檔在解決什麼</t>
  </si>
  <si>
    <r>
      <rPr>
        <sz val="10"/>
        <rFont val="Noto Sans CJK SC"/>
        <family val="2"/>
      </rPr>
      <t xml:space="preserve">「該把有限的時間花在哪家醫院、哪個案子」。市場層的答案在盤點工具（</t>
    </r>
    <r>
      <rPr>
        <sz val="10"/>
        <rFont val="Microsoft JhengHei"/>
        <family val="0"/>
        <charset val="1"/>
      </rPr>
      <t xml:space="preserve">85</t>
    </r>
    <r>
      <rPr>
        <sz val="10"/>
        <rFont val="Noto Sans CJK SC"/>
        <family val="2"/>
      </rPr>
      <t xml:space="preserve">門生意），這裡管的是案件層：具體的醫院、具體的人、具體的錢。</t>
    </r>
  </si>
  <si>
    <t xml:space="preserve">■ 三個分頁的關係</t>
  </si>
  <si>
    <t xml:space="preserve">醫院名錄（填）→ 作戰檔案（自動長出一頁摘要，開會前看）→ 資格審查（一案一列打分，決定追不追）。只有「醫院名錄」和「資格審查」要填，作戰檔案是全自動的。</t>
  </si>
  <si>
    <t xml:space="preserve">■ 每週動線</t>
  </si>
  <si>
    <t xml:space="preserve">①新情報進來→更新醫院名錄該列 ②新案子出現→資格審查加一列打分 ③週會投影資格審查分頁，按「判定」欄排序，逐案過「下一步行動」。</t>
  </si>
  <si>
    <t xml:space="preserve">■ 打分的紀律</t>
  </si>
  <si>
    <r>
      <rPr>
        <sz val="10"/>
        <rFont val="Noto Sans CJK SC"/>
        <family val="2"/>
      </rPr>
      <t xml:space="preserve">照「審查標準」分頁的錨點打，不要憑感覺。兩人分別打分再對答案，差 </t>
    </r>
    <r>
      <rPr>
        <sz val="10"/>
        <rFont val="Microsoft JhengHei"/>
        <family val="0"/>
        <charset val="1"/>
      </rPr>
      <t xml:space="preserve">2 </t>
    </r>
    <r>
      <rPr>
        <sz val="10"/>
        <rFont val="Noto Sans CJK SC"/>
        <family val="2"/>
      </rPr>
      <t xml:space="preserve">分以上的題目就是情報不足的題目——那正是下一步要去查的東西。</t>
    </r>
  </si>
  <si>
    <t xml:space="preserve">■ 與其他工具的銜接</t>
  </si>
  <si>
    <r>
      <rPr>
        <sz val="10"/>
        <rFont val="Noto Sans CJK SC"/>
        <family val="2"/>
      </rPr>
      <t xml:space="preserve">判定</t>
    </r>
    <r>
      <rPr>
        <sz val="10"/>
        <rFont val="Microsoft JhengHei"/>
        <family val="0"/>
        <charset val="1"/>
      </rPr>
      <t xml:space="preserve">=</t>
    </r>
    <r>
      <rPr>
        <sz val="10"/>
        <rFont val="Noto Sans CJK SC"/>
        <family val="2"/>
      </rPr>
      <t xml:space="preserve">積極爭取 → 開始準備 </t>
    </r>
    <r>
      <rPr>
        <sz val="10"/>
        <rFont val="Microsoft JhengHei"/>
        <family val="0"/>
        <charset val="1"/>
      </rPr>
      <t xml:space="preserve">P1 </t>
    </r>
    <r>
      <rPr>
        <sz val="10"/>
        <rFont val="Noto Sans CJK SC"/>
        <family val="2"/>
      </rPr>
      <t xml:space="preserve">拜訪包與現勘（藍圖④⑤）；案子若來自公開標案 → 到 </t>
    </r>
    <r>
      <rPr>
        <sz val="10"/>
        <rFont val="Microsoft JhengHei"/>
        <family val="0"/>
        <charset val="1"/>
      </rPr>
      <t xml:space="preserve">VMH-EcoMap-15 </t>
    </r>
    <r>
      <rPr>
        <sz val="10"/>
        <rFont val="Noto Sans CJK SC"/>
        <family val="2"/>
      </rPr>
      <t xml:space="preserve">標案雷達登錄，資格文件庫同步查備齊狀態；要算細帳 → 回 </t>
    </r>
    <r>
      <rPr>
        <sz val="10"/>
        <rFont val="Microsoft JhengHei"/>
        <family val="0"/>
        <charset val="1"/>
      </rPr>
      <t xml:space="preserve">VMH-EcoMap-2 </t>
    </r>
    <r>
      <rPr>
        <sz val="10"/>
        <rFont val="Noto Sans CJK SC"/>
        <family val="2"/>
      </rPr>
      <t xml:space="preserve">試算器。</t>
    </r>
  </si>
  <si>
    <t xml:space="preserve">■ 維護</t>
  </si>
  <si>
    <r>
      <rPr>
        <sz val="10"/>
        <rFont val="Noto Sans CJK SC"/>
        <family val="2"/>
      </rPr>
      <t xml:space="preserve">下拉選單在「選單</t>
    </r>
    <r>
      <rPr>
        <sz val="10"/>
        <rFont val="Microsoft JhengHei"/>
        <family val="0"/>
        <charset val="1"/>
      </rPr>
      <t xml:space="preserve">_Lists</t>
    </r>
    <r>
      <rPr>
        <sz val="10"/>
        <rFont val="Noto Sans CJK SC"/>
        <family val="2"/>
      </rPr>
      <t xml:space="preserve">」分頁改；醫院超過 </t>
    </r>
    <r>
      <rPr>
        <sz val="10"/>
        <rFont val="Microsoft JhengHei"/>
        <family val="0"/>
        <charset val="1"/>
      </rPr>
      <t xml:space="preserve">40 </t>
    </r>
    <r>
      <rPr>
        <sz val="10"/>
        <rFont val="Noto Sans CJK SC"/>
        <family val="2"/>
      </rPr>
      <t xml:space="preserve">家再擴列（名錄第 </t>
    </r>
    <r>
      <rPr>
        <sz val="10"/>
        <rFont val="Microsoft JhengHei"/>
        <family val="0"/>
        <charset val="1"/>
      </rPr>
      <t xml:space="preserve">45 </t>
    </r>
    <r>
      <rPr>
        <sz val="10"/>
        <rFont val="Noto Sans CJK SC"/>
        <family val="2"/>
      </rPr>
      <t xml:space="preserve">列以後照格式往下加，作戰檔案與審查的下拉範圍要同步改）。</t>
    </r>
  </si>
  <si>
    <r>
      <rPr>
        <b val="true"/>
        <sz val="15"/>
        <color rgb="FF1F3864"/>
        <rFont val="Noto Sans CJK SC"/>
        <family val="2"/>
      </rPr>
      <t xml:space="preserve">醫院名錄｜</t>
    </r>
    <r>
      <rPr>
        <b val="true"/>
        <sz val="15"/>
        <color rgb="FF1F3864"/>
        <rFont val="Microsoft JhengHei"/>
        <family val="0"/>
        <charset val="1"/>
      </rPr>
      <t xml:space="preserve">Registry</t>
    </r>
    <r>
      <rPr>
        <b val="true"/>
        <sz val="15"/>
        <color rgb="FF1F3864"/>
        <rFont val="Noto Sans CJK SC"/>
        <family val="2"/>
      </rPr>
      <t xml:space="preserve">（主資料——一列一家醫院，作戰檔案與資格審查都從這裡取值）</t>
    </r>
  </si>
  <si>
    <t xml:space="preserve">❓這頁在回答：我們盯上了哪些醫院、每一家的關鍵情報是什麼？　填這裡→「作戰檔案」自動長出一頁摘要。</t>
  </si>
  <si>
    <t xml:space="preserve">圖例：</t>
  </si>
  <si>
    <t xml:space="preserve">　要填　</t>
  </si>
  <si>
    <t xml:space="preserve">　自動　</t>
  </si>
  <si>
    <t xml:space="preserve">（範例）列請參考後刪除或保留當樣板</t>
  </si>
  <si>
    <r>
      <rPr>
        <b val="true"/>
        <sz val="10"/>
        <color rgb="FFFFFFFF"/>
        <rFont val="Noto Sans CJK SC"/>
        <family val="2"/>
      </rPr>
      <t xml:space="preserve">醫院</t>
    </r>
    <r>
      <rPr>
        <b val="true"/>
        <sz val="10"/>
        <color rgb="FFFFFFFF"/>
        <rFont val="Microsoft JhengHei"/>
        <family val="0"/>
        <charset val="1"/>
      </rPr>
      <t xml:space="preserve">ID</t>
    </r>
  </si>
  <si>
    <r>
      <rPr>
        <b val="true"/>
        <sz val="10"/>
        <color rgb="FFFFFFFF"/>
        <rFont val="Noto Sans CJK SC"/>
        <family val="2"/>
      </rPr>
      <t xml:space="preserve">醫院名稱</t>
    </r>
    <r>
      <rPr>
        <b val="true"/>
        <sz val="10"/>
        <color rgb="FFFFFFFF"/>
        <rFont val="Microsoft JhengHei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中</t>
    </r>
    <r>
      <rPr>
        <b val="true"/>
        <sz val="10"/>
        <color rgb="FFFFFFFF"/>
        <rFont val="Microsoft JhengHei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</si>
  <si>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名稱</t>
    </r>
    <r>
      <rPr>
        <b val="true"/>
        <sz val="10"/>
        <color rgb="FFFFFFFF"/>
        <rFont val="Microsoft JhengHei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越</t>
    </r>
    <r>
      <rPr>
        <b val="true"/>
        <sz val="10"/>
        <color rgb="FFFFFFFF"/>
        <rFont val="Microsoft JhengHei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英</t>
    </r>
    <r>
      <rPr>
        <b val="true"/>
        <sz val="10"/>
        <color rgb="FFFFFFFF"/>
        <rFont val="Microsoft JhengHei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</si>
  <si>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省</t>
    </r>
    <r>
      <rPr>
        <b val="true"/>
        <sz val="10"/>
        <color rgb="FFFFFFFF"/>
        <rFont val="Microsoft JhengHei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市</t>
    </r>
  </si>
  <si>
    <t xml:space="preserve">屬性</t>
  </si>
  <si>
    <t xml:space="preserve">技術層級</t>
  </si>
  <si>
    <t xml:space="preserve">床位</t>
  </si>
  <si>
    <t xml:space="preserve">日均門診</t>
  </si>
  <si>
    <r>
      <rPr>
        <b val="true"/>
        <sz val="10"/>
        <color rgb="FFFFFFFF"/>
        <rFont val="Noto Sans CJK SC"/>
        <family val="2"/>
      </rPr>
      <t xml:space="preserve">財務自主</t>
    </r>
    <r>
      <rPr>
        <b val="true"/>
        <sz val="10"/>
        <color rgb="FFFFFFFF"/>
        <rFont val="Microsoft JhengHei"/>
        <family val="0"/>
        <charset val="1"/>
      </rPr>
      <t xml:space="preserve">(tự chủ)</t>
    </r>
  </si>
  <si>
    <t xml:space="preserve">簽約主體</t>
  </si>
  <si>
    <t xml:space="preserve">預算來源</t>
  </si>
  <si>
    <t xml:space="preserve">院長</t>
  </si>
  <si>
    <t xml:space="preserve">黨委書記</t>
  </si>
  <si>
    <t xml:space="preserve">主管副院長</t>
  </si>
  <si>
    <r>
      <rPr>
        <b val="true"/>
        <sz val="10"/>
        <color rgb="FFFFFFFF"/>
        <rFont val="Microsoft JhengHei"/>
        <family val="0"/>
        <charset val="1"/>
      </rPr>
      <t xml:space="preserve">IT/</t>
    </r>
    <r>
      <rPr>
        <b val="true"/>
        <sz val="10"/>
        <color rgb="FFFFFFFF"/>
        <rFont val="Noto Sans CJK SC"/>
        <family val="2"/>
      </rPr>
      <t xml:space="preserve">設備主管</t>
    </r>
  </si>
  <si>
    <t xml:space="preserve">我方窗口</t>
  </si>
  <si>
    <r>
      <rPr>
        <b val="true"/>
        <sz val="10"/>
        <color rgb="FFFFFFFF"/>
        <rFont val="Noto Sans CJK SC"/>
        <family val="2"/>
      </rPr>
      <t xml:space="preserve">引薦人</t>
    </r>
    <r>
      <rPr>
        <b val="true"/>
        <sz val="10"/>
        <color rgb="FFFFFFFF"/>
        <rFont val="Microsoft JhengHei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關係路徑</t>
    </r>
  </si>
  <si>
    <t xml:space="preserve">關係強度</t>
  </si>
  <si>
    <r>
      <rPr>
        <b val="true"/>
        <sz val="10"/>
        <color rgb="FFFFFFFF"/>
        <rFont val="Microsoft JhengHei"/>
        <family val="0"/>
        <charset val="1"/>
      </rPr>
      <t xml:space="preserve">HIS</t>
    </r>
    <r>
      <rPr>
        <b val="true"/>
        <sz val="10"/>
        <color rgb="FFFFFFFF"/>
        <rFont val="Noto Sans CJK SC"/>
        <family val="2"/>
      </rPr>
      <t xml:space="preserve">廠商</t>
    </r>
  </si>
  <si>
    <r>
      <rPr>
        <b val="true"/>
        <sz val="10"/>
        <color rgb="FFFFFFFF"/>
        <rFont val="Microsoft JhengHei"/>
        <family val="0"/>
        <charset val="1"/>
      </rPr>
      <t xml:space="preserve">EMR</t>
    </r>
    <r>
      <rPr>
        <b val="true"/>
        <sz val="10"/>
        <color rgb="FFFFFFFF"/>
        <rFont val="Noto Sans CJK SC"/>
        <family val="2"/>
      </rPr>
      <t xml:space="preserve">狀態</t>
    </r>
  </si>
  <si>
    <r>
      <rPr>
        <b val="true"/>
        <sz val="10"/>
        <color rgb="FFFFFFFF"/>
        <rFont val="Noto Sans CJK SC"/>
        <family val="2"/>
      </rPr>
      <t xml:space="preserve">機房</t>
    </r>
    <r>
      <rPr>
        <b val="true"/>
        <sz val="10"/>
        <color rgb="FFFFFFFF"/>
        <rFont val="Microsoft JhengHei"/>
        <family val="0"/>
        <charset val="1"/>
      </rPr>
      <t xml:space="preserve">/IDC</t>
    </r>
    <r>
      <rPr>
        <b val="true"/>
        <sz val="10"/>
        <color rgb="FFFFFFFF"/>
        <rFont val="Noto Sans CJK SC"/>
        <family val="2"/>
      </rPr>
      <t xml:space="preserve">現況</t>
    </r>
  </si>
  <si>
    <r>
      <rPr>
        <b val="true"/>
        <sz val="10"/>
        <color rgb="FFFFFFFF"/>
        <rFont val="Noto Sans CJK SC"/>
        <family val="2"/>
      </rPr>
      <t xml:space="preserve">既有</t>
    </r>
    <r>
      <rPr>
        <b val="true"/>
        <sz val="10"/>
        <color rgb="FFFFFFFF"/>
        <rFont val="Microsoft JhengHei"/>
        <family val="0"/>
        <charset val="1"/>
      </rPr>
      <t xml:space="preserve">BMS/</t>
    </r>
    <r>
      <rPr>
        <b val="true"/>
        <sz val="10"/>
        <color rgb="FFFFFFFF"/>
        <rFont val="Noto Sans CJK SC"/>
        <family val="2"/>
      </rPr>
      <t xml:space="preserve">弱電品牌</t>
    </r>
  </si>
  <si>
    <t xml:space="preserve">主要供應商與到期</t>
  </si>
  <si>
    <r>
      <rPr>
        <b val="true"/>
        <sz val="10"/>
        <color rgb="FFFFFFFF"/>
        <rFont val="Noto Sans CJK SC"/>
        <family val="2"/>
      </rPr>
      <t xml:space="preserve">新建</t>
    </r>
    <r>
      <rPr>
        <b val="true"/>
        <sz val="10"/>
        <color rgb="FFFFFFFF"/>
        <rFont val="Microsoft JhengHei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改建計畫</t>
    </r>
  </si>
  <si>
    <t xml:space="preserve">痛點與觸發事件</t>
  </si>
  <si>
    <r>
      <rPr>
        <b val="true"/>
        <sz val="10"/>
        <color rgb="FFFFFFFF"/>
        <rFont val="Noto Sans CJK SC"/>
        <family val="2"/>
      </rPr>
      <t xml:space="preserve">目標商機</t>
    </r>
    <r>
      <rPr>
        <b val="true"/>
        <sz val="10"/>
        <color rgb="FFFFFFFF"/>
        <rFont val="Microsoft JhengHei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可多個</t>
    </r>
    <r>
      <rPr>
        <b val="true"/>
        <sz val="10"/>
        <color rgb="FFFFFFFF"/>
        <rFont val="Microsoft JhengHei"/>
        <family val="0"/>
        <charset val="1"/>
      </rPr>
      <t xml:space="preserve">)</t>
    </r>
  </si>
  <si>
    <r>
      <rPr>
        <b val="true"/>
        <sz val="10"/>
        <color rgb="FFFFFFFF"/>
        <rFont val="Microsoft JhengHei"/>
        <family val="0"/>
        <charset val="1"/>
      </rPr>
      <t xml:space="preserve">EVN</t>
    </r>
    <r>
      <rPr>
        <b val="true"/>
        <sz val="10"/>
        <color rgb="FFFFFFFF"/>
        <rFont val="Noto Sans CJK SC"/>
        <family val="2"/>
      </rPr>
      <t xml:space="preserve">電費帳單</t>
    </r>
  </si>
  <si>
    <t xml:space="preserve">最後接觸日</t>
  </si>
  <si>
    <t xml:space="preserve">下一步行動</t>
  </si>
  <si>
    <t xml:space="preserve">負責人</t>
  </si>
  <si>
    <t xml:space="preserve">期限</t>
  </si>
  <si>
    <t xml:space="preserve">備註</t>
  </si>
  <si>
    <t xml:space="preserve">H-001</t>
  </si>
  <si>
    <r>
      <rPr>
        <sz val="9"/>
        <rFont val="Noto Sans CJK SC"/>
        <family val="2"/>
      </rPr>
      <t xml:space="preserve">（範例）省級綜合醫院</t>
    </r>
    <r>
      <rPr>
        <sz val="9"/>
        <rFont val="Microsoft JhengHei"/>
        <family val="0"/>
        <charset val="1"/>
      </rPr>
      <t xml:space="preserve">A</t>
    </r>
  </si>
  <si>
    <t xml:space="preserve">Bệnh viện Đa khoa Tỉnh A</t>
  </si>
  <si>
    <t xml:space="preserve">興安省</t>
  </si>
  <si>
    <r>
      <rPr>
        <sz val="9"/>
        <rFont val="Noto Sans CJK SC"/>
        <family val="2"/>
      </rPr>
      <t xml:space="preserve">公立</t>
    </r>
    <r>
      <rPr>
        <sz val="9"/>
        <rFont val="Microsoft JhengHei"/>
        <family val="0"/>
        <charset val="1"/>
      </rPr>
      <t xml:space="preserve">-</t>
    </r>
    <r>
      <rPr>
        <sz val="9"/>
        <rFont val="Noto Sans CJK SC"/>
        <family val="2"/>
      </rPr>
      <t xml:space="preserve">省級</t>
    </r>
  </si>
  <si>
    <r>
      <rPr>
        <sz val="9"/>
        <rFont val="Noto Sans CJK SC"/>
        <family val="2"/>
      </rPr>
      <t xml:space="preserve">基本 </t>
    </r>
    <r>
      <rPr>
        <sz val="9"/>
        <rFont val="Microsoft JhengHei"/>
        <family val="0"/>
        <charset val="1"/>
      </rPr>
      <t xml:space="preserve">Cơ bản</t>
    </r>
  </si>
  <si>
    <r>
      <rPr>
        <sz val="9"/>
        <rFont val="Microsoft JhengHei"/>
        <family val="0"/>
        <charset val="1"/>
      </rPr>
      <t xml:space="preserve">Nhóm 2 </t>
    </r>
    <r>
      <rPr>
        <sz val="9"/>
        <rFont val="Noto Sans CJK SC"/>
        <family val="2"/>
      </rPr>
      <t xml:space="preserve">經常性支出自主</t>
    </r>
  </si>
  <si>
    <r>
      <rPr>
        <sz val="9"/>
        <rFont val="Noto Sans CJK SC"/>
        <family val="2"/>
      </rPr>
      <t xml:space="preserve">院方</t>
    </r>
    <r>
      <rPr>
        <sz val="9"/>
        <rFont val="Microsoft JhengHei"/>
        <family val="0"/>
        <charset val="1"/>
      </rPr>
      <t xml:space="preserve">(</t>
    </r>
    <r>
      <rPr>
        <sz val="9"/>
        <rFont val="Noto Sans CJK SC"/>
        <family val="2"/>
      </rPr>
      <t xml:space="preserve">需衛生廳核備</t>
    </r>
    <r>
      <rPr>
        <sz val="9"/>
        <rFont val="Microsoft JhengHei"/>
        <family val="0"/>
        <charset val="1"/>
      </rPr>
      <t xml:space="preserve">)</t>
    </r>
  </si>
  <si>
    <t xml:space="preserve">醫院發展基金＋省預算</t>
  </si>
  <si>
    <t xml:space="preserve">Dr. Nguyễn Văn A</t>
  </si>
  <si>
    <t xml:space="preserve">Ông Trần B</t>
  </si>
  <si>
    <r>
      <rPr>
        <sz val="9"/>
        <rFont val="Microsoft JhengHei"/>
        <family val="0"/>
        <charset val="1"/>
      </rPr>
      <t xml:space="preserve">Dr. Lê C(</t>
    </r>
    <r>
      <rPr>
        <sz val="9"/>
        <rFont val="Noto Sans CJK SC"/>
        <family val="2"/>
      </rPr>
      <t xml:space="preserve">主管基建</t>
    </r>
    <r>
      <rPr>
        <sz val="9"/>
        <rFont val="Microsoft JhengHei"/>
        <family val="0"/>
        <charset val="1"/>
      </rPr>
      <t xml:space="preserve">)</t>
    </r>
  </si>
  <si>
    <t xml:space="preserve">Ông Phạm D</t>
  </si>
  <si>
    <t xml:space="preserve">（待建立）</t>
  </si>
  <si>
    <r>
      <rPr>
        <sz val="9"/>
        <rFont val="Noto Sans CJK SC"/>
        <family val="2"/>
      </rPr>
      <t xml:space="preserve">台商協會</t>
    </r>
    <r>
      <rPr>
        <sz val="9"/>
        <rFont val="Microsoft JhengHei"/>
        <family val="0"/>
        <charset val="1"/>
      </rPr>
      <t xml:space="preserve">X</t>
    </r>
    <r>
      <rPr>
        <sz val="9"/>
        <rFont val="Noto Sans CJK SC"/>
        <family val="2"/>
      </rPr>
      <t xml:space="preserve">會長→院長</t>
    </r>
  </si>
  <si>
    <r>
      <rPr>
        <sz val="9"/>
        <rFont val="Noto Sans CJK SC"/>
        <family val="2"/>
      </rPr>
      <t xml:space="preserve">中</t>
    </r>
    <r>
      <rPr>
        <sz val="9"/>
        <rFont val="Microsoft JhengHei"/>
        <family val="0"/>
        <charset val="1"/>
      </rPr>
      <t xml:space="preserve">(</t>
    </r>
    <r>
      <rPr>
        <sz val="9"/>
        <rFont val="Noto Sans CJK SC"/>
        <family val="2"/>
      </rPr>
      <t xml:space="preserve">有引薦路徑</t>
    </r>
    <r>
      <rPr>
        <sz val="9"/>
        <rFont val="Microsoft JhengHei"/>
        <family val="0"/>
        <charset val="1"/>
      </rPr>
      <t xml:space="preserve">)</t>
    </r>
  </si>
  <si>
    <t xml:space="preserve">Viettel</t>
  </si>
  <si>
    <t xml:space="preserve">建置中</t>
  </si>
  <si>
    <r>
      <rPr>
        <sz val="9"/>
        <rFont val="Noto Sans CJK SC"/>
        <family val="2"/>
      </rPr>
      <t xml:space="preserve">自建小機房、無備援、</t>
    </r>
    <r>
      <rPr>
        <sz val="9"/>
        <rFont val="Microsoft JhengHei"/>
        <family val="0"/>
        <charset val="1"/>
      </rPr>
      <t xml:space="preserve">UPS 10</t>
    </r>
    <r>
      <rPr>
        <sz val="9"/>
        <rFont val="Noto Sans CJK SC"/>
        <family val="2"/>
      </rPr>
      <t xml:space="preserve">年未換</t>
    </r>
  </si>
  <si>
    <r>
      <rPr>
        <sz val="9"/>
        <rFont val="Noto Sans CJK SC"/>
        <family val="2"/>
      </rPr>
      <t xml:space="preserve">無</t>
    </r>
    <r>
      <rPr>
        <sz val="9"/>
        <rFont val="Microsoft JhengHei"/>
        <family val="0"/>
        <charset val="1"/>
      </rPr>
      <t xml:space="preserve">BMS</t>
    </r>
    <r>
      <rPr>
        <sz val="9"/>
        <rFont val="Noto Sans CJK SC"/>
        <family val="2"/>
      </rPr>
      <t xml:space="preserve">、弱電雜牌</t>
    </r>
  </si>
  <si>
    <r>
      <rPr>
        <sz val="9"/>
        <rFont val="Microsoft JhengHei"/>
        <family val="0"/>
        <charset val="1"/>
      </rPr>
      <t xml:space="preserve">Viettel HIS </t>
    </r>
    <r>
      <rPr>
        <sz val="9"/>
        <rFont val="Noto Sans CJK SC"/>
        <family val="2"/>
      </rPr>
      <t xml:space="preserve">約</t>
    </r>
    <r>
      <rPr>
        <sz val="9"/>
        <rFont val="Microsoft JhengHei"/>
        <family val="0"/>
        <charset val="1"/>
      </rPr>
      <t xml:space="preserve">2027</t>
    </r>
    <r>
      <rPr>
        <sz val="9"/>
        <rFont val="Noto Sans CJK SC"/>
        <family val="2"/>
      </rPr>
      <t xml:space="preserve">到期</t>
    </r>
  </si>
  <si>
    <r>
      <rPr>
        <sz val="9"/>
        <rFont val="Noto Sans CJK SC"/>
        <family val="2"/>
      </rPr>
      <t xml:space="preserve">新建二期大樓 </t>
    </r>
    <r>
      <rPr>
        <sz val="9"/>
        <rFont val="Microsoft JhengHei"/>
        <family val="0"/>
        <charset val="1"/>
      </rPr>
      <t xml:space="preserve">300</t>
    </r>
    <r>
      <rPr>
        <sz val="9"/>
        <rFont val="Noto Sans CJK SC"/>
        <family val="2"/>
      </rPr>
      <t xml:space="preserve">床</t>
    </r>
    <r>
      <rPr>
        <sz val="9"/>
        <rFont val="Microsoft JhengHei"/>
        <family val="0"/>
        <charset val="1"/>
      </rPr>
      <t xml:space="preserve">(2027</t>
    </r>
    <r>
      <rPr>
        <sz val="9"/>
        <rFont val="Noto Sans CJK SC"/>
        <family val="2"/>
      </rPr>
      <t xml:space="preserve">動工</t>
    </r>
    <r>
      <rPr>
        <sz val="9"/>
        <rFont val="Microsoft JhengHei"/>
        <family val="0"/>
        <charset val="1"/>
      </rPr>
      <t xml:space="preserve">)</t>
    </r>
  </si>
  <si>
    <r>
      <rPr>
        <sz val="9"/>
        <rFont val="Microsoft JhengHei"/>
        <family val="0"/>
        <charset val="1"/>
      </rPr>
      <t xml:space="preserve">EMR</t>
    </r>
    <r>
      <rPr>
        <sz val="9"/>
        <rFont val="Noto Sans CJK SC"/>
        <family val="2"/>
      </rPr>
      <t xml:space="preserve">達標壓力＋新大樓要智慧化</t>
    </r>
  </si>
  <si>
    <t xml:space="preserve">OPP-24; OPP-26</t>
  </si>
  <si>
    <t xml:space="preserve">索取中</t>
  </si>
  <si>
    <t xml:space="preserve">2026-08-01</t>
  </si>
  <si>
    <t xml:space="preserve">安排參訪台灣參考醫院</t>
  </si>
  <si>
    <t xml:space="preserve">NC</t>
  </si>
  <si>
    <t xml:space="preserve">2026-09-15</t>
  </si>
  <si>
    <t xml:space="preserve">院長對節能有興趣</t>
  </si>
  <si>
    <t xml:space="preserve">H-002</t>
  </si>
  <si>
    <t xml:space="preserve">H-003</t>
  </si>
  <si>
    <t xml:space="preserve">H-004</t>
  </si>
  <si>
    <t xml:space="preserve">H-005</t>
  </si>
  <si>
    <t xml:space="preserve">H-006</t>
  </si>
  <si>
    <t xml:space="preserve">H-007</t>
  </si>
  <si>
    <t xml:space="preserve">H-008</t>
  </si>
  <si>
    <t xml:space="preserve">H-009</t>
  </si>
  <si>
    <t xml:space="preserve">H-010</t>
  </si>
  <si>
    <t xml:space="preserve">H-011</t>
  </si>
  <si>
    <t xml:space="preserve">H-012</t>
  </si>
  <si>
    <t xml:space="preserve">H-013</t>
  </si>
  <si>
    <t xml:space="preserve">H-014</t>
  </si>
  <si>
    <t xml:space="preserve">H-015</t>
  </si>
  <si>
    <t xml:space="preserve">H-016</t>
  </si>
  <si>
    <t xml:space="preserve">H-017</t>
  </si>
  <si>
    <t xml:space="preserve">H-018</t>
  </si>
  <si>
    <t xml:space="preserve">H-019</t>
  </si>
  <si>
    <t xml:space="preserve">H-020</t>
  </si>
  <si>
    <t xml:space="preserve">H-021</t>
  </si>
  <si>
    <t xml:space="preserve">H-022</t>
  </si>
  <si>
    <t xml:space="preserve">H-023</t>
  </si>
  <si>
    <t xml:space="preserve">H-024</t>
  </si>
  <si>
    <t xml:space="preserve">H-025</t>
  </si>
  <si>
    <t xml:space="preserve">H-026</t>
  </si>
  <si>
    <t xml:space="preserve">H-027</t>
  </si>
  <si>
    <t xml:space="preserve">H-028</t>
  </si>
  <si>
    <t xml:space="preserve">H-029</t>
  </si>
  <si>
    <t xml:space="preserve">H-030</t>
  </si>
  <si>
    <t xml:space="preserve">H-031</t>
  </si>
  <si>
    <t xml:space="preserve">H-032</t>
  </si>
  <si>
    <t xml:space="preserve">H-033</t>
  </si>
  <si>
    <t xml:space="preserve">H-034</t>
  </si>
  <si>
    <t xml:space="preserve">H-035</t>
  </si>
  <si>
    <t xml:space="preserve">H-036</t>
  </si>
  <si>
    <t xml:space="preserve">H-037</t>
  </si>
  <si>
    <t xml:space="preserve">H-038</t>
  </si>
  <si>
    <t xml:space="preserve">H-039</t>
  </si>
  <si>
    <t xml:space="preserve">H-040</t>
  </si>
  <si>
    <t xml:space="preserve">H-041</t>
  </si>
  <si>
    <r>
      <rPr>
        <b val="true"/>
        <sz val="15"/>
        <color rgb="FF1F3864"/>
        <rFont val="Noto Sans CJK SC"/>
        <family val="2"/>
      </rPr>
      <t xml:space="preserve">醫院作戰檔案｜</t>
    </r>
    <r>
      <rPr>
        <b val="true"/>
        <sz val="15"/>
        <color rgb="FF1F3864"/>
        <rFont val="Microsoft JhengHei"/>
        <family val="0"/>
        <charset val="1"/>
      </rPr>
      <t xml:space="preserve">Account Dossier</t>
    </r>
  </si>
  <si>
    <r>
      <rPr>
        <sz val="10"/>
        <color rgb="FF6B7280"/>
        <rFont val="Noto Sans CJK SC"/>
        <family val="2"/>
      </rPr>
      <t xml:space="preserve">選一家醫院，整頁自動更新。開會前十分鐘讀這一頁就夠。可直接列印 </t>
    </r>
    <r>
      <rPr>
        <sz val="10"/>
        <color rgb="FF6B7280"/>
        <rFont val="Microsoft JhengHei"/>
        <family val="0"/>
        <charset val="1"/>
      </rPr>
      <t xml:space="preserve">A4</t>
    </r>
    <r>
      <rPr>
        <sz val="10"/>
        <color rgb="FF6B7280"/>
        <rFont val="Noto Sans CJK SC"/>
        <family val="2"/>
      </rPr>
      <t xml:space="preserve">。</t>
    </r>
  </si>
  <si>
    <t xml:space="preserve">選擇醫院 →</t>
  </si>
  <si>
    <r>
      <rPr>
        <b val="true"/>
        <sz val="12"/>
        <color rgb="FF1F3864"/>
        <rFont val="Noto Sans CJK SC"/>
        <family val="2"/>
      </rPr>
      <t xml:space="preserve">（範例）省級綜合醫院</t>
    </r>
    <r>
      <rPr>
        <b val="true"/>
        <sz val="12"/>
        <color rgb="FF1F3864"/>
        <rFont val="Microsoft JhengHei"/>
        <family val="0"/>
        <charset val="1"/>
      </rPr>
      <t xml:space="preserve">A</t>
    </r>
  </si>
  <si>
    <t xml:space="preserve">　基本盤</t>
  </si>
  <si>
    <r>
      <rPr>
        <sz val="9.5"/>
        <color rgb="FF6B7280"/>
        <rFont val="Noto Sans CJK SC"/>
        <family val="2"/>
      </rPr>
      <t xml:space="preserve">越</t>
    </r>
    <r>
      <rPr>
        <sz val="9.5"/>
        <color rgb="FF6B7280"/>
        <rFont val="Microsoft JhengHei"/>
        <family val="0"/>
        <charset val="1"/>
      </rPr>
      <t xml:space="preserve">/</t>
    </r>
    <r>
      <rPr>
        <sz val="9.5"/>
        <color rgb="FF6B7280"/>
        <rFont val="Noto Sans CJK SC"/>
        <family val="2"/>
      </rPr>
      <t xml:space="preserve">英名稱</t>
    </r>
  </si>
  <si>
    <r>
      <rPr>
        <sz val="9.5"/>
        <color rgb="FF6B7280"/>
        <rFont val="Noto Sans CJK SC"/>
        <family val="2"/>
      </rPr>
      <t xml:space="preserve">省</t>
    </r>
    <r>
      <rPr>
        <sz val="9.5"/>
        <color rgb="FF6B7280"/>
        <rFont val="Microsoft JhengHei"/>
        <family val="0"/>
        <charset val="1"/>
      </rPr>
      <t xml:space="preserve">/</t>
    </r>
    <r>
      <rPr>
        <sz val="9.5"/>
        <color rgb="FF6B7280"/>
        <rFont val="Noto Sans CJK SC"/>
        <family val="2"/>
      </rPr>
      <t xml:space="preserve">市</t>
    </r>
  </si>
  <si>
    <t xml:space="preserve">　治理與金流（誰能簽、錢從哪來）</t>
  </si>
  <si>
    <t xml:space="preserve">財務自主</t>
  </si>
  <si>
    <t xml:space="preserve">　決策鏈（找對人）</t>
  </si>
  <si>
    <r>
      <rPr>
        <sz val="9.5"/>
        <color rgb="FF6B7280"/>
        <rFont val="Microsoft JhengHei"/>
        <family val="0"/>
        <charset val="1"/>
      </rPr>
      <t xml:space="preserve">IT/</t>
    </r>
    <r>
      <rPr>
        <sz val="9.5"/>
        <color rgb="FF6B7280"/>
        <rFont val="Noto Sans CJK SC"/>
        <family val="2"/>
      </rPr>
      <t xml:space="preserve">設備主管</t>
    </r>
  </si>
  <si>
    <t xml:space="preserve">引薦路徑</t>
  </si>
  <si>
    <t xml:space="preserve">　現況系統（切入點）</t>
  </si>
  <si>
    <r>
      <rPr>
        <sz val="9.5"/>
        <color rgb="FF6B7280"/>
        <rFont val="Microsoft JhengHei"/>
        <family val="0"/>
        <charset val="1"/>
      </rPr>
      <t xml:space="preserve">HIS</t>
    </r>
    <r>
      <rPr>
        <sz val="9.5"/>
        <color rgb="FF6B7280"/>
        <rFont val="Noto Sans CJK SC"/>
        <family val="2"/>
      </rPr>
      <t xml:space="preserve">廠商</t>
    </r>
  </si>
  <si>
    <r>
      <rPr>
        <sz val="9.5"/>
        <color rgb="FF6B7280"/>
        <rFont val="Microsoft JhengHei"/>
        <family val="0"/>
        <charset val="1"/>
      </rPr>
      <t xml:space="preserve">EMR</t>
    </r>
    <r>
      <rPr>
        <sz val="9.5"/>
        <color rgb="FF6B7280"/>
        <rFont val="Noto Sans CJK SC"/>
        <family val="2"/>
      </rPr>
      <t xml:space="preserve">狀態</t>
    </r>
  </si>
  <si>
    <t xml:space="preserve">機房現況</t>
  </si>
  <si>
    <r>
      <rPr>
        <sz val="9.5"/>
        <color rgb="FF6B7280"/>
        <rFont val="Microsoft JhengHei"/>
        <family val="0"/>
        <charset val="1"/>
      </rPr>
      <t xml:space="preserve">BMS/</t>
    </r>
    <r>
      <rPr>
        <sz val="9.5"/>
        <color rgb="FF6B7280"/>
        <rFont val="Noto Sans CJK SC"/>
        <family val="2"/>
      </rPr>
      <t xml:space="preserve">弱電</t>
    </r>
  </si>
  <si>
    <t xml:space="preserve">供應商到期</t>
  </si>
  <si>
    <t xml:space="preserve">　商機與行動</t>
  </si>
  <si>
    <r>
      <rPr>
        <sz val="9.5"/>
        <color rgb="FF6B7280"/>
        <rFont val="Noto Sans CJK SC"/>
        <family val="2"/>
      </rPr>
      <t xml:space="preserve">新建</t>
    </r>
    <r>
      <rPr>
        <sz val="9.5"/>
        <color rgb="FF6B7280"/>
        <rFont val="Microsoft JhengHei"/>
        <family val="0"/>
        <charset val="1"/>
      </rPr>
      <t xml:space="preserve">/</t>
    </r>
    <r>
      <rPr>
        <sz val="9.5"/>
        <color rgb="FF6B7280"/>
        <rFont val="Noto Sans CJK SC"/>
        <family val="2"/>
      </rPr>
      <t xml:space="preserve">改建</t>
    </r>
  </si>
  <si>
    <r>
      <rPr>
        <sz val="9.5"/>
        <color rgb="FF6B7280"/>
        <rFont val="Noto Sans CJK SC"/>
        <family val="2"/>
      </rPr>
      <t xml:space="preserve">痛點</t>
    </r>
    <r>
      <rPr>
        <sz val="9.5"/>
        <color rgb="FF6B7280"/>
        <rFont val="Microsoft JhengHei"/>
        <family val="0"/>
        <charset val="1"/>
      </rPr>
      <t xml:space="preserve">/</t>
    </r>
    <r>
      <rPr>
        <sz val="9.5"/>
        <color rgb="FF6B7280"/>
        <rFont val="Noto Sans CJK SC"/>
        <family val="2"/>
      </rPr>
      <t xml:space="preserve">觸發</t>
    </r>
  </si>
  <si>
    <t xml:space="preserve">目標商機</t>
  </si>
  <si>
    <r>
      <rPr>
        <sz val="9.5"/>
        <color rgb="FF6B7280"/>
        <rFont val="Microsoft JhengHei"/>
        <family val="0"/>
        <charset val="1"/>
      </rPr>
      <t xml:space="preserve">EVN</t>
    </r>
    <r>
      <rPr>
        <sz val="9.5"/>
        <color rgb="FF6B7280"/>
        <rFont val="Noto Sans CJK SC"/>
        <family val="2"/>
      </rPr>
      <t xml:space="preserve">帳單</t>
    </r>
  </si>
  <si>
    <t xml:space="preserve">最後接觸</t>
  </si>
  <si>
    <t xml:space="preserve">下一步</t>
  </si>
  <si>
    <t xml:space="preserve">★ 這一頁全部唯讀；要改內容回「醫院名錄」改，這裡自動更新。</t>
  </si>
  <si>
    <r>
      <rPr>
        <b val="true"/>
        <sz val="15"/>
        <color rgb="FF1F3864"/>
        <rFont val="Noto Sans CJK SC"/>
        <family val="2"/>
      </rPr>
      <t xml:space="preserve">機會資格審查｜</t>
    </r>
    <r>
      <rPr>
        <b val="true"/>
        <sz val="15"/>
        <color rgb="FF1F3864"/>
        <rFont val="Microsoft JhengHei"/>
        <family val="0"/>
        <charset val="1"/>
      </rPr>
      <t xml:space="preserve">Qualification Scorecard</t>
    </r>
    <r>
      <rPr>
        <b val="true"/>
        <sz val="15"/>
        <color rgb="FF1F3864"/>
        <rFont val="Noto Sans CJK SC"/>
        <family val="2"/>
      </rPr>
      <t xml:space="preserve">（一案一列，</t>
    </r>
    <r>
      <rPr>
        <b val="true"/>
        <sz val="15"/>
        <color rgb="FF1F3864"/>
        <rFont val="Microsoft JhengHei"/>
        <family val="0"/>
        <charset val="1"/>
      </rPr>
      <t xml:space="preserve">10 </t>
    </r>
    <r>
      <rPr>
        <b val="true"/>
        <sz val="15"/>
        <color rgb="FF1F3864"/>
        <rFont val="Noto Sans CJK SC"/>
        <family val="2"/>
      </rPr>
      <t xml:space="preserve">題 </t>
    </r>
    <r>
      <rPr>
        <b val="true"/>
        <sz val="15"/>
        <color rgb="FF1F3864"/>
        <rFont val="Microsoft JhengHei"/>
        <family val="0"/>
        <charset val="1"/>
      </rPr>
      <t xml:space="preserve">× 0/1/2 </t>
    </r>
    <r>
      <rPr>
        <b val="true"/>
        <sz val="15"/>
        <color rgb="FF1F3864"/>
        <rFont val="Noto Sans CJK SC"/>
        <family val="2"/>
      </rPr>
      <t xml:space="preserve">分，</t>
    </r>
    <r>
      <rPr>
        <b val="true"/>
        <sz val="15"/>
        <color rgb="FF1F3864"/>
        <rFont val="Microsoft JhengHei"/>
        <family val="0"/>
        <charset val="1"/>
      </rPr>
      <t xml:space="preserve">10 </t>
    </r>
    <r>
      <rPr>
        <b val="true"/>
        <sz val="15"/>
        <color rgb="FF1F3864"/>
        <rFont val="Noto Sans CJK SC"/>
        <family val="2"/>
      </rPr>
      <t xml:space="preserve">分鐘填完）</t>
    </r>
  </si>
  <si>
    <r>
      <rPr>
        <sz val="10"/>
        <color rgb="FF6B7280"/>
        <rFont val="Noto Sans CJK SC"/>
        <family val="2"/>
      </rPr>
      <t xml:space="preserve">❓這頁在回答：這個案子值得投入嗎？　規則：總分≥</t>
    </r>
    <r>
      <rPr>
        <sz val="10"/>
        <color rgb="FF6B7280"/>
        <rFont val="Microsoft JhengHei"/>
        <family val="0"/>
        <charset val="1"/>
      </rPr>
      <t xml:space="preserve">14 </t>
    </r>
    <r>
      <rPr>
        <sz val="10"/>
        <color rgb="FF6B7280"/>
        <rFont val="Noto Sans CJK SC"/>
        <family val="2"/>
      </rPr>
      <t xml:space="preserve">積極爭取｜</t>
    </r>
    <r>
      <rPr>
        <sz val="10"/>
        <color rgb="FF6B7280"/>
        <rFont val="Microsoft JhengHei"/>
        <family val="0"/>
        <charset val="1"/>
      </rPr>
      <t xml:space="preserve">10–13 </t>
    </r>
    <r>
      <rPr>
        <sz val="10"/>
        <color rgb="FF6B7280"/>
        <rFont val="Noto Sans CJK SC"/>
        <family val="2"/>
      </rPr>
      <t xml:space="preserve">觀察培養｜</t>
    </r>
    <r>
      <rPr>
        <sz val="10"/>
        <color rgb="FF6B7280"/>
        <rFont val="Microsoft JhengHei"/>
        <family val="0"/>
        <charset val="1"/>
      </rPr>
      <t xml:space="preserve">&lt;10 </t>
    </r>
    <r>
      <rPr>
        <sz val="10"/>
        <color rgb="FF6B7280"/>
        <rFont val="Noto Sans CJK SC"/>
        <family val="2"/>
      </rPr>
      <t xml:space="preserve">暫停。★ </t>
    </r>
    <r>
      <rPr>
        <sz val="10"/>
        <color rgb="FF6B7280"/>
        <rFont val="Microsoft JhengHei"/>
        <family val="0"/>
        <charset val="1"/>
      </rPr>
      <t xml:space="preserve">Q1 </t>
    </r>
    <r>
      <rPr>
        <sz val="10"/>
        <color rgb="FF6B7280"/>
        <rFont val="Noto Sans CJK SC"/>
        <family val="2"/>
      </rPr>
      <t xml:space="preserve">預算或 </t>
    </r>
    <r>
      <rPr>
        <sz val="10"/>
        <color rgb="FF6B7280"/>
        <rFont val="Microsoft JhengHei"/>
        <family val="0"/>
        <charset val="1"/>
      </rPr>
      <t xml:space="preserve">Q6 </t>
    </r>
    <r>
      <rPr>
        <sz val="10"/>
        <color rgb="FF6B7280"/>
        <rFont val="Noto Sans CJK SC"/>
        <family val="2"/>
      </rPr>
      <t xml:space="preserve">付款風險為 </t>
    </r>
    <r>
      <rPr>
        <sz val="10"/>
        <color rgb="FF6B7280"/>
        <rFont val="Microsoft JhengHei"/>
        <family val="0"/>
        <charset val="1"/>
      </rPr>
      <t xml:space="preserve">0 → </t>
    </r>
    <r>
      <rPr>
        <sz val="10"/>
        <color rgb="FF6B7280"/>
        <rFont val="Noto Sans CJK SC"/>
        <family val="2"/>
      </rPr>
      <t xml:space="preserve">無論總分一律暫停。評分錨點見「審查標準」分頁。</t>
    </r>
  </si>
  <si>
    <r>
      <rPr>
        <b val="true"/>
        <sz val="10"/>
        <color rgb="FFFFFFFF"/>
        <rFont val="Noto Sans CJK SC"/>
        <family val="2"/>
      </rPr>
      <t xml:space="preserve">案件</t>
    </r>
    <r>
      <rPr>
        <b val="true"/>
        <sz val="10"/>
        <color rgb="FFFFFFFF"/>
        <rFont val="Microsoft JhengHei"/>
        <family val="0"/>
        <charset val="1"/>
      </rPr>
      <t xml:space="preserve">ID</t>
    </r>
  </si>
  <si>
    <t xml:space="preserve">醫院</t>
  </si>
  <si>
    <t xml:space="preserve">案件說明</t>
  </si>
  <si>
    <r>
      <rPr>
        <b val="true"/>
        <sz val="10"/>
        <color rgb="FFFFFFFF"/>
        <rFont val="Microsoft JhengHei"/>
        <family val="0"/>
        <charset val="1"/>
      </rPr>
      <t xml:space="preserve">Q1
</t>
    </r>
    <r>
      <rPr>
        <b val="true"/>
        <sz val="10"/>
        <color rgb="FFFFFFFF"/>
        <rFont val="Noto Sans CJK SC"/>
        <family val="2"/>
      </rPr>
      <t xml:space="preserve">預算</t>
    </r>
  </si>
  <si>
    <r>
      <rPr>
        <b val="true"/>
        <sz val="10"/>
        <color rgb="FFFFFFFF"/>
        <rFont val="Microsoft JhengHei"/>
        <family val="0"/>
        <charset val="1"/>
      </rPr>
      <t xml:space="preserve">Q2
</t>
    </r>
    <r>
      <rPr>
        <b val="true"/>
        <sz val="10"/>
        <color rgb="FFFFFFFF"/>
        <rFont val="Noto Sans CJK SC"/>
        <family val="2"/>
      </rPr>
      <t xml:space="preserve">管道</t>
    </r>
  </si>
  <si>
    <r>
      <rPr>
        <b val="true"/>
        <sz val="10"/>
        <color rgb="FFFFFFFF"/>
        <rFont val="Microsoft JhengHei"/>
        <family val="0"/>
        <charset val="1"/>
      </rPr>
      <t xml:space="preserve">Q3
</t>
    </r>
    <r>
      <rPr>
        <b val="true"/>
        <sz val="10"/>
        <color rgb="FFFFFFFF"/>
        <rFont val="Noto Sans CJK SC"/>
        <family val="2"/>
      </rPr>
      <t xml:space="preserve">觸發</t>
    </r>
  </si>
  <si>
    <r>
      <rPr>
        <b val="true"/>
        <sz val="10"/>
        <color rgb="FFFFFFFF"/>
        <rFont val="Microsoft JhengHei"/>
        <family val="0"/>
        <charset val="1"/>
      </rPr>
      <t xml:space="preserve">Q4
</t>
    </r>
    <r>
      <rPr>
        <b val="true"/>
        <sz val="10"/>
        <color rgb="FFFFFFFF"/>
        <rFont val="Noto Sans CJK SC"/>
        <family val="2"/>
      </rPr>
      <t xml:space="preserve">匹配</t>
    </r>
  </si>
  <si>
    <r>
      <rPr>
        <b val="true"/>
        <sz val="10"/>
        <color rgb="FFFFFFFF"/>
        <rFont val="Microsoft JhengHei"/>
        <family val="0"/>
        <charset val="1"/>
      </rPr>
      <t xml:space="preserve">Q5
</t>
    </r>
    <r>
      <rPr>
        <b val="true"/>
        <sz val="10"/>
        <color rgb="FFFFFFFF"/>
        <rFont val="Noto Sans CJK SC"/>
        <family val="2"/>
      </rPr>
      <t xml:space="preserve">競爭</t>
    </r>
  </si>
  <si>
    <r>
      <rPr>
        <b val="true"/>
        <sz val="10"/>
        <color rgb="FFFFFFFF"/>
        <rFont val="Microsoft JhengHei"/>
        <family val="0"/>
        <charset val="1"/>
      </rPr>
      <t xml:space="preserve">Q6
</t>
    </r>
    <r>
      <rPr>
        <b val="true"/>
        <sz val="10"/>
        <color rgb="FFFFFFFF"/>
        <rFont val="Noto Sans CJK SC"/>
        <family val="2"/>
      </rPr>
      <t xml:space="preserve">付款</t>
    </r>
  </si>
  <si>
    <r>
      <rPr>
        <b val="true"/>
        <sz val="10"/>
        <color rgb="FFFFFFFF"/>
        <rFont val="Microsoft JhengHei"/>
        <family val="0"/>
        <charset val="1"/>
      </rPr>
      <t xml:space="preserve">Q7
</t>
    </r>
    <r>
      <rPr>
        <b val="true"/>
        <sz val="10"/>
        <color rgb="FFFFFFFF"/>
        <rFont val="Noto Sans CJK SC"/>
        <family val="2"/>
      </rPr>
      <t xml:space="preserve">資源</t>
    </r>
  </si>
  <si>
    <r>
      <rPr>
        <b val="true"/>
        <sz val="10"/>
        <color rgb="FFFFFFFF"/>
        <rFont val="Microsoft JhengHei"/>
        <family val="0"/>
        <charset val="1"/>
      </rPr>
      <t xml:space="preserve">Q8
</t>
    </r>
    <r>
      <rPr>
        <b val="true"/>
        <sz val="10"/>
        <color rgb="FFFFFFFF"/>
        <rFont val="Noto Sans CJK SC"/>
        <family val="2"/>
      </rPr>
      <t xml:space="preserve">在地</t>
    </r>
  </si>
  <si>
    <r>
      <rPr>
        <b val="true"/>
        <sz val="10"/>
        <color rgb="FFFFFFFF"/>
        <rFont val="Microsoft JhengHei"/>
        <family val="0"/>
        <charset val="1"/>
      </rPr>
      <t xml:space="preserve">Q9
</t>
    </r>
    <r>
      <rPr>
        <b val="true"/>
        <sz val="10"/>
        <color rgb="FFFFFFFF"/>
        <rFont val="Noto Sans CJK SC"/>
        <family val="2"/>
      </rPr>
      <t xml:space="preserve">時程</t>
    </r>
  </si>
  <si>
    <r>
      <rPr>
        <b val="true"/>
        <sz val="10"/>
        <color rgb="FFFFFFFF"/>
        <rFont val="Microsoft JhengHei"/>
        <family val="0"/>
        <charset val="1"/>
      </rPr>
      <t xml:space="preserve">Q10
</t>
    </r>
    <r>
      <rPr>
        <b val="true"/>
        <sz val="10"/>
        <color rgb="FFFFFFFF"/>
        <rFont val="Noto Sans CJK SC"/>
        <family val="2"/>
      </rPr>
      <t xml:space="preserve">戰略</t>
    </r>
  </si>
  <si>
    <t xml:space="preserve">總分</t>
  </si>
  <si>
    <t xml:space="preserve">判定</t>
  </si>
  <si>
    <t xml:space="preserve">狀態</t>
  </si>
  <si>
    <t xml:space="preserve">C-001</t>
  </si>
  <si>
    <r>
      <rPr>
        <sz val="9"/>
        <rFont val="Microsoft JhengHei"/>
        <family val="0"/>
        <charset val="1"/>
      </rPr>
      <t xml:space="preserve">OPP-26 </t>
    </r>
    <r>
      <rPr>
        <sz val="9"/>
        <rFont val="Noto Sans CJK SC"/>
        <family val="2"/>
      </rPr>
      <t xml:space="preserve">智慧院區</t>
    </r>
    <r>
      <rPr>
        <sz val="9"/>
        <rFont val="Microsoft JhengHei"/>
        <family val="0"/>
        <charset val="1"/>
      </rPr>
      <t xml:space="preserve">AIoT</t>
    </r>
    <r>
      <rPr>
        <sz val="9"/>
        <rFont val="Noto Sans CJK SC"/>
        <family val="2"/>
      </rPr>
      <t xml:space="preserve">（</t>
    </r>
    <r>
      <rPr>
        <sz val="9"/>
        <rFont val="Microsoft JhengHei"/>
        <family val="0"/>
        <charset val="1"/>
      </rPr>
      <t xml:space="preserve">BMS</t>
    </r>
    <r>
      <rPr>
        <sz val="9"/>
        <rFont val="Noto Sans CJK SC"/>
        <family val="2"/>
      </rPr>
      <t xml:space="preserve">／</t>
    </r>
    <r>
      <rPr>
        <sz val="9"/>
        <rFont val="Microsoft JhengHei"/>
        <family val="0"/>
        <charset val="1"/>
      </rPr>
      <t xml:space="preserve">RTLS</t>
    </r>
    <r>
      <rPr>
        <sz val="9"/>
        <rFont val="Noto Sans CJK SC"/>
        <family val="2"/>
      </rPr>
      <t xml:space="preserve">／智慧病房）</t>
    </r>
  </si>
  <si>
    <t xml:space="preserve">二期新大樓智慧化整包</t>
  </si>
  <si>
    <t xml:space="preserve">現勘＋索取機電圖說</t>
  </si>
  <si>
    <t xml:space="preserve">2026-09-30</t>
  </si>
  <si>
    <t xml:space="preserve">進行中</t>
  </si>
  <si>
    <r>
      <rPr>
        <sz val="9"/>
        <rFont val="Noto Sans CJK SC"/>
        <family val="2"/>
      </rPr>
      <t xml:space="preserve">搭 </t>
    </r>
    <r>
      <rPr>
        <sz val="9"/>
        <rFont val="Microsoft JhengHei"/>
        <family val="0"/>
        <charset val="1"/>
      </rPr>
      <t xml:space="preserve">QCVN 04-3 </t>
    </r>
    <r>
      <rPr>
        <sz val="9"/>
        <rFont val="Noto Sans CJK SC"/>
        <family val="2"/>
      </rPr>
      <t xml:space="preserve">生效時程</t>
    </r>
  </si>
  <si>
    <t xml:space="preserve">C-002</t>
  </si>
  <si>
    <t xml:space="preserve">C-003</t>
  </si>
  <si>
    <t xml:space="preserve">C-004</t>
  </si>
  <si>
    <t xml:space="preserve">C-005</t>
  </si>
  <si>
    <t xml:space="preserve">C-006</t>
  </si>
  <si>
    <t xml:space="preserve">C-007</t>
  </si>
  <si>
    <t xml:space="preserve">C-008</t>
  </si>
  <si>
    <t xml:space="preserve">C-009</t>
  </si>
  <si>
    <t xml:space="preserve">C-010</t>
  </si>
  <si>
    <t xml:space="preserve">C-011</t>
  </si>
  <si>
    <t xml:space="preserve">C-012</t>
  </si>
  <si>
    <t xml:space="preserve">C-013</t>
  </si>
  <si>
    <t xml:space="preserve">C-014</t>
  </si>
  <si>
    <t xml:space="preserve">C-015</t>
  </si>
  <si>
    <t xml:space="preserve">C-016</t>
  </si>
  <si>
    <t xml:space="preserve">C-017</t>
  </si>
  <si>
    <t xml:space="preserve">C-018</t>
  </si>
  <si>
    <t xml:space="preserve">C-019</t>
  </si>
  <si>
    <t xml:space="preserve">C-020</t>
  </si>
  <si>
    <t xml:space="preserve">C-021</t>
  </si>
  <si>
    <t xml:space="preserve">C-022</t>
  </si>
  <si>
    <t xml:space="preserve">C-023</t>
  </si>
  <si>
    <t xml:space="preserve">C-024</t>
  </si>
  <si>
    <t xml:space="preserve">C-025</t>
  </si>
  <si>
    <t xml:space="preserve">C-026</t>
  </si>
  <si>
    <t xml:space="preserve">C-027</t>
  </si>
  <si>
    <t xml:space="preserve">C-028</t>
  </si>
  <si>
    <t xml:space="preserve">C-029</t>
  </si>
  <si>
    <t xml:space="preserve">C-030</t>
  </si>
  <si>
    <t xml:space="preserve">C-031</t>
  </si>
  <si>
    <r>
      <rPr>
        <b val="true"/>
        <sz val="15"/>
        <color rgb="FF1F3864"/>
        <rFont val="Noto Sans CJK SC"/>
        <family val="2"/>
      </rPr>
      <t xml:space="preserve">審查標準｜評分錨點（</t>
    </r>
    <r>
      <rPr>
        <b val="true"/>
        <sz val="15"/>
        <color rgb="FF1F3864"/>
        <rFont val="Microsoft JhengHei"/>
        <family val="0"/>
        <charset val="1"/>
      </rPr>
      <t xml:space="preserve">10 </t>
    </r>
    <r>
      <rPr>
        <b val="true"/>
        <sz val="15"/>
        <color rgb="FF1F3864"/>
        <rFont val="Noto Sans CJK SC"/>
        <family val="2"/>
      </rPr>
      <t xml:space="preserve">題，每題 </t>
    </r>
    <r>
      <rPr>
        <b val="true"/>
        <sz val="15"/>
        <color rgb="FF1F3864"/>
        <rFont val="Microsoft JhengHei"/>
        <family val="0"/>
        <charset val="1"/>
      </rPr>
      <t xml:space="preserve">0/1/2 </t>
    </r>
    <r>
      <rPr>
        <b val="true"/>
        <sz val="15"/>
        <color rgb="FF1F3864"/>
        <rFont val="Noto Sans CJK SC"/>
        <family val="2"/>
      </rPr>
      <t xml:space="preserve">分——照著錨點打，不同人打分才會一致）</t>
    </r>
  </si>
  <si>
    <t xml:space="preserve">題</t>
  </si>
  <si>
    <t xml:space="preserve">面向</t>
  </si>
  <si>
    <r>
      <rPr>
        <b val="true"/>
        <sz val="10"/>
        <color rgb="FFFFFFFF"/>
        <rFont val="Microsoft JhengHei"/>
        <family val="0"/>
        <charset val="1"/>
      </rPr>
      <t xml:space="preserve">2 </t>
    </r>
    <r>
      <rPr>
        <b val="true"/>
        <sz val="10"/>
        <color rgb="FFFFFFFF"/>
        <rFont val="Noto Sans CJK SC"/>
        <family val="2"/>
      </rPr>
      <t xml:space="preserve">分</t>
    </r>
  </si>
  <si>
    <r>
      <rPr>
        <b val="true"/>
        <sz val="10"/>
        <color rgb="FFFFFFFF"/>
        <rFont val="Microsoft JhengHei"/>
        <family val="0"/>
        <charset val="1"/>
      </rPr>
      <t xml:space="preserve">1 </t>
    </r>
    <r>
      <rPr>
        <b val="true"/>
        <sz val="10"/>
        <color rgb="FFFFFFFF"/>
        <rFont val="Noto Sans CJK SC"/>
        <family val="2"/>
      </rPr>
      <t xml:space="preserve">分</t>
    </r>
  </si>
  <si>
    <r>
      <rPr>
        <b val="true"/>
        <sz val="10"/>
        <color rgb="FFFFFFFF"/>
        <rFont val="Microsoft JhengHei"/>
        <family val="0"/>
        <charset val="1"/>
      </rPr>
      <t xml:space="preserve">0 </t>
    </r>
    <r>
      <rPr>
        <b val="true"/>
        <sz val="10"/>
        <color rgb="FFFFFFFF"/>
        <rFont val="Noto Sans CJK SC"/>
        <family val="2"/>
      </rPr>
      <t xml:space="preserve">分</t>
    </r>
  </si>
  <si>
    <t xml:space="preserve">Q1</t>
  </si>
  <si>
    <t xml:space="preserve">有文號或已核定計畫，金額量級明確</t>
  </si>
  <si>
    <t xml:space="preserve">拍板者口頭承諾，來源方向清楚</t>
  </si>
  <si>
    <t xml:space="preserve">沒有可指認的預算來源</t>
  </si>
  <si>
    <t xml:space="preserve">Q2</t>
  </si>
  <si>
    <t xml:space="preserve">決策管道</t>
  </si>
  <si>
    <r>
      <rPr>
        <sz val="9"/>
        <rFont val="Noto Sans CJK SC"/>
        <family val="2"/>
      </rPr>
      <t xml:space="preserve">可直達拍板者（院長</t>
    </r>
    <r>
      <rPr>
        <sz val="9"/>
        <rFont val="Microsoft JhengHei"/>
        <family val="0"/>
        <charset val="1"/>
      </rPr>
      <t xml:space="preserve">/</t>
    </r>
    <r>
      <rPr>
        <sz val="9"/>
        <rFont val="Noto Sans CJK SC"/>
        <family val="2"/>
      </rPr>
      <t xml:space="preserve">董事會）</t>
    </r>
  </si>
  <si>
    <t xml:space="preserve">經一層引薦可達</t>
  </si>
  <si>
    <t xml:space="preserve">只認識承辦或事務層</t>
  </si>
  <si>
    <t xml:space="preserve">Q3</t>
  </si>
  <si>
    <t xml:space="preserve">觸發事件</t>
  </si>
  <si>
    <r>
      <rPr>
        <sz val="9"/>
        <rFont val="Noto Sans CJK SC"/>
        <family val="2"/>
      </rPr>
      <t xml:space="preserve">法規期限或已核定的新建</t>
    </r>
    <r>
      <rPr>
        <sz val="9"/>
        <rFont val="Microsoft JhengHei"/>
        <family val="0"/>
        <charset val="1"/>
      </rPr>
      <t xml:space="preserve">/</t>
    </r>
    <r>
      <rPr>
        <sz val="9"/>
        <rFont val="Noto Sans CJK SC"/>
        <family val="2"/>
      </rPr>
      <t xml:space="preserve">汰換計畫</t>
    </r>
  </si>
  <si>
    <t xml:space="preserve">明確痛點且院方主動提及</t>
  </si>
  <si>
    <t xml:space="preserve">只有我們認為他需要</t>
  </si>
  <si>
    <t xml:space="preserve">Q4</t>
  </si>
  <si>
    <t xml:space="preserve">能力匹配</t>
  </si>
  <si>
    <r>
      <rPr>
        <sz val="9"/>
        <rFont val="Microsoft JhengHei"/>
        <family val="0"/>
        <charset val="1"/>
      </rPr>
      <t xml:space="preserve">L2 </t>
    </r>
    <r>
      <rPr>
        <sz val="9"/>
        <rFont val="Noto Sans CJK SC"/>
        <family val="2"/>
      </rPr>
      <t xml:space="preserve">主場或聯盟缺口</t>
    </r>
    <r>
      <rPr>
        <sz val="9"/>
        <rFont val="Microsoft JhengHei"/>
        <family val="0"/>
        <charset val="1"/>
      </rPr>
      <t xml:space="preserve">=0 </t>
    </r>
    <r>
      <rPr>
        <sz val="9"/>
        <rFont val="Noto Sans CJK SC"/>
        <family val="2"/>
      </rPr>
      <t xml:space="preserve">的商機</t>
    </r>
  </si>
  <si>
    <t xml:space="preserve">聯盟能力可補、需要組隊</t>
  </si>
  <si>
    <t xml:space="preserve">缺口大、要找新夥伴</t>
  </si>
  <si>
    <t xml:space="preserve">Q5</t>
  </si>
  <si>
    <t xml:space="preserve">競爭態勢</t>
  </si>
  <si>
    <t xml:space="preserve">無深耕競爭者</t>
  </si>
  <si>
    <t xml:space="preserve">有競爭者但我方有明確切入角</t>
  </si>
  <si>
    <t xml:space="preserve">已被特定廠商鎖定多年</t>
  </si>
  <si>
    <t xml:space="preserve">Q6</t>
  </si>
  <si>
    <t xml:space="preserve">付款風險</t>
  </si>
  <si>
    <r>
      <rPr>
        <sz val="9"/>
        <rFont val="Noto Sans CJK SC"/>
        <family val="2"/>
      </rPr>
      <t xml:space="preserve">私立或 </t>
    </r>
    <r>
      <rPr>
        <sz val="9"/>
        <rFont val="Microsoft JhengHei"/>
        <family val="0"/>
        <charset val="1"/>
      </rPr>
      <t xml:space="preserve">Nhóm 1 </t>
    </r>
    <r>
      <rPr>
        <sz val="9"/>
        <rFont val="Noto Sans CJK SC"/>
        <family val="2"/>
      </rPr>
      <t xml:space="preserve">全自主</t>
    </r>
  </si>
  <si>
    <r>
      <rPr>
        <sz val="9"/>
        <rFont val="Microsoft JhengHei"/>
        <family val="0"/>
        <charset val="1"/>
      </rPr>
      <t xml:space="preserve">Nhóm 2 </t>
    </r>
    <r>
      <rPr>
        <sz val="9"/>
        <rFont val="Noto Sans CJK SC"/>
        <family val="2"/>
      </rPr>
      <t xml:space="preserve">或有專項撥款文號</t>
    </r>
  </si>
  <si>
    <t xml:space="preserve">依賴尚未核定的公務撥款</t>
  </si>
  <si>
    <t xml:space="preserve">Q7</t>
  </si>
  <si>
    <t xml:space="preserve">資源負擔</t>
  </si>
  <si>
    <t xml:space="preserve">現有人力可承接追案</t>
  </si>
  <si>
    <t xml:space="preserve">需增援一人或一夥伴</t>
  </si>
  <si>
    <t xml:space="preserve">超出現階段負荷</t>
  </si>
  <si>
    <t xml:space="preserve">Q8</t>
  </si>
  <si>
    <t xml:space="preserve">在地支持</t>
  </si>
  <si>
    <t xml:space="preserve">有引薦人＋在地夥伴可動員</t>
  </si>
  <si>
    <t xml:space="preserve">兩者有其一</t>
  </si>
  <si>
    <t xml:space="preserve">兩者皆無</t>
  </si>
  <si>
    <t xml:space="preserve">Q9</t>
  </si>
  <si>
    <t xml:space="preserve">時程可行</t>
  </si>
  <si>
    <r>
      <rPr>
        <sz val="9"/>
        <rFont val="Noto Sans CJK SC"/>
        <family val="2"/>
      </rPr>
      <t xml:space="preserve">決策窗口 ≥ 我方準備時間</t>
    </r>
    <r>
      <rPr>
        <sz val="9"/>
        <rFont val="Microsoft JhengHei"/>
        <family val="0"/>
        <charset val="1"/>
      </rPr>
      <t xml:space="preserve">×1.5</t>
    </r>
  </si>
  <si>
    <t xml:space="preserve">窗口緊但來得及</t>
  </si>
  <si>
    <r>
      <rPr>
        <sz val="9"/>
        <rFont val="Noto Sans CJK SC"/>
        <family val="2"/>
      </rPr>
      <t xml:space="preserve">趕不上（例：標案剩</t>
    </r>
    <r>
      <rPr>
        <sz val="9"/>
        <rFont val="Microsoft JhengHei"/>
        <family val="0"/>
        <charset val="1"/>
      </rPr>
      <t xml:space="preserve">&lt;14</t>
    </r>
    <r>
      <rPr>
        <sz val="9"/>
        <rFont val="Noto Sans CJK SC"/>
        <family val="2"/>
      </rPr>
      <t xml:space="preserve">天且資格文件未備）</t>
    </r>
  </si>
  <si>
    <t xml:space="preserve">Q10</t>
  </si>
  <si>
    <t xml:space="preserve">戰略價值</t>
  </si>
  <si>
    <t xml:space="preserve">首案示範性＋可複製到其他醫院</t>
  </si>
  <si>
    <t xml:space="preserve">單案有利潤</t>
  </si>
  <si>
    <t xml:space="preserve">拿下也無後續價值</t>
  </si>
  <si>
    <t xml:space="preserve">判定規則</t>
  </si>
  <si>
    <r>
      <rPr>
        <sz val="10"/>
        <rFont val="Noto Sans CJK SC"/>
        <family val="2"/>
      </rPr>
      <t xml:space="preserve">・總分 ≥</t>
    </r>
    <r>
      <rPr>
        <sz val="10"/>
        <rFont val="Microsoft JhengHei"/>
        <family val="0"/>
        <charset val="1"/>
      </rPr>
      <t xml:space="preserve">14</t>
    </r>
    <r>
      <rPr>
        <sz val="10"/>
        <rFont val="Noto Sans CJK SC"/>
        <family val="2"/>
      </rPr>
      <t xml:space="preserve">：積極爭取——進入 </t>
    </r>
    <r>
      <rPr>
        <sz val="10"/>
        <rFont val="Microsoft JhengHei"/>
        <family val="0"/>
        <charset val="1"/>
      </rPr>
      <t xml:space="preserve">P1 </t>
    </r>
    <r>
      <rPr>
        <sz val="10"/>
        <rFont val="Noto Sans CJK SC"/>
        <family val="2"/>
      </rPr>
      <t xml:space="preserve">接觸探索，建立作戰檔案完整版</t>
    </r>
  </si>
  <si>
    <r>
      <rPr>
        <sz val="10"/>
        <rFont val="Noto Sans CJK SC"/>
        <family val="2"/>
      </rPr>
      <t xml:space="preserve">・總分 </t>
    </r>
    <r>
      <rPr>
        <sz val="10"/>
        <rFont val="Microsoft JhengHei"/>
        <family val="0"/>
        <charset val="1"/>
      </rPr>
      <t xml:space="preserve">10–13</t>
    </r>
    <r>
      <rPr>
        <sz val="10"/>
        <rFont val="Noto Sans CJK SC"/>
        <family val="2"/>
      </rPr>
      <t xml:space="preserve">：觀察培養——維持關係、等待觸發事件，每季重評</t>
    </r>
  </si>
  <si>
    <r>
      <rPr>
        <sz val="10"/>
        <rFont val="Noto Sans CJK SC"/>
        <family val="2"/>
      </rPr>
      <t xml:space="preserve">・總分 </t>
    </r>
    <r>
      <rPr>
        <sz val="10"/>
        <rFont val="Microsoft JhengHei"/>
        <family val="0"/>
        <charset val="1"/>
      </rPr>
      <t xml:space="preserve">&lt;10</t>
    </r>
    <r>
      <rPr>
        <sz val="10"/>
        <rFont val="Noto Sans CJK SC"/>
        <family val="2"/>
      </rPr>
      <t xml:space="preserve">：暫停——寫下「什麼條件改變才重看」，放回雷達</t>
    </r>
  </si>
  <si>
    <r>
      <rPr>
        <b val="true"/>
        <sz val="10"/>
        <color rgb="FFC0392B"/>
        <rFont val="Noto Sans CJK SC"/>
        <family val="2"/>
      </rPr>
      <t xml:space="preserve">・★ 一票否決：</t>
    </r>
    <r>
      <rPr>
        <b val="true"/>
        <sz val="10"/>
        <color rgb="FFC0392B"/>
        <rFont val="Microsoft JhengHei"/>
        <family val="0"/>
        <charset val="1"/>
      </rPr>
      <t xml:space="preserve">Q1 </t>
    </r>
    <r>
      <rPr>
        <b val="true"/>
        <sz val="10"/>
        <color rgb="FFC0392B"/>
        <rFont val="Noto Sans CJK SC"/>
        <family val="2"/>
      </rPr>
      <t xml:space="preserve">預算</t>
    </r>
    <r>
      <rPr>
        <b val="true"/>
        <sz val="10"/>
        <color rgb="FFC0392B"/>
        <rFont val="Microsoft JhengHei"/>
        <family val="0"/>
        <charset val="1"/>
      </rPr>
      <t xml:space="preserve">=0 </t>
    </r>
    <r>
      <rPr>
        <b val="true"/>
        <sz val="10"/>
        <color rgb="FFC0392B"/>
        <rFont val="Noto Sans CJK SC"/>
        <family val="2"/>
      </rPr>
      <t xml:space="preserve">或 </t>
    </r>
    <r>
      <rPr>
        <b val="true"/>
        <sz val="10"/>
        <color rgb="FFC0392B"/>
        <rFont val="Microsoft JhengHei"/>
        <family val="0"/>
        <charset val="1"/>
      </rPr>
      <t xml:space="preserve">Q6 </t>
    </r>
    <r>
      <rPr>
        <b val="true"/>
        <sz val="10"/>
        <color rgb="FFC0392B"/>
        <rFont val="Noto Sans CJK SC"/>
        <family val="2"/>
      </rPr>
      <t xml:space="preserve">付款</t>
    </r>
    <r>
      <rPr>
        <b val="true"/>
        <sz val="10"/>
        <color rgb="FFC0392B"/>
        <rFont val="Microsoft JhengHei"/>
        <family val="0"/>
        <charset val="1"/>
      </rPr>
      <t xml:space="preserve">=0</t>
    </r>
    <r>
      <rPr>
        <b val="true"/>
        <sz val="10"/>
        <color rgb="FFC0392B"/>
        <rFont val="Noto Sans CJK SC"/>
        <family val="2"/>
      </rPr>
      <t xml:space="preserve">，無論總分一律暫停。錢的問題不會因為熱情消失。</t>
    </r>
  </si>
  <si>
    <t xml:space="preserve">醫院屬性</t>
  </si>
  <si>
    <r>
      <rPr>
        <b val="true"/>
        <sz val="10"/>
        <rFont val="Microsoft JhengHei"/>
        <family val="0"/>
        <charset val="1"/>
      </rPr>
      <t xml:space="preserve">HIS</t>
    </r>
    <r>
      <rPr>
        <b val="true"/>
        <sz val="10"/>
        <rFont val="Noto Sans CJK SC"/>
        <family val="2"/>
      </rPr>
      <t xml:space="preserve">廠商</t>
    </r>
  </si>
  <si>
    <r>
      <rPr>
        <b val="true"/>
        <sz val="10"/>
        <rFont val="Microsoft JhengHei"/>
        <family val="0"/>
        <charset val="1"/>
      </rPr>
      <t xml:space="preserve">EMR</t>
    </r>
    <r>
      <rPr>
        <b val="true"/>
        <sz val="10"/>
        <rFont val="Noto Sans CJK SC"/>
        <family val="2"/>
      </rPr>
      <t xml:space="preserve">狀態</t>
    </r>
  </si>
  <si>
    <t xml:space="preserve">取得狀態</t>
  </si>
  <si>
    <t xml:space="preserve">分數</t>
  </si>
  <si>
    <t xml:space="preserve">案件狀態</t>
  </si>
  <si>
    <r>
      <rPr>
        <sz val="10"/>
        <rFont val="Noto Sans CJK SC"/>
        <family val="2"/>
      </rPr>
      <t xml:space="preserve">公立</t>
    </r>
    <r>
      <rPr>
        <sz val="10"/>
        <rFont val="Microsoft JhengHei"/>
        <family val="0"/>
        <charset val="1"/>
      </rPr>
      <t xml:space="preserve">-</t>
    </r>
    <r>
      <rPr>
        <sz val="10"/>
        <rFont val="Noto Sans CJK SC"/>
        <family val="2"/>
      </rPr>
      <t xml:space="preserve">中央直屬</t>
    </r>
  </si>
  <si>
    <r>
      <rPr>
        <sz val="10"/>
        <rFont val="Noto Sans CJK SC"/>
        <family val="2"/>
      </rPr>
      <t xml:space="preserve">專深 </t>
    </r>
    <r>
      <rPr>
        <sz val="10"/>
        <rFont val="Microsoft JhengHei"/>
        <family val="0"/>
        <charset val="1"/>
      </rPr>
      <t xml:space="preserve">Chuyên sâu</t>
    </r>
  </si>
  <si>
    <r>
      <rPr>
        <sz val="10"/>
        <rFont val="Microsoft JhengHei"/>
        <family val="0"/>
        <charset val="1"/>
      </rPr>
      <t xml:space="preserve">Nhóm 1 </t>
    </r>
    <r>
      <rPr>
        <sz val="10"/>
        <rFont val="Noto Sans CJK SC"/>
        <family val="2"/>
      </rPr>
      <t xml:space="preserve">全自主</t>
    </r>
    <r>
      <rPr>
        <sz val="10"/>
        <rFont val="Microsoft JhengHei"/>
        <family val="0"/>
        <charset val="1"/>
      </rPr>
      <t xml:space="preserve">(</t>
    </r>
    <r>
      <rPr>
        <sz val="10"/>
        <rFont val="Noto Sans CJK SC"/>
        <family val="2"/>
      </rPr>
      <t xml:space="preserve">含投資</t>
    </r>
    <r>
      <rPr>
        <sz val="10"/>
        <rFont val="Microsoft JhengHei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</si>
  <si>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強</t>
    </r>
    <r>
      <rPr>
        <sz val="10"/>
        <rFont val="Microsoft JhengHei"/>
        <family val="0"/>
        <charset val="1"/>
      </rPr>
      <t xml:space="preserve">(</t>
    </r>
    <r>
      <rPr>
        <sz val="10"/>
        <rFont val="Noto Sans CJK SC"/>
        <family val="2"/>
      </rPr>
      <t xml:space="preserve">可直達拍板者</t>
    </r>
    <r>
      <rPr>
        <sz val="10"/>
        <rFont val="Microsoft JhengHei"/>
        <family val="0"/>
        <charset val="1"/>
      </rPr>
      <t xml:space="preserve">)</t>
    </r>
  </si>
  <si>
    <t xml:space="preserve">FPT</t>
  </si>
  <si>
    <t xml:space="preserve">已上線</t>
  </si>
  <si>
    <t xml:space="preserve">已取得</t>
  </si>
  <si>
    <t xml:space="preserve">0</t>
  </si>
  <si>
    <r>
      <rPr>
        <sz val="9"/>
        <rFont val="Microsoft JhengHei"/>
        <family val="0"/>
        <charset val="1"/>
      </rPr>
      <t xml:space="preserve">OPP-01 </t>
    </r>
    <r>
      <rPr>
        <sz val="9"/>
        <rFont val="Noto Sans CJK SC"/>
        <family val="2"/>
      </rPr>
      <t xml:space="preserve">醫院投資規劃與</t>
    </r>
    <r>
      <rPr>
        <sz val="9"/>
        <rFont val="Microsoft JhengHei"/>
        <family val="0"/>
        <charset val="1"/>
      </rPr>
      <t xml:space="preserve">PPP</t>
    </r>
    <r>
      <rPr>
        <sz val="9"/>
        <rFont val="Noto Sans CJK SC"/>
        <family val="2"/>
      </rPr>
      <t xml:space="preserve">交易架構顧問</t>
    </r>
  </si>
  <si>
    <r>
      <rPr>
        <sz val="10"/>
        <rFont val="Noto Sans CJK SC"/>
        <family val="2"/>
      </rPr>
      <t xml:space="preserve">公立</t>
    </r>
    <r>
      <rPr>
        <sz val="10"/>
        <rFont val="Microsoft JhengHei"/>
        <family val="0"/>
        <charset val="1"/>
      </rPr>
      <t xml:space="preserve">-</t>
    </r>
    <r>
      <rPr>
        <sz val="10"/>
        <rFont val="Noto Sans CJK SC"/>
        <family val="2"/>
      </rPr>
      <t xml:space="preserve">省級</t>
    </r>
  </si>
  <si>
    <r>
      <rPr>
        <sz val="10"/>
        <rFont val="Noto Sans CJK SC"/>
        <family val="2"/>
      </rPr>
      <t xml:space="preserve">基本 </t>
    </r>
    <r>
      <rPr>
        <sz val="10"/>
        <rFont val="Microsoft JhengHei"/>
        <family val="0"/>
        <charset val="1"/>
      </rPr>
      <t xml:space="preserve">Cơ bản</t>
    </r>
  </si>
  <si>
    <r>
      <rPr>
        <sz val="10"/>
        <rFont val="Microsoft JhengHei"/>
        <family val="0"/>
        <charset val="1"/>
      </rPr>
      <t xml:space="preserve">Nhóm 2 </t>
    </r>
    <r>
      <rPr>
        <sz val="10"/>
        <rFont val="Noto Sans CJK SC"/>
        <family val="2"/>
      </rPr>
      <t xml:space="preserve">經常性支出自主</t>
    </r>
  </si>
  <si>
    <r>
      <rPr>
        <sz val="10"/>
        <rFont val="Noto Sans CJK SC"/>
        <family val="2"/>
      </rPr>
      <t xml:space="preserve">中</t>
    </r>
    <r>
      <rPr>
        <sz val="10"/>
        <rFont val="Microsoft JhengHei"/>
        <family val="0"/>
        <charset val="1"/>
      </rPr>
      <t xml:space="preserve">(</t>
    </r>
    <r>
      <rPr>
        <sz val="10"/>
        <rFont val="Noto Sans CJK SC"/>
        <family val="2"/>
      </rPr>
      <t xml:space="preserve">有引薦路徑</t>
    </r>
    <r>
      <rPr>
        <sz val="10"/>
        <rFont val="Microsoft JhengHei"/>
        <family val="0"/>
        <charset val="1"/>
      </rPr>
      <t xml:space="preserve">)</t>
    </r>
  </si>
  <si>
    <t xml:space="preserve">1</t>
  </si>
  <si>
    <t xml:space="preserve">暫停</t>
  </si>
  <si>
    <r>
      <rPr>
        <sz val="9"/>
        <rFont val="Microsoft JhengHei"/>
        <family val="0"/>
        <charset val="1"/>
      </rPr>
      <t xml:space="preserve">OPP-02 </t>
    </r>
    <r>
      <rPr>
        <sz val="9"/>
        <rFont val="Noto Sans CJK SC"/>
        <family val="2"/>
      </rPr>
      <t xml:space="preserve">臨床服務定位與營運模式規劃</t>
    </r>
  </si>
  <si>
    <r>
      <rPr>
        <sz val="10"/>
        <rFont val="Noto Sans CJK SC"/>
        <family val="2"/>
      </rPr>
      <t xml:space="preserve">公立</t>
    </r>
    <r>
      <rPr>
        <sz val="10"/>
        <rFont val="Microsoft JhengHei"/>
        <family val="0"/>
        <charset val="1"/>
      </rPr>
      <t xml:space="preserve">-</t>
    </r>
    <r>
      <rPr>
        <sz val="10"/>
        <rFont val="Noto Sans CJK SC"/>
        <family val="2"/>
      </rPr>
      <t xml:space="preserve">縣級</t>
    </r>
  </si>
  <si>
    <r>
      <rPr>
        <sz val="10"/>
        <rFont val="Noto Sans CJK SC"/>
        <family val="2"/>
      </rPr>
      <t xml:space="preserve">初級 </t>
    </r>
    <r>
      <rPr>
        <sz val="10"/>
        <rFont val="Microsoft JhengHei"/>
        <family val="0"/>
        <charset val="1"/>
      </rPr>
      <t xml:space="preserve">Ban đầu</t>
    </r>
  </si>
  <si>
    <r>
      <rPr>
        <sz val="10"/>
        <rFont val="Microsoft JhengHei"/>
        <family val="0"/>
        <charset val="1"/>
      </rPr>
      <t xml:space="preserve">Nhóm 3 </t>
    </r>
    <r>
      <rPr>
        <sz val="10"/>
        <rFont val="Noto Sans CJK SC"/>
        <family val="2"/>
      </rPr>
      <t xml:space="preserve">部分自主</t>
    </r>
  </si>
  <si>
    <r>
      <rPr>
        <sz val="10"/>
        <rFont val="Noto Sans CJK SC"/>
        <family val="2"/>
      </rPr>
      <t xml:space="preserve">弱</t>
    </r>
    <r>
      <rPr>
        <sz val="10"/>
        <rFont val="Microsoft JhengHei"/>
        <family val="0"/>
        <charset val="1"/>
      </rPr>
      <t xml:space="preserve">(</t>
    </r>
    <r>
      <rPr>
        <sz val="10"/>
        <rFont val="Noto Sans CJK SC"/>
        <family val="2"/>
      </rPr>
      <t xml:space="preserve">僅事務層</t>
    </r>
    <r>
      <rPr>
        <sz val="10"/>
        <rFont val="Microsoft JhengHei"/>
        <family val="0"/>
        <charset val="1"/>
      </rPr>
      <t xml:space="preserve">)</t>
    </r>
  </si>
  <si>
    <t xml:space="preserve">VNPT</t>
  </si>
  <si>
    <t xml:space="preserve">未達標</t>
  </si>
  <si>
    <t xml:space="preserve">未行動</t>
  </si>
  <si>
    <t xml:space="preserve">2</t>
  </si>
  <si>
    <r>
      <rPr>
        <sz val="10"/>
        <rFont val="Noto Sans CJK SC"/>
        <family val="2"/>
      </rPr>
      <t xml:space="preserve">結案</t>
    </r>
    <r>
      <rPr>
        <sz val="10"/>
        <rFont val="Microsoft JhengHei"/>
        <family val="0"/>
        <charset val="1"/>
      </rPr>
      <t xml:space="preserve">-</t>
    </r>
    <r>
      <rPr>
        <sz val="10"/>
        <rFont val="Noto Sans CJK SC"/>
        <family val="2"/>
      </rPr>
      <t xml:space="preserve">贏</t>
    </r>
  </si>
  <si>
    <r>
      <rPr>
        <sz val="9"/>
        <rFont val="Microsoft JhengHei"/>
        <family val="0"/>
        <charset val="1"/>
      </rPr>
      <t xml:space="preserve">OPP-03 </t>
    </r>
    <r>
      <rPr>
        <sz val="9"/>
        <rFont val="Noto Sans CJK SC"/>
        <family val="2"/>
      </rPr>
      <t xml:space="preserve">外資醫院綠地投資與經營</t>
    </r>
  </si>
  <si>
    <t xml:space="preserve">軍系</t>
  </si>
  <si>
    <t xml:space="preserve">未分級</t>
  </si>
  <si>
    <r>
      <rPr>
        <sz val="10"/>
        <rFont val="Microsoft JhengHei"/>
        <family val="0"/>
        <charset val="1"/>
      </rPr>
      <t xml:space="preserve">Nhóm 4 </t>
    </r>
    <r>
      <rPr>
        <sz val="10"/>
        <rFont val="Noto Sans CJK SC"/>
        <family val="2"/>
      </rPr>
      <t xml:space="preserve">全額補助</t>
    </r>
  </si>
  <si>
    <t xml:space="preserve">無</t>
  </si>
  <si>
    <t xml:space="preserve">自建</t>
  </si>
  <si>
    <t xml:space="preserve">未知</t>
  </si>
  <si>
    <r>
      <rPr>
        <sz val="10"/>
        <rFont val="Noto Sans CJK SC"/>
        <family val="2"/>
      </rPr>
      <t xml:space="preserve">結案</t>
    </r>
    <r>
      <rPr>
        <sz val="10"/>
        <rFont val="Microsoft JhengHei"/>
        <family val="0"/>
        <charset val="1"/>
      </rPr>
      <t xml:space="preserve">-</t>
    </r>
    <r>
      <rPr>
        <sz val="10"/>
        <rFont val="Noto Sans CJK SC"/>
        <family val="2"/>
      </rPr>
      <t xml:space="preserve">輸</t>
    </r>
  </si>
  <si>
    <r>
      <rPr>
        <sz val="9"/>
        <rFont val="Microsoft JhengHei"/>
        <family val="0"/>
        <charset val="1"/>
      </rPr>
      <t xml:space="preserve">OPP-04 </t>
    </r>
    <r>
      <rPr>
        <sz val="9"/>
        <rFont val="Noto Sans CJK SC"/>
        <family val="2"/>
      </rPr>
      <t xml:space="preserve">公立醫院合作經營高端診區</t>
    </r>
  </si>
  <si>
    <r>
      <rPr>
        <sz val="10"/>
        <rFont val="Noto Sans CJK SC"/>
        <family val="2"/>
      </rPr>
      <t xml:space="preserve">私立</t>
    </r>
    <r>
      <rPr>
        <sz val="10"/>
        <rFont val="Microsoft JhengHei"/>
        <family val="0"/>
        <charset val="1"/>
      </rPr>
      <t xml:space="preserve">-</t>
    </r>
    <r>
      <rPr>
        <sz val="10"/>
        <rFont val="Noto Sans CJK SC"/>
        <family val="2"/>
      </rPr>
      <t xml:space="preserve">集團</t>
    </r>
  </si>
  <si>
    <r>
      <rPr>
        <sz val="10"/>
        <rFont val="Noto Sans CJK SC"/>
        <family val="2"/>
      </rPr>
      <t xml:space="preserve">私立</t>
    </r>
    <r>
      <rPr>
        <sz val="10"/>
        <rFont val="Microsoft JhengHei"/>
        <family val="0"/>
        <charset val="1"/>
      </rPr>
      <t xml:space="preserve">(</t>
    </r>
    <r>
      <rPr>
        <sz val="10"/>
        <rFont val="Noto Sans CJK SC"/>
        <family val="2"/>
      </rPr>
      <t xml:space="preserve">不適用</t>
    </r>
    <r>
      <rPr>
        <sz val="10"/>
        <rFont val="Microsoft JhengHei"/>
        <family val="0"/>
        <charset val="1"/>
      </rPr>
      <t xml:space="preserve">)</t>
    </r>
  </si>
  <si>
    <t xml:space="preserve">其他</t>
  </si>
  <si>
    <r>
      <rPr>
        <sz val="10"/>
        <rFont val="Noto Sans CJK SC"/>
        <family val="2"/>
      </rPr>
      <t xml:space="preserve">結案</t>
    </r>
    <r>
      <rPr>
        <sz val="10"/>
        <rFont val="Microsoft JhengHei"/>
        <family val="0"/>
        <charset val="1"/>
      </rPr>
      <t xml:space="preserve">-</t>
    </r>
    <r>
      <rPr>
        <sz val="10"/>
        <rFont val="Noto Sans CJK SC"/>
        <family val="2"/>
      </rPr>
      <t xml:space="preserve">放棄</t>
    </r>
  </si>
  <si>
    <r>
      <rPr>
        <sz val="9"/>
        <rFont val="Microsoft JhengHei"/>
        <family val="0"/>
        <charset val="1"/>
      </rPr>
      <t xml:space="preserve">OPP-05 </t>
    </r>
    <r>
      <rPr>
        <sz val="9"/>
        <rFont val="Noto Sans CJK SC"/>
        <family val="2"/>
      </rPr>
      <t xml:space="preserve">省級醫院升級改造整案</t>
    </r>
  </si>
  <si>
    <r>
      <rPr>
        <sz val="10"/>
        <rFont val="Noto Sans CJK SC"/>
        <family val="2"/>
      </rPr>
      <t xml:space="preserve">私立</t>
    </r>
    <r>
      <rPr>
        <sz val="10"/>
        <rFont val="Microsoft JhengHei"/>
        <family val="0"/>
        <charset val="1"/>
      </rPr>
      <t xml:space="preserve">-</t>
    </r>
    <r>
      <rPr>
        <sz val="10"/>
        <rFont val="Noto Sans CJK SC"/>
        <family val="2"/>
      </rPr>
      <t xml:space="preserve">獨立</t>
    </r>
  </si>
  <si>
    <r>
      <rPr>
        <sz val="9"/>
        <rFont val="Microsoft JhengHei"/>
        <family val="0"/>
        <charset val="1"/>
      </rPr>
      <t xml:space="preserve">OPP-06 </t>
    </r>
    <r>
      <rPr>
        <sz val="9"/>
        <rFont val="Noto Sans CJK SC"/>
        <family val="2"/>
      </rPr>
      <t xml:space="preserve">醫院建築與院區總體規劃設計</t>
    </r>
  </si>
  <si>
    <r>
      <rPr>
        <sz val="9"/>
        <rFont val="Microsoft JhengHei"/>
        <family val="0"/>
        <charset val="1"/>
      </rPr>
      <t xml:space="preserve">OPP-07 </t>
    </r>
    <r>
      <rPr>
        <sz val="9"/>
        <rFont val="Noto Sans CJK SC"/>
        <family val="2"/>
      </rPr>
      <t xml:space="preserve">千床級醫院統包工程</t>
    </r>
    <r>
      <rPr>
        <sz val="9"/>
        <rFont val="Microsoft JhengHei"/>
        <family val="0"/>
        <charset val="1"/>
      </rPr>
      <t xml:space="preserve">(EPC)</t>
    </r>
  </si>
  <si>
    <r>
      <rPr>
        <sz val="9"/>
        <rFont val="Microsoft JhengHei"/>
        <family val="0"/>
        <charset val="1"/>
      </rPr>
      <t xml:space="preserve">OPP-08 </t>
    </r>
    <r>
      <rPr>
        <sz val="9"/>
        <rFont val="Noto Sans CJK SC"/>
        <family val="2"/>
      </rPr>
      <t xml:space="preserve">手術室與加護病房潔淨空調（模組化</t>
    </r>
    <r>
      <rPr>
        <sz val="9"/>
        <rFont val="Microsoft JhengHei"/>
        <family val="0"/>
        <charset val="1"/>
      </rPr>
      <t xml:space="preserve">OR</t>
    </r>
    <r>
      <rPr>
        <sz val="9"/>
        <rFont val="Noto Sans CJK SC"/>
        <family val="2"/>
      </rPr>
      <t xml:space="preserve">）</t>
    </r>
  </si>
  <si>
    <r>
      <rPr>
        <sz val="9"/>
        <rFont val="Microsoft JhengHei"/>
        <family val="0"/>
        <charset val="1"/>
      </rPr>
      <t xml:space="preserve">OPP-09 </t>
    </r>
    <r>
      <rPr>
        <sz val="9"/>
        <rFont val="Noto Sans CJK SC"/>
        <family val="2"/>
      </rPr>
      <t xml:space="preserve">醫用氣體與真空系統（含竣工確效）</t>
    </r>
  </si>
  <si>
    <r>
      <rPr>
        <sz val="9"/>
        <rFont val="Microsoft JhengHei"/>
        <family val="0"/>
        <charset val="1"/>
      </rPr>
      <t xml:space="preserve">OPP-10 </t>
    </r>
    <r>
      <rPr>
        <sz val="9"/>
        <rFont val="Noto Sans CJK SC"/>
        <family val="2"/>
      </rPr>
      <t xml:space="preserve">醫院供電韌性與隔離電源系統</t>
    </r>
  </si>
  <si>
    <r>
      <rPr>
        <sz val="9"/>
        <rFont val="Microsoft JhengHei"/>
        <family val="0"/>
        <charset val="1"/>
      </rPr>
      <t xml:space="preserve">OPP-11 </t>
    </r>
    <r>
      <rPr>
        <sz val="9"/>
        <rFont val="Noto Sans CJK SC"/>
        <family val="2"/>
      </rPr>
      <t xml:space="preserve">醫療廢水與廢棄物處理廠</t>
    </r>
  </si>
  <si>
    <r>
      <rPr>
        <sz val="9"/>
        <rFont val="Microsoft JhengHei"/>
        <family val="0"/>
        <charset val="1"/>
      </rPr>
      <t xml:space="preserve">OPP-12 </t>
    </r>
    <r>
      <rPr>
        <sz val="9"/>
        <rFont val="Noto Sans CJK SC"/>
        <family val="2"/>
      </rPr>
      <t xml:space="preserve">綠色醫院能源績效合約與屋頂光電</t>
    </r>
  </si>
  <si>
    <r>
      <rPr>
        <sz val="9"/>
        <rFont val="Microsoft JhengHei"/>
        <family val="0"/>
        <charset val="1"/>
      </rPr>
      <t xml:space="preserve">OPP-13 </t>
    </r>
    <r>
      <rPr>
        <sz val="9"/>
        <rFont val="Noto Sans CJK SC"/>
        <family val="2"/>
      </rPr>
      <t xml:space="preserve">消毒供應中心</t>
    </r>
    <r>
      <rPr>
        <sz val="9"/>
        <rFont val="Microsoft JhengHei"/>
        <family val="0"/>
        <charset val="1"/>
      </rPr>
      <t xml:space="preserve">(CSSD)</t>
    </r>
    <r>
      <rPr>
        <sz val="9"/>
        <rFont val="Noto Sans CJK SC"/>
        <family val="2"/>
      </rPr>
      <t xml:space="preserve">設備整廠</t>
    </r>
  </si>
  <si>
    <r>
      <rPr>
        <sz val="9"/>
        <rFont val="Microsoft JhengHei"/>
        <family val="0"/>
        <charset val="1"/>
      </rPr>
      <t xml:space="preserve">OPP-14 </t>
    </r>
    <r>
      <rPr>
        <sz val="9"/>
        <rFont val="Noto Sans CJK SC"/>
        <family val="2"/>
      </rPr>
      <t xml:space="preserve">影像設備整批交鑰匙（</t>
    </r>
    <r>
      <rPr>
        <sz val="9"/>
        <rFont val="Microsoft JhengHei"/>
        <family val="0"/>
        <charset val="1"/>
      </rPr>
      <t xml:space="preserve">CT/MRI/DSA</t>
    </r>
    <r>
      <rPr>
        <sz val="9"/>
        <rFont val="Noto Sans CJK SC"/>
        <family val="2"/>
      </rPr>
      <t xml:space="preserve">＋機房）</t>
    </r>
  </si>
  <si>
    <r>
      <rPr>
        <sz val="9"/>
        <rFont val="Microsoft JhengHei"/>
        <family val="0"/>
        <charset val="1"/>
      </rPr>
      <t xml:space="preserve">OPP-15 </t>
    </r>
    <r>
      <rPr>
        <sz val="9"/>
        <rFont val="Noto Sans CJK SC"/>
        <family val="2"/>
      </rPr>
      <t xml:space="preserve">放射腫瘤與核醫中心整廠</t>
    </r>
  </si>
  <si>
    <r>
      <rPr>
        <sz val="9"/>
        <rFont val="Microsoft JhengHei"/>
        <family val="0"/>
        <charset val="1"/>
      </rPr>
      <t xml:space="preserve">OPP-16 </t>
    </r>
    <r>
      <rPr>
        <sz val="9"/>
        <rFont val="Noto Sans CJK SC"/>
        <family val="2"/>
      </rPr>
      <t xml:space="preserve">心導管室與複合式手術室</t>
    </r>
  </si>
  <si>
    <r>
      <rPr>
        <sz val="9"/>
        <rFont val="Microsoft JhengHei"/>
        <family val="0"/>
        <charset val="1"/>
      </rPr>
      <t xml:space="preserve">OPP-17 </t>
    </r>
    <r>
      <rPr>
        <sz val="9"/>
        <rFont val="Noto Sans CJK SC"/>
        <family val="2"/>
      </rPr>
      <t xml:space="preserve">洗腎設備與水處理系統</t>
    </r>
  </si>
  <si>
    <r>
      <rPr>
        <sz val="9"/>
        <rFont val="Microsoft JhengHei"/>
        <family val="0"/>
        <charset val="1"/>
      </rPr>
      <t xml:space="preserve">OPP-18 </t>
    </r>
    <r>
      <rPr>
        <sz val="9"/>
        <rFont val="Noto Sans CJK SC"/>
        <family val="2"/>
      </rPr>
      <t xml:space="preserve">內視鏡與自動清洗消毒追溯</t>
    </r>
  </si>
  <si>
    <r>
      <rPr>
        <sz val="9"/>
        <rFont val="Microsoft JhengHei"/>
        <family val="0"/>
        <charset val="1"/>
      </rPr>
      <t xml:space="preserve">OPP-19 </t>
    </r>
    <r>
      <rPr>
        <sz val="9"/>
        <rFont val="Noto Sans CJK SC"/>
        <family val="2"/>
      </rPr>
      <t xml:space="preserve">加護病房與整合手術室設備包</t>
    </r>
  </si>
  <si>
    <r>
      <rPr>
        <sz val="9"/>
        <rFont val="Microsoft JhengHei"/>
        <family val="0"/>
        <charset val="1"/>
      </rPr>
      <t xml:space="preserve">OPP-20 </t>
    </r>
    <r>
      <rPr>
        <sz val="9"/>
        <rFont val="Noto Sans CJK SC"/>
        <family val="2"/>
      </rPr>
      <t xml:space="preserve">生殖醫學</t>
    </r>
    <r>
      <rPr>
        <sz val="9"/>
        <rFont val="Microsoft JhengHei"/>
        <family val="0"/>
        <charset val="1"/>
      </rPr>
      <t xml:space="preserve">(IVF)</t>
    </r>
    <r>
      <rPr>
        <sz val="9"/>
        <rFont val="Noto Sans CJK SC"/>
        <family val="2"/>
      </rPr>
      <t xml:space="preserve">實驗室整廠</t>
    </r>
  </si>
  <si>
    <r>
      <rPr>
        <sz val="9"/>
        <rFont val="Microsoft JhengHei"/>
        <family val="0"/>
        <charset val="1"/>
      </rPr>
      <t xml:space="preserve">OPP-21 </t>
    </r>
    <r>
      <rPr>
        <sz val="9"/>
        <rFont val="Noto Sans CJK SC"/>
        <family val="2"/>
      </rPr>
      <t xml:space="preserve">檢驗中心自動化與</t>
    </r>
    <r>
      <rPr>
        <sz val="9"/>
        <rFont val="Microsoft JhengHei"/>
        <family val="0"/>
        <charset val="1"/>
      </rPr>
      <t xml:space="preserve">LIS</t>
    </r>
  </si>
  <si>
    <r>
      <rPr>
        <sz val="9"/>
        <rFont val="Microsoft JhengHei"/>
        <family val="0"/>
        <charset val="1"/>
      </rPr>
      <t xml:space="preserve">OPP-22 </t>
    </r>
    <r>
      <rPr>
        <sz val="9"/>
        <rFont val="Noto Sans CJK SC"/>
        <family val="2"/>
      </rPr>
      <t xml:space="preserve">醫材登記與市場准入代理</t>
    </r>
  </si>
  <si>
    <r>
      <rPr>
        <sz val="9"/>
        <rFont val="Microsoft JhengHei"/>
        <family val="0"/>
        <charset val="1"/>
      </rPr>
      <t xml:space="preserve">OPP-23 </t>
    </r>
    <r>
      <rPr>
        <sz val="9"/>
        <rFont val="Noto Sans CJK SC"/>
        <family val="2"/>
      </rPr>
      <t xml:space="preserve">行動篩檢車與定點篩檢設備</t>
    </r>
  </si>
  <si>
    <r>
      <rPr>
        <sz val="9"/>
        <rFont val="Microsoft JhengHei"/>
        <family val="0"/>
        <charset val="1"/>
      </rPr>
      <t xml:space="preserve">OPP-24 </t>
    </r>
    <r>
      <rPr>
        <sz val="9"/>
        <rFont val="Noto Sans CJK SC"/>
        <family val="2"/>
      </rPr>
      <t xml:space="preserve">醫院</t>
    </r>
    <r>
      <rPr>
        <sz val="9"/>
        <rFont val="Microsoft JhengHei"/>
        <family val="0"/>
        <charset val="1"/>
      </rPr>
      <t xml:space="preserve">IDC</t>
    </r>
    <r>
      <rPr>
        <sz val="9"/>
        <rFont val="Noto Sans CJK SC"/>
        <family val="2"/>
      </rPr>
      <t xml:space="preserve">機房與院區網路建置</t>
    </r>
  </si>
  <si>
    <r>
      <rPr>
        <sz val="9"/>
        <rFont val="Microsoft JhengHei"/>
        <family val="0"/>
        <charset val="1"/>
      </rPr>
      <t xml:space="preserve">OPP-25 </t>
    </r>
    <r>
      <rPr>
        <sz val="9"/>
        <rFont val="Noto Sans CJK SC"/>
        <family val="2"/>
      </rPr>
      <t xml:space="preserve">醫療主權雲與境內代管</t>
    </r>
  </si>
  <si>
    <r>
      <rPr>
        <sz val="9"/>
        <rFont val="Microsoft JhengHei"/>
        <family val="0"/>
        <charset val="1"/>
      </rPr>
      <t xml:space="preserve">OPP-27 </t>
    </r>
    <r>
      <rPr>
        <sz val="9"/>
        <rFont val="Noto Sans CJK SC"/>
        <family val="2"/>
      </rPr>
      <t xml:space="preserve">醫院資安與等級保護認證</t>
    </r>
  </si>
  <si>
    <r>
      <rPr>
        <sz val="9"/>
        <rFont val="Microsoft JhengHei"/>
        <family val="0"/>
        <charset val="1"/>
      </rPr>
      <t xml:space="preserve">OPP-28 </t>
    </r>
    <r>
      <rPr>
        <sz val="9"/>
        <rFont val="Noto Sans CJK SC"/>
        <family val="2"/>
      </rPr>
      <t xml:space="preserve">個資合規與跨境傳輸顧問</t>
    </r>
    <r>
      <rPr>
        <sz val="9"/>
        <rFont val="Microsoft JhengHei"/>
        <family val="0"/>
        <charset val="1"/>
      </rPr>
      <t xml:space="preserve">(PDPL)</t>
    </r>
  </si>
  <si>
    <r>
      <rPr>
        <sz val="9"/>
        <rFont val="Microsoft JhengHei"/>
        <family val="0"/>
        <charset val="1"/>
      </rPr>
      <t xml:space="preserve">OPP-29 </t>
    </r>
    <r>
      <rPr>
        <sz val="9"/>
        <rFont val="Noto Sans CJK SC"/>
        <family val="2"/>
      </rPr>
      <t xml:space="preserve">災難復原與營運持續</t>
    </r>
    <r>
      <rPr>
        <sz val="9"/>
        <rFont val="Microsoft JhengHei"/>
        <family val="0"/>
        <charset val="1"/>
      </rPr>
      <t xml:space="preserve">(DR/BCM)</t>
    </r>
  </si>
  <si>
    <r>
      <rPr>
        <sz val="9"/>
        <rFont val="Microsoft JhengHei"/>
        <family val="0"/>
        <charset val="1"/>
      </rPr>
      <t xml:space="preserve">OPP-30 </t>
    </r>
    <r>
      <rPr>
        <sz val="9"/>
        <rFont val="Noto Sans CJK SC"/>
        <family val="2"/>
      </rPr>
      <t xml:space="preserve">醫療數位簽章與</t>
    </r>
    <r>
      <rPr>
        <sz val="9"/>
        <rFont val="Microsoft JhengHei"/>
        <family val="0"/>
        <charset val="1"/>
      </rPr>
      <t xml:space="preserve">PKI</t>
    </r>
    <r>
      <rPr>
        <sz val="9"/>
        <rFont val="Noto Sans CJK SC"/>
        <family val="2"/>
      </rPr>
      <t xml:space="preserve">憑證</t>
    </r>
  </si>
  <si>
    <r>
      <rPr>
        <sz val="9"/>
        <rFont val="Microsoft JhengHei"/>
        <family val="0"/>
        <charset val="1"/>
      </rPr>
      <t xml:space="preserve">OPP-31 HIS</t>
    </r>
    <r>
      <rPr>
        <sz val="9"/>
        <rFont val="Noto Sans CJK SC"/>
        <family val="2"/>
      </rPr>
      <t xml:space="preserve">／</t>
    </r>
    <r>
      <rPr>
        <sz val="9"/>
        <rFont val="Microsoft JhengHei"/>
        <family val="0"/>
        <charset val="1"/>
      </rPr>
      <t xml:space="preserve">EMR</t>
    </r>
    <r>
      <rPr>
        <sz val="9"/>
        <rFont val="Noto Sans CJK SC"/>
        <family val="2"/>
      </rPr>
      <t xml:space="preserve">核心平台導入</t>
    </r>
  </si>
  <si>
    <r>
      <rPr>
        <sz val="9"/>
        <rFont val="Microsoft JhengHei"/>
        <family val="0"/>
        <charset val="1"/>
      </rPr>
      <t xml:space="preserve">OPP-32 PACS</t>
    </r>
    <r>
      <rPr>
        <sz val="9"/>
        <rFont val="Noto Sans CJK SC"/>
        <family val="2"/>
      </rPr>
      <t xml:space="preserve">／</t>
    </r>
    <r>
      <rPr>
        <sz val="9"/>
        <rFont val="Microsoft JhengHei"/>
        <family val="0"/>
        <charset val="1"/>
      </rPr>
      <t xml:space="preserve">RIS</t>
    </r>
    <r>
      <rPr>
        <sz val="9"/>
        <rFont val="Noto Sans CJK SC"/>
        <family val="2"/>
      </rPr>
      <t xml:space="preserve">影像資訊系統</t>
    </r>
  </si>
  <si>
    <r>
      <rPr>
        <sz val="9"/>
        <rFont val="Microsoft JhengHei"/>
        <family val="0"/>
        <charset val="1"/>
      </rPr>
      <t xml:space="preserve">OPP-33 FHIR</t>
    </r>
    <r>
      <rPr>
        <sz val="9"/>
        <rFont val="Noto Sans CJK SC"/>
        <family val="2"/>
      </rPr>
      <t xml:space="preserve">互通平台與資料交換</t>
    </r>
  </si>
  <si>
    <r>
      <rPr>
        <sz val="9"/>
        <rFont val="Microsoft JhengHei"/>
        <family val="0"/>
        <charset val="1"/>
      </rPr>
      <t xml:space="preserve">OPP-34 </t>
    </r>
    <r>
      <rPr>
        <sz val="9"/>
        <rFont val="Noto Sans CJK SC"/>
        <family val="2"/>
      </rPr>
      <t xml:space="preserve">主病人索引</t>
    </r>
    <r>
      <rPr>
        <sz val="9"/>
        <rFont val="Microsoft JhengHei"/>
        <family val="0"/>
        <charset val="1"/>
      </rPr>
      <t xml:space="preserve">(MPI)</t>
    </r>
    <r>
      <rPr>
        <sz val="9"/>
        <rFont val="Noto Sans CJK SC"/>
        <family val="2"/>
      </rPr>
      <t xml:space="preserve">與資料清理</t>
    </r>
  </si>
  <si>
    <r>
      <rPr>
        <sz val="9"/>
        <rFont val="Microsoft JhengHei"/>
        <family val="0"/>
        <charset val="1"/>
      </rPr>
      <t xml:space="preserve">OPP-35 </t>
    </r>
    <r>
      <rPr>
        <sz val="9"/>
        <rFont val="Noto Sans CJK SC"/>
        <family val="2"/>
      </rPr>
      <t xml:space="preserve">臨床術語與編碼服務</t>
    </r>
  </si>
  <si>
    <r>
      <rPr>
        <sz val="9"/>
        <rFont val="Microsoft JhengHei"/>
        <family val="0"/>
        <charset val="1"/>
      </rPr>
      <t xml:space="preserve">OPP-36 </t>
    </r>
    <r>
      <rPr>
        <sz val="9"/>
        <rFont val="Noto Sans CJK SC"/>
        <family val="2"/>
      </rPr>
      <t xml:space="preserve">省級健康資料中台</t>
    </r>
  </si>
  <si>
    <r>
      <rPr>
        <sz val="9"/>
        <rFont val="Microsoft JhengHei"/>
        <family val="0"/>
        <charset val="1"/>
      </rPr>
      <t xml:space="preserve">OPP-37 </t>
    </r>
    <r>
      <rPr>
        <sz val="9"/>
        <rFont val="Noto Sans CJK SC"/>
        <family val="2"/>
      </rPr>
      <t xml:space="preserve">醫院</t>
    </r>
    <r>
      <rPr>
        <sz val="9"/>
        <rFont val="Microsoft JhengHei"/>
        <family val="0"/>
        <charset val="1"/>
      </rPr>
      <t xml:space="preserve">BI</t>
    </r>
    <r>
      <rPr>
        <sz val="9"/>
        <rFont val="Noto Sans CJK SC"/>
        <family val="2"/>
      </rPr>
      <t xml:space="preserve">與營運指揮中心</t>
    </r>
  </si>
  <si>
    <r>
      <rPr>
        <sz val="9"/>
        <rFont val="Microsoft JhengHei"/>
        <family val="0"/>
        <charset val="1"/>
      </rPr>
      <t xml:space="preserve">OPP-38 </t>
    </r>
    <r>
      <rPr>
        <sz val="9"/>
        <rFont val="Noto Sans CJK SC"/>
        <family val="2"/>
      </rPr>
      <t xml:space="preserve">醫材資料介接與床邊自動擷取</t>
    </r>
  </si>
  <si>
    <r>
      <rPr>
        <sz val="9"/>
        <rFont val="Microsoft JhengHei"/>
        <family val="0"/>
        <charset val="1"/>
      </rPr>
      <t xml:space="preserve">OPP-39 </t>
    </r>
    <r>
      <rPr>
        <sz val="9"/>
        <rFont val="Noto Sans CJK SC"/>
        <family val="2"/>
      </rPr>
      <t xml:space="preserve">影像長期歸檔</t>
    </r>
    <r>
      <rPr>
        <sz val="9"/>
        <rFont val="Microsoft JhengHei"/>
        <family val="0"/>
        <charset val="1"/>
      </rPr>
      <t xml:space="preserve">(VNA)</t>
    </r>
    <r>
      <rPr>
        <sz val="9"/>
        <rFont val="Noto Sans CJK SC"/>
        <family val="2"/>
      </rPr>
      <t xml:space="preserve">與異地備援</t>
    </r>
  </si>
  <si>
    <r>
      <rPr>
        <sz val="9"/>
        <rFont val="Microsoft JhengHei"/>
        <family val="0"/>
        <charset val="1"/>
      </rPr>
      <t xml:space="preserve">OPP-40 </t>
    </r>
    <r>
      <rPr>
        <sz val="9"/>
        <rFont val="Noto Sans CJK SC"/>
        <family val="2"/>
      </rPr>
      <t xml:space="preserve">醫療</t>
    </r>
    <r>
      <rPr>
        <sz val="9"/>
        <rFont val="Microsoft JhengHei"/>
        <family val="0"/>
        <charset val="1"/>
      </rPr>
      <t xml:space="preserve">IT</t>
    </r>
    <r>
      <rPr>
        <sz val="9"/>
        <rFont val="Noto Sans CJK SC"/>
        <family val="2"/>
      </rPr>
      <t xml:space="preserve">代管與以租代購</t>
    </r>
  </si>
  <si>
    <r>
      <rPr>
        <sz val="9"/>
        <rFont val="Microsoft JhengHei"/>
        <family val="0"/>
        <charset val="1"/>
      </rPr>
      <t xml:space="preserve">OPP-41 </t>
    </r>
    <r>
      <rPr>
        <sz val="9"/>
        <rFont val="Noto Sans CJK SC"/>
        <family val="2"/>
      </rPr>
      <t xml:space="preserve">電子處方與國家藥品資料庫介接</t>
    </r>
  </si>
  <si>
    <r>
      <rPr>
        <sz val="9"/>
        <rFont val="Microsoft JhengHei"/>
        <family val="0"/>
        <charset val="1"/>
      </rPr>
      <t xml:space="preserve">OPP-42 </t>
    </r>
    <r>
      <rPr>
        <sz val="9"/>
        <rFont val="Noto Sans CJK SC"/>
        <family val="2"/>
      </rPr>
      <t xml:space="preserve">閉環給藥與條碼用藥安全</t>
    </r>
  </si>
  <si>
    <r>
      <rPr>
        <sz val="9"/>
        <rFont val="Microsoft JhengHei"/>
        <family val="0"/>
        <charset val="1"/>
      </rPr>
      <t xml:space="preserve">OPP-43 </t>
    </r>
    <r>
      <rPr>
        <sz val="9"/>
        <rFont val="Noto Sans CJK SC"/>
        <family val="2"/>
      </rPr>
      <t xml:space="preserve">結核胸片</t>
    </r>
    <r>
      <rPr>
        <sz val="9"/>
        <rFont val="Microsoft JhengHei"/>
        <family val="0"/>
        <charset val="1"/>
      </rPr>
      <t xml:space="preserve">AI</t>
    </r>
    <r>
      <rPr>
        <sz val="9"/>
        <rFont val="Noto Sans CJK SC"/>
        <family val="2"/>
      </rPr>
      <t xml:space="preserve">篩檢</t>
    </r>
    <r>
      <rPr>
        <sz val="9"/>
        <rFont val="Microsoft JhengHei"/>
        <family val="0"/>
        <charset val="1"/>
      </rPr>
      <t xml:space="preserve">(CAD)</t>
    </r>
  </si>
  <si>
    <r>
      <rPr>
        <sz val="9"/>
        <rFont val="Microsoft JhengHei"/>
        <family val="0"/>
        <charset val="1"/>
      </rPr>
      <t xml:space="preserve">OPP-44 </t>
    </r>
    <r>
      <rPr>
        <sz val="9"/>
        <rFont val="Noto Sans CJK SC"/>
        <family val="2"/>
      </rPr>
      <t xml:space="preserve">放射影像分診</t>
    </r>
    <r>
      <rPr>
        <sz val="9"/>
        <rFont val="Microsoft JhengHei"/>
        <family val="0"/>
        <charset val="1"/>
      </rPr>
      <t xml:space="preserve">AI</t>
    </r>
    <r>
      <rPr>
        <sz val="9"/>
        <rFont val="Noto Sans CJK SC"/>
        <family val="2"/>
      </rPr>
      <t xml:space="preserve">（中風／出血／結節／骨折）</t>
    </r>
  </si>
  <si>
    <r>
      <rPr>
        <sz val="9"/>
        <rFont val="Microsoft JhengHei"/>
        <family val="0"/>
        <charset val="1"/>
      </rPr>
      <t xml:space="preserve">OPP-45 </t>
    </r>
    <r>
      <rPr>
        <sz val="9"/>
        <rFont val="Noto Sans CJK SC"/>
        <family val="2"/>
      </rPr>
      <t xml:space="preserve">肺癌</t>
    </r>
    <r>
      <rPr>
        <sz val="9"/>
        <rFont val="Microsoft JhengHei"/>
        <family val="0"/>
        <charset val="1"/>
      </rPr>
      <t xml:space="preserve">CT</t>
    </r>
    <r>
      <rPr>
        <sz val="9"/>
        <rFont val="Noto Sans CJK SC"/>
        <family val="2"/>
      </rPr>
      <t xml:space="preserve">早篩</t>
    </r>
    <r>
      <rPr>
        <sz val="9"/>
        <rFont val="Microsoft JhengHei"/>
        <family val="0"/>
        <charset val="1"/>
      </rPr>
      <t xml:space="preserve">AI</t>
    </r>
  </si>
  <si>
    <r>
      <rPr>
        <sz val="9"/>
        <rFont val="Microsoft JhengHei"/>
        <family val="0"/>
        <charset val="1"/>
      </rPr>
      <t xml:space="preserve">OPP-46 </t>
    </r>
    <r>
      <rPr>
        <sz val="9"/>
        <rFont val="Noto Sans CJK SC"/>
        <family val="2"/>
      </rPr>
      <t xml:space="preserve">內視鏡</t>
    </r>
    <r>
      <rPr>
        <sz val="9"/>
        <rFont val="Microsoft JhengHei"/>
        <family val="0"/>
        <charset val="1"/>
      </rPr>
      <t xml:space="preserve">AI</t>
    </r>
    <r>
      <rPr>
        <sz val="9"/>
        <rFont val="Noto Sans CJK SC"/>
        <family val="2"/>
      </rPr>
      <t xml:space="preserve">息肉偵測</t>
    </r>
  </si>
  <si>
    <r>
      <rPr>
        <sz val="9"/>
        <rFont val="Microsoft JhengHei"/>
        <family val="0"/>
        <charset val="1"/>
      </rPr>
      <t xml:space="preserve">OPP-47 </t>
    </r>
    <r>
      <rPr>
        <sz val="9"/>
        <rFont val="Noto Sans CJK SC"/>
        <family val="2"/>
      </rPr>
      <t xml:space="preserve">糖尿病視網膜病變</t>
    </r>
    <r>
      <rPr>
        <sz val="9"/>
        <rFont val="Microsoft JhengHei"/>
        <family val="0"/>
        <charset val="1"/>
      </rPr>
      <t xml:space="preserve">AI</t>
    </r>
    <r>
      <rPr>
        <sz val="9"/>
        <rFont val="Noto Sans CJK SC"/>
        <family val="2"/>
      </rPr>
      <t xml:space="preserve">篩檢</t>
    </r>
  </si>
  <si>
    <r>
      <rPr>
        <sz val="9"/>
        <rFont val="Microsoft JhengHei"/>
        <family val="0"/>
        <charset val="1"/>
      </rPr>
      <t xml:space="preserve">OPP-48 </t>
    </r>
    <r>
      <rPr>
        <sz val="9"/>
        <rFont val="Noto Sans CJK SC"/>
        <family val="2"/>
      </rPr>
      <t xml:space="preserve">病理數位化與</t>
    </r>
    <r>
      <rPr>
        <sz val="9"/>
        <rFont val="Microsoft JhengHei"/>
        <family val="0"/>
        <charset val="1"/>
      </rPr>
      <t xml:space="preserve">AI</t>
    </r>
    <r>
      <rPr>
        <sz val="9"/>
        <rFont val="Noto Sans CJK SC"/>
        <family val="2"/>
      </rPr>
      <t xml:space="preserve">判讀</t>
    </r>
  </si>
  <si>
    <r>
      <rPr>
        <sz val="9"/>
        <rFont val="Microsoft JhengHei"/>
        <family val="0"/>
        <charset val="1"/>
      </rPr>
      <t xml:space="preserve">OPP-49 </t>
    </r>
    <r>
      <rPr>
        <sz val="9"/>
        <rFont val="Noto Sans CJK SC"/>
        <family val="2"/>
      </rPr>
      <t xml:space="preserve">越南語</t>
    </r>
    <r>
      <rPr>
        <sz val="9"/>
        <rFont val="Microsoft JhengHei"/>
        <family val="0"/>
        <charset val="1"/>
      </rPr>
      <t xml:space="preserve">AI</t>
    </r>
    <r>
      <rPr>
        <sz val="9"/>
        <rFont val="Noto Sans CJK SC"/>
        <family val="2"/>
      </rPr>
      <t xml:space="preserve">病歷書寫助理</t>
    </r>
  </si>
  <si>
    <r>
      <rPr>
        <sz val="9"/>
        <rFont val="Microsoft JhengHei"/>
        <family val="0"/>
        <charset val="1"/>
      </rPr>
      <t xml:space="preserve">OPP-50 </t>
    </r>
    <r>
      <rPr>
        <sz val="9"/>
        <rFont val="Noto Sans CJK SC"/>
        <family val="2"/>
      </rPr>
      <t xml:space="preserve">臨床大模型助理與知識庫</t>
    </r>
  </si>
  <si>
    <r>
      <rPr>
        <sz val="9"/>
        <rFont val="Microsoft JhengHei"/>
        <family val="0"/>
        <charset val="1"/>
      </rPr>
      <t xml:space="preserve">OPP-51 </t>
    </r>
    <r>
      <rPr>
        <sz val="9"/>
        <rFont val="Noto Sans CJK SC"/>
        <family val="2"/>
      </rPr>
      <t xml:space="preserve">健保申報</t>
    </r>
    <r>
      <rPr>
        <sz val="9"/>
        <rFont val="Microsoft JhengHei"/>
        <family val="0"/>
        <charset val="1"/>
      </rPr>
      <t xml:space="preserve">AI</t>
    </r>
    <r>
      <rPr>
        <sz val="9"/>
        <rFont val="Noto Sans CJK SC"/>
        <family val="2"/>
      </rPr>
      <t xml:space="preserve">審核與拒付管理</t>
    </r>
  </si>
  <si>
    <r>
      <rPr>
        <sz val="9"/>
        <rFont val="Microsoft JhengHei"/>
        <family val="0"/>
        <charset val="1"/>
      </rPr>
      <t xml:space="preserve">OPP-52 </t>
    </r>
    <r>
      <rPr>
        <sz val="9"/>
        <rFont val="Noto Sans CJK SC"/>
        <family val="2"/>
      </rPr>
      <t xml:space="preserve">病床病人流</t>
    </r>
    <r>
      <rPr>
        <sz val="9"/>
        <rFont val="Microsoft JhengHei"/>
        <family val="0"/>
        <charset val="1"/>
      </rPr>
      <t xml:space="preserve">AI</t>
    </r>
    <r>
      <rPr>
        <sz val="9"/>
        <rFont val="Noto Sans CJK SC"/>
        <family val="2"/>
      </rPr>
      <t xml:space="preserve">與手術室排程優化</t>
    </r>
  </si>
  <si>
    <r>
      <rPr>
        <sz val="9"/>
        <rFont val="Microsoft JhengHei"/>
        <family val="0"/>
        <charset val="1"/>
      </rPr>
      <t xml:space="preserve">OPP-53 </t>
    </r>
    <r>
      <rPr>
        <sz val="9"/>
        <rFont val="Noto Sans CJK SC"/>
        <family val="2"/>
      </rPr>
      <t xml:space="preserve">藥品耗材需求預測</t>
    </r>
    <r>
      <rPr>
        <sz val="9"/>
        <rFont val="Microsoft JhengHei"/>
        <family val="0"/>
        <charset val="1"/>
      </rPr>
      <t xml:space="preserve">AI</t>
    </r>
  </si>
  <si>
    <r>
      <rPr>
        <sz val="9"/>
        <rFont val="Microsoft JhengHei"/>
        <family val="0"/>
        <charset val="1"/>
      </rPr>
      <t xml:space="preserve">OPP-54 </t>
    </r>
    <r>
      <rPr>
        <sz val="9"/>
        <rFont val="Noto Sans CJK SC"/>
        <family val="2"/>
      </rPr>
      <t xml:space="preserve">設備預測維護與能耗優化</t>
    </r>
    <r>
      <rPr>
        <sz val="9"/>
        <rFont val="Microsoft JhengHei"/>
        <family val="0"/>
        <charset val="1"/>
      </rPr>
      <t xml:space="preserve">AI</t>
    </r>
  </si>
  <si>
    <r>
      <rPr>
        <sz val="9"/>
        <rFont val="Microsoft JhengHei"/>
        <family val="0"/>
        <charset val="1"/>
      </rPr>
      <t xml:space="preserve">OPP-55 </t>
    </r>
    <r>
      <rPr>
        <sz val="9"/>
        <rFont val="Noto Sans CJK SC"/>
        <family val="2"/>
      </rPr>
      <t xml:space="preserve">敗血症與病情惡化預警</t>
    </r>
    <r>
      <rPr>
        <sz val="9"/>
        <rFont val="Microsoft JhengHei"/>
        <family val="0"/>
        <charset val="1"/>
      </rPr>
      <t xml:space="preserve">AI</t>
    </r>
  </si>
  <si>
    <r>
      <rPr>
        <sz val="9"/>
        <rFont val="Microsoft JhengHei"/>
        <family val="0"/>
        <charset val="1"/>
      </rPr>
      <t xml:space="preserve">OPP-56 </t>
    </r>
    <r>
      <rPr>
        <sz val="9"/>
        <rFont val="Noto Sans CJK SC"/>
        <family val="2"/>
      </rPr>
      <t xml:space="preserve">越南語分診聊天機器人與病人助理</t>
    </r>
  </si>
  <si>
    <r>
      <rPr>
        <sz val="9"/>
        <rFont val="Microsoft JhengHei"/>
        <family val="0"/>
        <charset val="1"/>
      </rPr>
      <t xml:space="preserve">OPP-57 </t>
    </r>
    <r>
      <rPr>
        <sz val="9"/>
        <rFont val="Noto Sans CJK SC"/>
        <family val="2"/>
      </rPr>
      <t xml:space="preserve">院內</t>
    </r>
    <r>
      <rPr>
        <sz val="9"/>
        <rFont val="Microsoft JhengHei"/>
        <family val="0"/>
        <charset val="1"/>
      </rPr>
      <t xml:space="preserve">GPU</t>
    </r>
    <r>
      <rPr>
        <sz val="9"/>
        <rFont val="Noto Sans CJK SC"/>
        <family val="2"/>
      </rPr>
      <t xml:space="preserve">與邊緣推論基礎設施</t>
    </r>
  </si>
  <si>
    <r>
      <rPr>
        <sz val="9"/>
        <rFont val="Microsoft JhengHei"/>
        <family val="0"/>
        <charset val="1"/>
      </rPr>
      <t xml:space="preserve">OPP-58 </t>
    </r>
    <r>
      <rPr>
        <sz val="9"/>
        <rFont val="Noto Sans CJK SC"/>
        <family val="2"/>
      </rPr>
      <t xml:space="preserve">醫院資料湖、去識別化與</t>
    </r>
    <r>
      <rPr>
        <sz val="9"/>
        <rFont val="Microsoft JhengHei"/>
        <family val="0"/>
        <charset val="1"/>
      </rPr>
      <t xml:space="preserve">AI</t>
    </r>
    <r>
      <rPr>
        <sz val="9"/>
        <rFont val="Noto Sans CJK SC"/>
        <family val="2"/>
      </rPr>
      <t xml:space="preserve">訓練資料層</t>
    </r>
  </si>
  <si>
    <r>
      <rPr>
        <sz val="9"/>
        <rFont val="Microsoft JhengHei"/>
        <family val="0"/>
        <charset val="1"/>
      </rPr>
      <t xml:space="preserve">OPP-59 </t>
    </r>
    <r>
      <rPr>
        <sz val="9"/>
        <rFont val="Noto Sans CJK SC"/>
        <family val="2"/>
      </rPr>
      <t xml:space="preserve">醫療</t>
    </r>
    <r>
      <rPr>
        <sz val="9"/>
        <rFont val="Microsoft JhengHei"/>
        <family val="0"/>
        <charset val="1"/>
      </rPr>
      <t xml:space="preserve">AI</t>
    </r>
    <r>
      <rPr>
        <sz val="9"/>
        <rFont val="Noto Sans CJK SC"/>
        <family val="2"/>
      </rPr>
      <t xml:space="preserve">法規登記、在地驗證與模型治理</t>
    </r>
  </si>
  <si>
    <r>
      <rPr>
        <sz val="9"/>
        <rFont val="Microsoft JhengHei"/>
        <family val="0"/>
        <charset val="1"/>
      </rPr>
      <t xml:space="preserve">OPP-60 JCI</t>
    </r>
    <r>
      <rPr>
        <sz val="9"/>
        <rFont val="Noto Sans CJK SC"/>
        <family val="2"/>
      </rPr>
      <t xml:space="preserve">品質認證與病安體系導入</t>
    </r>
  </si>
  <si>
    <r>
      <rPr>
        <sz val="9"/>
        <rFont val="Microsoft JhengHei"/>
        <family val="0"/>
        <charset val="1"/>
      </rPr>
      <t xml:space="preserve">OPP-61 ISO 15189</t>
    </r>
    <r>
      <rPr>
        <sz val="9"/>
        <rFont val="Noto Sans CJK SC"/>
        <family val="2"/>
      </rPr>
      <t xml:space="preserve">檢驗室認證輔導</t>
    </r>
  </si>
  <si>
    <r>
      <rPr>
        <sz val="9"/>
        <rFont val="Microsoft JhengHei"/>
        <family val="0"/>
        <charset val="1"/>
      </rPr>
      <t xml:space="preserve">OPP-62 </t>
    </r>
    <r>
      <rPr>
        <sz val="9"/>
        <rFont val="Noto Sans CJK SC"/>
        <family val="2"/>
      </rPr>
      <t xml:space="preserve">臨床人才培訓、模擬中心與技術移轉</t>
    </r>
  </si>
  <si>
    <r>
      <rPr>
        <sz val="9"/>
        <rFont val="Microsoft JhengHei"/>
        <family val="0"/>
        <charset val="1"/>
      </rPr>
      <t xml:space="preserve">OPP-63 </t>
    </r>
    <r>
      <rPr>
        <sz val="9"/>
        <rFont val="Noto Sans CJK SC"/>
        <family val="2"/>
      </rPr>
      <t xml:space="preserve">開院前臨床安全驗證與試營運</t>
    </r>
  </si>
  <si>
    <r>
      <rPr>
        <sz val="9"/>
        <rFont val="Microsoft JhengHei"/>
        <family val="0"/>
        <charset val="1"/>
      </rPr>
      <t xml:space="preserve">OPP-64 </t>
    </r>
    <r>
      <rPr>
        <sz val="9"/>
        <rFont val="Noto Sans CJK SC"/>
        <family val="2"/>
      </rPr>
      <t xml:space="preserve">院內物流</t>
    </r>
    <r>
      <rPr>
        <sz val="9"/>
        <rFont val="Microsoft JhengHei"/>
        <family val="0"/>
        <charset val="1"/>
      </rPr>
      <t xml:space="preserve">SPD</t>
    </r>
    <r>
      <rPr>
        <sz val="9"/>
        <rFont val="Noto Sans CJK SC"/>
        <family val="2"/>
      </rPr>
      <t xml:space="preserve">委外</t>
    </r>
  </si>
  <si>
    <r>
      <rPr>
        <sz val="9"/>
        <rFont val="Microsoft JhengHei"/>
        <family val="0"/>
        <charset val="1"/>
      </rPr>
      <t xml:space="preserve">OPP-65 </t>
    </r>
    <r>
      <rPr>
        <sz val="9"/>
        <rFont val="Noto Sans CJK SC"/>
        <family val="2"/>
      </rPr>
      <t xml:space="preserve">消毒供應外包（區域</t>
    </r>
    <r>
      <rPr>
        <sz val="9"/>
        <rFont val="Microsoft JhengHei"/>
        <family val="0"/>
        <charset val="1"/>
      </rPr>
      <t xml:space="preserve">CSSD</t>
    </r>
    <r>
      <rPr>
        <sz val="9"/>
        <rFont val="Noto Sans CJK SC"/>
        <family val="2"/>
      </rPr>
      <t xml:space="preserve">服務化）</t>
    </r>
  </si>
  <si>
    <r>
      <rPr>
        <sz val="9"/>
        <rFont val="Microsoft JhengHei"/>
        <family val="0"/>
        <charset val="1"/>
      </rPr>
      <t xml:space="preserve">OPP-66 </t>
    </r>
    <r>
      <rPr>
        <sz val="9"/>
        <rFont val="Noto Sans CJK SC"/>
        <family val="2"/>
      </rPr>
      <t xml:space="preserve">醫材維運與託管服務</t>
    </r>
    <r>
      <rPr>
        <sz val="9"/>
        <rFont val="Microsoft JhengHei"/>
        <family val="0"/>
        <charset val="1"/>
      </rPr>
      <t xml:space="preserve">(MES)</t>
    </r>
  </si>
  <si>
    <r>
      <rPr>
        <sz val="9"/>
        <rFont val="Microsoft JhengHei"/>
        <family val="0"/>
        <charset val="1"/>
      </rPr>
      <t xml:space="preserve">OPP-67 </t>
    </r>
    <r>
      <rPr>
        <sz val="9"/>
        <rFont val="Noto Sans CJK SC"/>
        <family val="2"/>
      </rPr>
      <t xml:space="preserve">醫院設施管理委外（醫療級</t>
    </r>
    <r>
      <rPr>
        <sz val="9"/>
        <rFont val="Microsoft JhengHei"/>
        <family val="0"/>
        <charset val="1"/>
      </rPr>
      <t xml:space="preserve">FM</t>
    </r>
    <r>
      <rPr>
        <sz val="9"/>
        <rFont val="Noto Sans CJK SC"/>
        <family val="2"/>
      </rPr>
      <t xml:space="preserve">）</t>
    </r>
  </si>
  <si>
    <r>
      <rPr>
        <sz val="9"/>
        <rFont val="Microsoft JhengHei"/>
        <family val="0"/>
        <charset val="1"/>
      </rPr>
      <t xml:space="preserve">OPP-68 </t>
    </r>
    <r>
      <rPr>
        <sz val="9"/>
        <rFont val="Noto Sans CJK SC"/>
        <family val="2"/>
      </rPr>
      <t xml:space="preserve">冷鏈與特殊物料物流</t>
    </r>
  </si>
  <si>
    <r>
      <rPr>
        <sz val="9"/>
        <rFont val="Microsoft JhengHei"/>
        <family val="0"/>
        <charset val="1"/>
      </rPr>
      <t xml:space="preserve">OPP-69 </t>
    </r>
    <r>
      <rPr>
        <sz val="9"/>
        <rFont val="Noto Sans CJK SC"/>
        <family val="2"/>
      </rPr>
      <t xml:space="preserve">醫療廢棄物收運處理服務</t>
    </r>
  </si>
  <si>
    <r>
      <rPr>
        <sz val="9"/>
        <rFont val="Microsoft JhengHei"/>
        <family val="0"/>
        <charset val="1"/>
      </rPr>
      <t xml:space="preserve">OPP-70 </t>
    </r>
    <r>
      <rPr>
        <sz val="9"/>
        <rFont val="Noto Sans CJK SC"/>
        <family val="2"/>
      </rPr>
      <t xml:space="preserve">在地備品、維修與汰換服務網</t>
    </r>
  </si>
  <si>
    <r>
      <rPr>
        <sz val="9"/>
        <rFont val="Microsoft JhengHei"/>
        <family val="0"/>
        <charset val="1"/>
      </rPr>
      <t xml:space="preserve">OPP-71 </t>
    </r>
    <r>
      <rPr>
        <sz val="9"/>
        <rFont val="Noto Sans CJK SC"/>
        <family val="2"/>
      </rPr>
      <t xml:space="preserve">洗腎連鎖（衛星洗腎中心）</t>
    </r>
  </si>
  <si>
    <r>
      <rPr>
        <sz val="9"/>
        <rFont val="Microsoft JhengHei"/>
        <family val="0"/>
        <charset val="1"/>
      </rPr>
      <t xml:space="preserve">OPP-72 </t>
    </r>
    <r>
      <rPr>
        <sz val="9"/>
        <rFont val="Noto Sans CJK SC"/>
        <family val="2"/>
      </rPr>
      <t xml:space="preserve">日間手術中心</t>
    </r>
    <r>
      <rPr>
        <sz val="9"/>
        <rFont val="Microsoft JhengHei"/>
        <family val="0"/>
        <charset val="1"/>
      </rPr>
      <t xml:space="preserve">(ASC)</t>
    </r>
  </si>
  <si>
    <r>
      <rPr>
        <sz val="9"/>
        <rFont val="Microsoft JhengHei"/>
        <family val="0"/>
        <charset val="1"/>
      </rPr>
      <t xml:space="preserve">OPP-73 </t>
    </r>
    <r>
      <rPr>
        <sz val="9"/>
        <rFont val="Noto Sans CJK SC"/>
        <family val="2"/>
      </rPr>
      <t xml:space="preserve">癌症中心合資經營</t>
    </r>
  </si>
  <si>
    <r>
      <rPr>
        <sz val="9"/>
        <rFont val="Microsoft JhengHei"/>
        <family val="0"/>
        <charset val="1"/>
      </rPr>
      <t xml:space="preserve">OPP-74 </t>
    </r>
    <r>
      <rPr>
        <sz val="9"/>
        <rFont val="Noto Sans CJK SC"/>
        <family val="2"/>
      </rPr>
      <t xml:space="preserve">生殖醫學</t>
    </r>
    <r>
      <rPr>
        <sz val="9"/>
        <rFont val="Microsoft JhengHei"/>
        <family val="0"/>
        <charset val="1"/>
      </rPr>
      <t xml:space="preserve">(IVF)</t>
    </r>
    <r>
      <rPr>
        <sz val="9"/>
        <rFont val="Noto Sans CJK SC"/>
        <family val="2"/>
      </rPr>
      <t xml:space="preserve">連鎖</t>
    </r>
  </si>
  <si>
    <r>
      <rPr>
        <sz val="9"/>
        <rFont val="Microsoft JhengHei"/>
        <family val="0"/>
        <charset val="1"/>
      </rPr>
      <t xml:space="preserve">OPP-75 </t>
    </r>
    <r>
      <rPr>
        <sz val="9"/>
        <rFont val="Noto Sans CJK SC"/>
        <family val="2"/>
      </rPr>
      <t xml:space="preserve">健檢連鎖與行動篩檢營運</t>
    </r>
  </si>
  <si>
    <r>
      <rPr>
        <sz val="9"/>
        <rFont val="Microsoft JhengHei"/>
        <family val="0"/>
        <charset val="1"/>
      </rPr>
      <t xml:space="preserve">OPP-76 </t>
    </r>
    <r>
      <rPr>
        <sz val="9"/>
        <rFont val="Noto Sans CJK SC"/>
        <family val="2"/>
      </rPr>
      <t xml:space="preserve">委外檢驗與區域中心實驗室</t>
    </r>
  </si>
  <si>
    <r>
      <rPr>
        <sz val="9"/>
        <rFont val="Microsoft JhengHei"/>
        <family val="0"/>
        <charset val="1"/>
      </rPr>
      <t xml:space="preserve">OPP-77 </t>
    </r>
    <r>
      <rPr>
        <sz val="9"/>
        <rFont val="Noto Sans CJK SC"/>
        <family val="2"/>
      </rPr>
      <t xml:space="preserve">長照機構與失智照護</t>
    </r>
  </si>
  <si>
    <r>
      <rPr>
        <sz val="9"/>
        <rFont val="Microsoft JhengHei"/>
        <family val="0"/>
        <charset val="1"/>
      </rPr>
      <t xml:space="preserve">OPP-78 </t>
    </r>
    <r>
      <rPr>
        <sz val="9"/>
        <rFont val="Noto Sans CJK SC"/>
        <family val="2"/>
      </rPr>
      <t xml:space="preserve">居家醫療、居家護理與安寧</t>
    </r>
  </si>
  <si>
    <r>
      <rPr>
        <sz val="9"/>
        <rFont val="Microsoft JhengHei"/>
        <family val="0"/>
        <charset val="1"/>
      </rPr>
      <t xml:space="preserve">OPP-79 </t>
    </r>
    <r>
      <rPr>
        <sz val="9"/>
        <rFont val="Noto Sans CJK SC"/>
        <family val="2"/>
      </rPr>
      <t xml:space="preserve">復健與亞急性照護中心</t>
    </r>
  </si>
  <si>
    <r>
      <rPr>
        <sz val="9"/>
        <rFont val="Microsoft JhengHei"/>
        <family val="0"/>
        <charset val="1"/>
      </rPr>
      <t xml:space="preserve">OPP-80 </t>
    </r>
    <r>
      <rPr>
        <sz val="9"/>
        <rFont val="Noto Sans CJK SC"/>
        <family val="2"/>
      </rPr>
      <t xml:space="preserve">遠距醫療與居家遠端監測</t>
    </r>
  </si>
  <si>
    <r>
      <rPr>
        <sz val="9"/>
        <rFont val="Microsoft JhengHei"/>
        <family val="0"/>
        <charset val="1"/>
      </rPr>
      <t xml:space="preserve">OPP-81 </t>
    </r>
    <r>
      <rPr>
        <sz val="9"/>
        <rFont val="Noto Sans CJK SC"/>
        <family val="2"/>
      </rPr>
      <t xml:space="preserve">病人</t>
    </r>
    <r>
      <rPr>
        <sz val="9"/>
        <rFont val="Microsoft JhengHei"/>
        <family val="0"/>
        <charset val="1"/>
      </rPr>
      <t xml:space="preserve">App</t>
    </r>
    <r>
      <rPr>
        <sz val="9"/>
        <rFont val="Noto Sans CJK SC"/>
        <family val="2"/>
      </rPr>
      <t xml:space="preserve">、無現金支付與報到機</t>
    </r>
  </si>
  <si>
    <r>
      <rPr>
        <sz val="9"/>
        <rFont val="Microsoft JhengHei"/>
        <family val="0"/>
        <charset val="1"/>
      </rPr>
      <t xml:space="preserve">OPP-82 </t>
    </r>
    <r>
      <rPr>
        <sz val="9"/>
        <rFont val="Noto Sans CJK SC"/>
        <family val="2"/>
      </rPr>
      <t xml:space="preserve">健保申報介接與收入循環管理</t>
    </r>
  </si>
  <si>
    <r>
      <rPr>
        <sz val="9"/>
        <rFont val="Microsoft JhengHei"/>
        <family val="0"/>
        <charset val="1"/>
      </rPr>
      <t xml:space="preserve">OPP-83 </t>
    </r>
    <r>
      <rPr>
        <sz val="9"/>
        <rFont val="Noto Sans CJK SC"/>
        <family val="2"/>
      </rPr>
      <t xml:space="preserve">國際醫療與病患回流方案</t>
    </r>
  </si>
  <si>
    <r>
      <rPr>
        <sz val="9"/>
        <rFont val="Microsoft JhengHei"/>
        <family val="0"/>
        <charset val="1"/>
      </rPr>
      <t xml:space="preserve">OPP-84 </t>
    </r>
    <r>
      <rPr>
        <sz val="9"/>
        <rFont val="Noto Sans CJK SC"/>
        <family val="2"/>
      </rPr>
      <t xml:space="preserve">商業健康保險合作與給付方案設計</t>
    </r>
  </si>
  <si>
    <r>
      <rPr>
        <sz val="9"/>
        <rFont val="Microsoft JhengHei"/>
        <family val="0"/>
        <charset val="1"/>
      </rPr>
      <t xml:space="preserve">OPP-85 </t>
    </r>
    <r>
      <rPr>
        <sz val="9"/>
        <rFont val="Noto Sans CJK SC"/>
        <family val="2"/>
      </rPr>
      <t xml:space="preserve">效益實現與第二院區複製藍圖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</si>
</sst>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Microsoft JhengHei"/>
      <family val="0"/>
      <charset val="1"/>
    </font>
    <font>
      <b val="true"/>
      <sz val="15"/>
      <color rgb="FF1F3864"/>
      <name val="Noto Sans CJK SC"/>
      <family val="2"/>
    </font>
    <font>
      <sz val="10"/>
      <color rgb="FF6B7280"/>
      <name val="Microsoft JhengHei"/>
      <family val="0"/>
      <charset val="1"/>
    </font>
    <font>
      <sz val="10"/>
      <color rgb="FF6B7280"/>
      <name val="Noto Sans CJK SC"/>
      <family val="2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Microsoft JhengHei"/>
      <family val="0"/>
      <charset val="1"/>
    </font>
    <font>
      <sz val="9"/>
      <name val="Noto Sans CJK SC"/>
      <family val="2"/>
    </font>
    <font>
      <sz val="9"/>
      <color rgb="FF55607A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color rgb="FFFFFFFF"/>
      <name val="Microsoft JhengHei"/>
      <family val="0"/>
      <charset val="1"/>
    </font>
    <font>
      <sz val="9"/>
      <name val="Microsoft JhengHei"/>
      <family val="0"/>
      <charset val="1"/>
    </font>
    <font>
      <sz val="9"/>
      <color rgb="FF9AA3B2"/>
      <name val="Microsoft JhengHei"/>
      <family val="0"/>
      <charset val="1"/>
    </font>
    <font>
      <b val="true"/>
      <sz val="12"/>
      <color rgb="FF1F3864"/>
      <name val="Noto Sans CJK SC"/>
      <family val="2"/>
    </font>
    <font>
      <b val="true"/>
      <sz val="12"/>
      <color rgb="FF1F3864"/>
      <name val="Microsoft JhengHei"/>
      <family val="0"/>
      <charset val="1"/>
    </font>
    <font>
      <b val="true"/>
      <sz val="11"/>
      <color rgb="FF1F3864"/>
      <name val="Noto Sans CJK SC"/>
      <family val="2"/>
    </font>
    <font>
      <sz val="9.5"/>
      <color rgb="FF6B7280"/>
      <name val="Noto Sans CJK SC"/>
      <family val="2"/>
    </font>
    <font>
      <sz val="9.5"/>
      <color rgb="FF6B7280"/>
      <name val="Microsoft JhengHei"/>
      <family val="0"/>
      <charset val="1"/>
    </font>
    <font>
      <b val="true"/>
      <sz val="9"/>
      <color rgb="FF9A6B10"/>
      <name val="Noto Sans CJK SC"/>
      <family val="2"/>
    </font>
    <font>
      <b val="true"/>
      <sz val="11"/>
      <color rgb="FF1F3864"/>
      <name val="Microsoft JhengHei"/>
      <family val="0"/>
      <charset val="1"/>
    </font>
    <font>
      <b val="true"/>
      <sz val="10"/>
      <name val="Microsoft JhengHei"/>
      <family val="0"/>
      <charset val="1"/>
    </font>
    <font>
      <b val="true"/>
      <sz val="10"/>
      <color rgb="FFC0392B"/>
      <name val="Noto Sans CJK SC"/>
      <family val="2"/>
    </font>
    <font>
      <b val="true"/>
      <sz val="10"/>
      <color rgb="FFC0392B"/>
      <name val="Microsoft JhengHe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9E3"/>
        <bgColor rgb="FFFCF1DC"/>
      </patternFill>
    </fill>
    <fill>
      <patternFill patternType="solid">
        <fgColor rgb="FFF1F4F9"/>
        <bgColor rgb="FFEFF6F1"/>
      </patternFill>
    </fill>
    <fill>
      <patternFill patternType="solid">
        <fgColor rgb="FF1F3864"/>
        <bgColor rgb="FF2F5597"/>
      </patternFill>
    </fill>
    <fill>
      <patternFill patternType="solid">
        <fgColor rgb="FFEFF6F1"/>
        <bgColor rgb="FFF1F4F9"/>
      </patternFill>
    </fill>
    <fill>
      <patternFill patternType="solid">
        <fgColor rgb="FFE8EEF6"/>
        <bgColor rgb="FFF1F4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6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FF6F1"/>
          <bgColor rgb="FF000000"/>
        </patternFill>
      </fill>
    </dxf>
    <dxf>
      <fill>
        <patternFill patternType="solid">
          <fgColor rgb="FFFFF9E3"/>
          <bgColor rgb="FF000000"/>
        </patternFill>
      </fill>
    </dxf>
    <dxf>
      <fill>
        <patternFill patternType="solid">
          <fgColor rgb="FF9AA3B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1F4F9"/>
          <bgColor rgb="FF000000"/>
        </patternFill>
      </fill>
    </dxf>
    <dxf>
      <fill>
        <patternFill patternType="solid">
          <fgColor rgb="FFDDEDE1"/>
          <bgColor rgb="FF000000"/>
        </patternFill>
      </fill>
    </dxf>
    <dxf>
      <fill>
        <patternFill patternType="solid">
          <fgColor rgb="FF2F6B3D"/>
          <bgColor rgb="FF000000"/>
        </patternFill>
      </fill>
    </dxf>
    <dxf>
      <font>
        <name val="Microsoft JhengHei"/>
        <charset val="1"/>
        <family val="0"/>
        <b val="1"/>
        <color rgb="FF2F6B3D"/>
        <sz val="10"/>
      </font>
      <fill>
        <patternFill>
          <bgColor rgb="FFDDEDE1"/>
        </patternFill>
      </fill>
    </dxf>
    <dxf>
      <font>
        <name val="Microsoft JhengHei"/>
        <charset val="1"/>
        <family val="0"/>
        <b val="1"/>
        <color rgb="FFC0392B"/>
        <sz val="10"/>
      </font>
      <fill>
        <patternFill>
          <bgColor rgb="FFF7E3DF"/>
        </patternFill>
      </fill>
    </dxf>
    <dxf>
      <font>
        <name val="Microsoft JhengHei"/>
        <charset val="1"/>
        <family val="0"/>
        <b val="1"/>
        <color rgb="FFB77A10"/>
        <sz val="10"/>
      </font>
      <fill>
        <patternFill>
          <bgColor rgb="FFFCF1D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F6B3D"/>
      <rgbColor rgb="FF000080"/>
      <rgbColor rgb="FF9A6B10"/>
      <rgbColor rgb="FF800080"/>
      <rgbColor rgb="FF0E6E6B"/>
      <rgbColor rgb="FFF1F4F9"/>
      <rgbColor rgb="FF808080"/>
      <rgbColor rgb="FF9999FF"/>
      <rgbColor rgb="FF993366"/>
      <rgbColor rgb="FFFFF9E3"/>
      <rgbColor rgb="FFE8EEF6"/>
      <rgbColor rgb="FF660066"/>
      <rgbColor rgb="FFFF8080"/>
      <rgbColor rgb="FF0066CC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6F1"/>
      <rgbColor rgb="FFDDEDE1"/>
      <rgbColor rgb="FFFCF1DC"/>
      <rgbColor rgb="FF99CCFF"/>
      <rgbColor rgb="FFFF99CC"/>
      <rgbColor rgb="FFCC99FF"/>
      <rgbColor rgb="FFF7E3DF"/>
      <rgbColor rgb="FF3366FF"/>
      <rgbColor rgb="FF33CCCC"/>
      <rgbColor rgb="FF99CC00"/>
      <rgbColor rgb="FFFFCC00"/>
      <rgbColor rgb="FFFF9900"/>
      <rgbColor rgb="FFB77A10"/>
      <rgbColor rgb="FF6B7280"/>
      <rgbColor rgb="FF9AA3B2"/>
      <rgbColor rgb="FF1F3864"/>
      <rgbColor rgb="FF548235"/>
      <rgbColor rgb="FF003300"/>
      <rgbColor rgb="FF333300"/>
      <rgbColor rgb="FFC0392B"/>
      <rgbColor rgb="FF993366"/>
      <rgbColor rgb="FF2F5597"/>
      <rgbColor rgb="FF55607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B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4"/>
  </cols>
  <sheetData>
    <row r="1" customFormat="false" ht="23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B4" s="3" t="s">
        <v>2</v>
      </c>
    </row>
    <row r="5" customFormat="false" ht="31.5" hidden="false" customHeight="true" outlineLevel="0" collapsed="false">
      <c r="B5" s="4" t="s">
        <v>3</v>
      </c>
    </row>
    <row r="7" customFormat="false" ht="15" hidden="false" customHeight="false" outlineLevel="0" collapsed="false">
      <c r="B7" s="3" t="s">
        <v>4</v>
      </c>
    </row>
    <row r="8" customFormat="false" ht="31.5" hidden="false" customHeight="true" outlineLevel="0" collapsed="false">
      <c r="B8" s="4" t="s">
        <v>5</v>
      </c>
    </row>
    <row r="10" customFormat="false" ht="15" hidden="false" customHeight="false" outlineLevel="0" collapsed="false">
      <c r="B10" s="3" t="s">
        <v>6</v>
      </c>
    </row>
    <row r="11" customFormat="false" ht="31.5" hidden="false" customHeight="true" outlineLevel="0" collapsed="false">
      <c r="B11" s="4" t="s">
        <v>7</v>
      </c>
    </row>
    <row r="13" customFormat="false" ht="15" hidden="false" customHeight="false" outlineLevel="0" collapsed="false">
      <c r="B13" s="3" t="s">
        <v>8</v>
      </c>
    </row>
    <row r="14" customFormat="false" ht="31.5" hidden="false" customHeight="true" outlineLevel="0" collapsed="false">
      <c r="B14" s="4" t="s">
        <v>9</v>
      </c>
    </row>
    <row r="16" customFormat="false" ht="15" hidden="false" customHeight="false" outlineLevel="0" collapsed="false">
      <c r="B16" s="3" t="s">
        <v>10</v>
      </c>
    </row>
    <row r="17" customFormat="false" ht="48" hidden="false" customHeight="true" outlineLevel="0" collapsed="false">
      <c r="B17" s="4" t="s">
        <v>11</v>
      </c>
    </row>
    <row r="19" customFormat="false" ht="15" hidden="false" customHeight="false" outlineLevel="0" collapsed="false">
      <c r="B19" s="3" t="s">
        <v>12</v>
      </c>
    </row>
    <row r="20" customFormat="false" ht="31.5" hidden="false" customHeight="true" outlineLevel="0" collapsed="false">
      <c r="B20" s="4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AF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22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6" min="6" style="0" width="13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9" min="9" style="0" width="18"/>
    <col collapsed="false" customWidth="true" hidden="false" outlineLevel="0" max="10" min="10" style="0" width="16"/>
    <col collapsed="false" customWidth="true" hidden="false" outlineLevel="0" max="11" min="11" style="0" width="18"/>
    <col collapsed="false" customWidth="true" hidden="false" outlineLevel="0" max="14" min="12" style="0" width="12"/>
    <col collapsed="false" customWidth="true" hidden="false" outlineLevel="0" max="15" min="15" style="0" width="13"/>
    <col collapsed="false" customWidth="true" hidden="false" outlineLevel="0" max="16" min="16" style="0" width="12"/>
    <col collapsed="false" customWidth="true" hidden="false" outlineLevel="0" max="17" min="17" style="0" width="18"/>
    <col collapsed="false" customWidth="true" hidden="false" outlineLevel="0" max="18" min="18" style="0" width="15"/>
    <col collapsed="false" customWidth="true" hidden="false" outlineLevel="0" max="20" min="19" style="0" width="10"/>
    <col collapsed="false" customWidth="true" hidden="false" outlineLevel="0" max="21" min="21" style="0" width="20"/>
    <col collapsed="false" customWidth="true" hidden="false" outlineLevel="0" max="22" min="22" style="0" width="16"/>
    <col collapsed="false" customWidth="true" hidden="false" outlineLevel="0" max="23" min="23" style="0" width="20"/>
    <col collapsed="false" customWidth="true" hidden="false" outlineLevel="0" max="24" min="24" style="0" width="22"/>
    <col collapsed="false" customWidth="true" hidden="false" outlineLevel="0" max="25" min="25" style="0" width="26"/>
    <col collapsed="false" customWidth="true" hidden="false" outlineLevel="0" max="26" min="26" style="0" width="22"/>
    <col collapsed="false" customWidth="true" hidden="false" outlineLevel="0" max="28" min="27" style="0" width="12"/>
    <col collapsed="false" customWidth="true" hidden="false" outlineLevel="0" max="29" min="29" style="0" width="22"/>
    <col collapsed="false" customWidth="true" hidden="false" outlineLevel="0" max="30" min="30" style="0" width="10"/>
    <col collapsed="false" customWidth="true" hidden="false" outlineLevel="0" max="31" min="31" style="0" width="11"/>
    <col collapsed="false" customWidth="true" hidden="false" outlineLevel="0" max="32" min="32" style="0" width="20"/>
  </cols>
  <sheetData>
    <row r="1" customFormat="false" ht="23.1" hidden="false" customHeight="false" outlineLevel="0" collapsed="false">
      <c r="A1" s="5" t="s">
        <v>14</v>
      </c>
    </row>
    <row r="2" customFormat="false" ht="15" hidden="false" customHeight="false" outlineLevel="0" collapsed="false">
      <c r="A2" s="6" t="s">
        <v>15</v>
      </c>
    </row>
    <row r="3" customFormat="false" ht="15" hidden="false" customHeight="false" outlineLevel="0" collapsed="false">
      <c r="A3" s="3" t="s">
        <v>16</v>
      </c>
      <c r="B3" s="7" t="s">
        <v>17</v>
      </c>
      <c r="C3" s="8" t="s">
        <v>18</v>
      </c>
      <c r="D3" s="9" t="s">
        <v>19</v>
      </c>
    </row>
    <row r="4" customFormat="false" ht="30" hidden="false" customHeight="true" outlineLevel="0" collapsed="false">
      <c r="A4" s="10" t="s">
        <v>20</v>
      </c>
      <c r="B4" s="10" t="s">
        <v>21</v>
      </c>
      <c r="C4" s="10" t="s">
        <v>22</v>
      </c>
      <c r="D4" s="10" t="s">
        <v>23</v>
      </c>
      <c r="E4" s="10" t="s">
        <v>24</v>
      </c>
      <c r="F4" s="10" t="s">
        <v>25</v>
      </c>
      <c r="G4" s="10" t="s">
        <v>26</v>
      </c>
      <c r="H4" s="10" t="s">
        <v>27</v>
      </c>
      <c r="I4" s="10" t="s">
        <v>28</v>
      </c>
      <c r="J4" s="10" t="s">
        <v>29</v>
      </c>
      <c r="K4" s="10" t="s">
        <v>30</v>
      </c>
      <c r="L4" s="10" t="s">
        <v>31</v>
      </c>
      <c r="M4" s="10" t="s">
        <v>32</v>
      </c>
      <c r="N4" s="10" t="s">
        <v>33</v>
      </c>
      <c r="O4" s="11" t="s">
        <v>34</v>
      </c>
      <c r="P4" s="10" t="s">
        <v>35</v>
      </c>
      <c r="Q4" s="10" t="s">
        <v>36</v>
      </c>
      <c r="R4" s="10" t="s">
        <v>37</v>
      </c>
      <c r="S4" s="11" t="s">
        <v>38</v>
      </c>
      <c r="T4" s="11" t="s">
        <v>39</v>
      </c>
      <c r="U4" s="10" t="s">
        <v>40</v>
      </c>
      <c r="V4" s="10" t="s">
        <v>41</v>
      </c>
      <c r="W4" s="10" t="s">
        <v>42</v>
      </c>
      <c r="X4" s="10" t="s">
        <v>43</v>
      </c>
      <c r="Y4" s="10" t="s">
        <v>44</v>
      </c>
      <c r="Z4" s="10" t="s">
        <v>45</v>
      </c>
      <c r="AA4" s="11" t="s">
        <v>46</v>
      </c>
      <c r="AB4" s="10" t="s">
        <v>47</v>
      </c>
      <c r="AC4" s="10" t="s">
        <v>48</v>
      </c>
      <c r="AD4" s="10" t="s">
        <v>49</v>
      </c>
      <c r="AE4" s="10" t="s">
        <v>50</v>
      </c>
      <c r="AF4" s="10" t="s">
        <v>51</v>
      </c>
    </row>
    <row r="5" customFormat="false" ht="42" hidden="false" customHeight="true" outlineLevel="0" collapsed="false">
      <c r="A5" s="12" t="s">
        <v>52</v>
      </c>
      <c r="B5" s="13" t="s">
        <v>53</v>
      </c>
      <c r="C5" s="12" t="s">
        <v>54</v>
      </c>
      <c r="D5" s="13" t="s">
        <v>55</v>
      </c>
      <c r="E5" s="13" t="s">
        <v>56</v>
      </c>
      <c r="F5" s="13" t="s">
        <v>57</v>
      </c>
      <c r="G5" s="13" t="n">
        <v>800</v>
      </c>
      <c r="H5" s="13" t="n">
        <v>2200</v>
      </c>
      <c r="I5" s="12" t="s">
        <v>58</v>
      </c>
      <c r="J5" s="13" t="s">
        <v>59</v>
      </c>
      <c r="K5" s="13" t="s">
        <v>60</v>
      </c>
      <c r="L5" s="12" t="s">
        <v>61</v>
      </c>
      <c r="M5" s="12" t="s">
        <v>62</v>
      </c>
      <c r="N5" s="12" t="s">
        <v>63</v>
      </c>
      <c r="O5" s="12" t="s">
        <v>64</v>
      </c>
      <c r="P5" s="13" t="s">
        <v>65</v>
      </c>
      <c r="Q5" s="13" t="s">
        <v>66</v>
      </c>
      <c r="R5" s="13" t="s">
        <v>67</v>
      </c>
      <c r="S5" s="12" t="s">
        <v>68</v>
      </c>
      <c r="T5" s="13" t="s">
        <v>69</v>
      </c>
      <c r="U5" s="13" t="s">
        <v>70</v>
      </c>
      <c r="V5" s="13" t="s">
        <v>71</v>
      </c>
      <c r="W5" s="12" t="s">
        <v>72</v>
      </c>
      <c r="X5" s="13" t="s">
        <v>73</v>
      </c>
      <c r="Y5" s="12" t="s">
        <v>74</v>
      </c>
      <c r="Z5" s="12" t="s">
        <v>75</v>
      </c>
      <c r="AA5" s="13" t="s">
        <v>76</v>
      </c>
      <c r="AB5" s="12" t="s">
        <v>77</v>
      </c>
      <c r="AC5" s="13" t="s">
        <v>78</v>
      </c>
      <c r="AD5" s="12" t="s">
        <v>79</v>
      </c>
      <c r="AE5" s="12" t="s">
        <v>80</v>
      </c>
      <c r="AF5" s="13" t="s">
        <v>81</v>
      </c>
    </row>
    <row r="6" customFormat="false" ht="42" hidden="false" customHeight="true" outlineLevel="0" collapsed="false">
      <c r="A6" s="14" t="s">
        <v>82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</row>
    <row r="7" customFormat="false" ht="42" hidden="false" customHeight="true" outlineLevel="0" collapsed="false">
      <c r="A7" s="14" t="s">
        <v>83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</row>
    <row r="8" customFormat="false" ht="42" hidden="false" customHeight="true" outlineLevel="0" collapsed="false">
      <c r="A8" s="14" t="s">
        <v>84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</row>
    <row r="9" customFormat="false" ht="42" hidden="false" customHeight="true" outlineLevel="0" collapsed="false">
      <c r="A9" s="14" t="s">
        <v>85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</row>
    <row r="10" customFormat="false" ht="42" hidden="false" customHeight="true" outlineLevel="0" collapsed="false">
      <c r="A10" s="14" t="s">
        <v>86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</row>
    <row r="11" customFormat="false" ht="42" hidden="false" customHeight="true" outlineLevel="0" collapsed="false">
      <c r="A11" s="14" t="s">
        <v>87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</row>
    <row r="12" customFormat="false" ht="42" hidden="false" customHeight="true" outlineLevel="0" collapsed="false">
      <c r="A12" s="14" t="s">
        <v>88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</row>
    <row r="13" customFormat="false" ht="42" hidden="false" customHeight="true" outlineLevel="0" collapsed="false">
      <c r="A13" s="14" t="s">
        <v>89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</row>
    <row r="14" customFormat="false" ht="42" hidden="false" customHeight="true" outlineLevel="0" collapsed="false">
      <c r="A14" s="14" t="s">
        <v>90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</row>
    <row r="15" customFormat="false" ht="42" hidden="false" customHeight="true" outlineLevel="0" collapsed="false">
      <c r="A15" s="14" t="s">
        <v>91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</row>
    <row r="16" customFormat="false" ht="42" hidden="false" customHeight="true" outlineLevel="0" collapsed="false">
      <c r="A16" s="14" t="s">
        <v>92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</row>
    <row r="17" customFormat="false" ht="42" hidden="false" customHeight="true" outlineLevel="0" collapsed="false">
      <c r="A17" s="14" t="s">
        <v>93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</row>
    <row r="18" customFormat="false" ht="42" hidden="false" customHeight="true" outlineLevel="0" collapsed="false">
      <c r="A18" s="14" t="s">
        <v>94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</row>
    <row r="19" customFormat="false" ht="42" hidden="false" customHeight="true" outlineLevel="0" collapsed="false">
      <c r="A19" s="14" t="s">
        <v>95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</row>
    <row r="20" customFormat="false" ht="42" hidden="false" customHeight="true" outlineLevel="0" collapsed="false">
      <c r="A20" s="14" t="s">
        <v>96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</row>
    <row r="21" customFormat="false" ht="42" hidden="false" customHeight="true" outlineLevel="0" collapsed="false">
      <c r="A21" s="14" t="s">
        <v>97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</row>
    <row r="22" customFormat="false" ht="42" hidden="false" customHeight="true" outlineLevel="0" collapsed="false">
      <c r="A22" s="14" t="s">
        <v>98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</row>
    <row r="23" customFormat="false" ht="42" hidden="false" customHeight="true" outlineLevel="0" collapsed="false">
      <c r="A23" s="14" t="s">
        <v>99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</row>
    <row r="24" customFormat="false" ht="42" hidden="false" customHeight="true" outlineLevel="0" collapsed="false">
      <c r="A24" s="14" t="s">
        <v>100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</row>
    <row r="25" customFormat="false" ht="42" hidden="false" customHeight="true" outlineLevel="0" collapsed="false">
      <c r="A25" s="14" t="s">
        <v>101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</row>
    <row r="26" customFormat="false" ht="42" hidden="false" customHeight="true" outlineLevel="0" collapsed="false">
      <c r="A26" s="14" t="s">
        <v>102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</row>
    <row r="27" customFormat="false" ht="42" hidden="false" customHeight="true" outlineLevel="0" collapsed="false">
      <c r="A27" s="14" t="s">
        <v>103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</row>
    <row r="28" customFormat="false" ht="42" hidden="false" customHeight="true" outlineLevel="0" collapsed="false">
      <c r="A28" s="14" t="s">
        <v>104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</row>
    <row r="29" customFormat="false" ht="42" hidden="false" customHeight="true" outlineLevel="0" collapsed="false">
      <c r="A29" s="14" t="s">
        <v>105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</row>
    <row r="30" customFormat="false" ht="42" hidden="false" customHeight="true" outlineLevel="0" collapsed="false">
      <c r="A30" s="14" t="s">
        <v>106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</row>
    <row r="31" customFormat="false" ht="42" hidden="false" customHeight="true" outlineLevel="0" collapsed="false">
      <c r="A31" s="14" t="s">
        <v>107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</row>
    <row r="32" customFormat="false" ht="42" hidden="false" customHeight="true" outlineLevel="0" collapsed="false">
      <c r="A32" s="14" t="s">
        <v>108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</row>
    <row r="33" customFormat="false" ht="42" hidden="false" customHeight="true" outlineLevel="0" collapsed="false">
      <c r="A33" s="14" t="s">
        <v>109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</row>
    <row r="34" customFormat="false" ht="42" hidden="false" customHeight="true" outlineLevel="0" collapsed="false">
      <c r="A34" s="14" t="s">
        <v>110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</row>
    <row r="35" customFormat="false" ht="42" hidden="false" customHeight="true" outlineLevel="0" collapsed="false">
      <c r="A35" s="14" t="s">
        <v>111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</row>
    <row r="36" customFormat="false" ht="42" hidden="false" customHeight="true" outlineLevel="0" collapsed="false">
      <c r="A36" s="14" t="s">
        <v>112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</row>
    <row r="37" customFormat="false" ht="42" hidden="false" customHeight="true" outlineLevel="0" collapsed="false">
      <c r="A37" s="14" t="s">
        <v>113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</row>
    <row r="38" customFormat="false" ht="42" hidden="false" customHeight="true" outlineLevel="0" collapsed="false">
      <c r="A38" s="14" t="s">
        <v>114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</row>
    <row r="39" customFormat="false" ht="42" hidden="false" customHeight="true" outlineLevel="0" collapsed="false">
      <c r="A39" s="14" t="s">
        <v>115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</row>
    <row r="40" customFormat="false" ht="42" hidden="false" customHeight="true" outlineLevel="0" collapsed="false">
      <c r="A40" s="14" t="s">
        <v>116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</row>
    <row r="41" customFormat="false" ht="42" hidden="false" customHeight="true" outlineLevel="0" collapsed="false">
      <c r="A41" s="14" t="s">
        <v>117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</row>
    <row r="42" customFormat="false" ht="42" hidden="false" customHeight="true" outlineLevel="0" collapsed="false">
      <c r="A42" s="14" t="s">
        <v>118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</row>
    <row r="43" customFormat="false" ht="42" hidden="false" customHeight="true" outlineLevel="0" collapsed="false">
      <c r="A43" s="14" t="s">
        <v>119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</row>
    <row r="44" customFormat="false" ht="42" hidden="false" customHeight="true" outlineLevel="0" collapsed="false">
      <c r="A44" s="14" t="s">
        <v>120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</row>
    <row r="45" customFormat="false" ht="42" hidden="false" customHeight="true" outlineLevel="0" collapsed="false">
      <c r="A45" s="14" t="s">
        <v>121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</row>
  </sheetData>
  <autoFilter ref="A4:AF45"/>
  <dataValidations count="7">
    <dataValidation allowBlank="true" errorStyle="stop" operator="between" showDropDown="false" showErrorMessage="false" showInputMessage="false" sqref="E5:E45" type="list">
      <formula1>選單_Lists!$A$2:$A$7</formula1>
      <formula2>0</formula2>
    </dataValidation>
    <dataValidation allowBlank="true" errorStyle="stop" operator="between" showDropDown="false" showErrorMessage="false" showInputMessage="false" sqref="F5:F45" type="list">
      <formula1>選單_Lists!$B$2:$B$5</formula1>
      <formula2>0</formula2>
    </dataValidation>
    <dataValidation allowBlank="true" errorStyle="stop" operator="between" showDropDown="false" showErrorMessage="false" showInputMessage="false" sqref="I5:I45" type="list">
      <formula1>選單_Lists!$C$2:$C$6</formula1>
      <formula2>0</formula2>
    </dataValidation>
    <dataValidation allowBlank="true" errorStyle="stop" operator="between" showDropDown="false" showErrorMessage="false" showInputMessage="false" sqref="R5:R45" type="list">
      <formula1>選單_Lists!$D$2:$D$5</formula1>
      <formula2>0</formula2>
    </dataValidation>
    <dataValidation allowBlank="true" errorStyle="stop" operator="between" showDropDown="false" showErrorMessage="false" showInputMessage="false" sqref="S5:S45" type="list">
      <formula1>選單_Lists!$E$2:$E$7</formula1>
      <formula2>0</formula2>
    </dataValidation>
    <dataValidation allowBlank="true" errorStyle="stop" operator="between" showDropDown="false" showErrorMessage="false" showInputMessage="false" sqref="T5:T45" type="list">
      <formula1>選單_Lists!$F$2:$F$5</formula1>
      <formula2>0</formula2>
    </dataValidation>
    <dataValidation allowBlank="true" errorStyle="stop" operator="between" showDropDown="false" showErrorMessage="false" showInputMessage="false" sqref="AA5:AA45" type="list">
      <formula1>選單_Lists!$G$2:$G$4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1:F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5"/>
    <col collapsed="false" customWidth="true" hidden="false" outlineLevel="0" max="5" min="5" style="0" width="16"/>
    <col collapsed="false" customWidth="true" hidden="false" outlineLevel="0" max="6" min="6" style="0" width="30"/>
    <col collapsed="false" customWidth="true" hidden="false" outlineLevel="0" max="7" min="7" style="0" width="3"/>
  </cols>
  <sheetData>
    <row r="1" customFormat="false" ht="23.1" hidden="false" customHeight="false" outlineLevel="0" collapsed="false">
      <c r="B1" s="5" t="s">
        <v>122</v>
      </c>
    </row>
    <row r="2" customFormat="false" ht="15" hidden="false" customHeight="false" outlineLevel="0" collapsed="false">
      <c r="B2" s="6" t="s">
        <v>123</v>
      </c>
    </row>
    <row r="4" customFormat="false" ht="19.4" hidden="false" customHeight="false" outlineLevel="0" collapsed="false">
      <c r="B4" s="3" t="s">
        <v>124</v>
      </c>
      <c r="C4" s="16" t="s">
        <v>125</v>
      </c>
    </row>
    <row r="6" customFormat="false" ht="21.75" hidden="false" customHeight="true" outlineLevel="0" collapsed="false">
      <c r="B6" s="17" t="s">
        <v>126</v>
      </c>
      <c r="C6" s="17"/>
      <c r="D6" s="17"/>
      <c r="E6" s="17"/>
      <c r="F6" s="17"/>
    </row>
    <row r="7" customFormat="false" ht="30" hidden="false" customHeight="true" outlineLevel="0" collapsed="false">
      <c r="B7" s="18" t="s">
        <v>127</v>
      </c>
      <c r="C7" s="19" t="str">
        <f aca="false">IFERROR(INDEX(醫院名錄_Registry!$C$5:$C$45,MATCH($C$4,醫院名錄_Registry!$B$5:$B$45,0)),"")</f>
        <v>Bệnh viện Đa khoa Tỉnh A</v>
      </c>
      <c r="E7" s="18" t="s">
        <v>128</v>
      </c>
      <c r="F7" s="19" t="str">
        <f aca="false">IFERROR(INDEX(醫院名錄_Registry!$D$5:$D$45,MATCH($C$4,醫院名錄_Registry!$B$5:$B$45,0)),"")</f>
        <v>興安省</v>
      </c>
    </row>
    <row r="8" customFormat="false" ht="30" hidden="false" customHeight="true" outlineLevel="0" collapsed="false">
      <c r="B8" s="18" t="s">
        <v>24</v>
      </c>
      <c r="C8" s="19" t="str">
        <f aca="false">IFERROR(INDEX(醫院名錄_Registry!$E$5:$E$45,MATCH($C$4,醫院名錄_Registry!$B$5:$B$45,0)),"")</f>
        <v>公立-省級</v>
      </c>
      <c r="E8" s="18" t="s">
        <v>25</v>
      </c>
      <c r="F8" s="19" t="str">
        <f aca="false">IFERROR(INDEX(醫院名錄_Registry!$F$5:$F$45,MATCH($C$4,醫院名錄_Registry!$B$5:$B$45,0)),"")</f>
        <v>基本 Cơ bản</v>
      </c>
    </row>
    <row r="9" customFormat="false" ht="30" hidden="false" customHeight="true" outlineLevel="0" collapsed="false">
      <c r="B9" s="18" t="s">
        <v>26</v>
      </c>
      <c r="C9" s="19" t="n">
        <f aca="false">IFERROR(INDEX(醫院名錄_Registry!$G$5:$G$45,MATCH($C$4,醫院名錄_Registry!$B$5:$B$45,0)),"")</f>
        <v>800</v>
      </c>
      <c r="E9" s="18" t="s">
        <v>27</v>
      </c>
      <c r="F9" s="19" t="n">
        <f aca="false">IFERROR(INDEX(醫院名錄_Registry!$H$5:$H$45,MATCH($C$4,醫院名錄_Registry!$B$5:$B$45,0)),"")</f>
        <v>2200</v>
      </c>
    </row>
    <row r="11" customFormat="false" ht="21.75" hidden="false" customHeight="true" outlineLevel="0" collapsed="false">
      <c r="B11" s="17" t="s">
        <v>129</v>
      </c>
      <c r="C11" s="17"/>
      <c r="D11" s="17"/>
      <c r="E11" s="17"/>
      <c r="F11" s="17"/>
    </row>
    <row r="12" customFormat="false" ht="30" hidden="false" customHeight="true" outlineLevel="0" collapsed="false">
      <c r="B12" s="18" t="s">
        <v>130</v>
      </c>
      <c r="C12" s="19" t="str">
        <f aca="false">IFERROR(INDEX(醫院名錄_Registry!$I$5:$I$45,MATCH($C$4,醫院名錄_Registry!$B$5:$B$45,0)),"")</f>
        <v>Nhóm 2 經常性支出自主</v>
      </c>
      <c r="E12" s="18" t="s">
        <v>29</v>
      </c>
      <c r="F12" s="19" t="str">
        <f aca="false">IFERROR(INDEX(醫院名錄_Registry!$J$5:$J$45,MATCH($C$4,醫院名錄_Registry!$B$5:$B$45,0)),"")</f>
        <v>院方(需衛生廳核備)</v>
      </c>
    </row>
    <row r="13" customFormat="false" ht="30" hidden="false" customHeight="true" outlineLevel="0" collapsed="false">
      <c r="B13" s="18" t="s">
        <v>30</v>
      </c>
      <c r="C13" s="19" t="str">
        <f aca="false">IFERROR(INDEX(醫院名錄_Registry!$K$5:$K$45,MATCH($C$4,醫院名錄_Registry!$B$5:$B$45,0)),"")</f>
        <v>醫院發展基金＋省預算</v>
      </c>
    </row>
    <row r="15" customFormat="false" ht="21.75" hidden="false" customHeight="true" outlineLevel="0" collapsed="false">
      <c r="B15" s="17" t="s">
        <v>131</v>
      </c>
      <c r="C15" s="17"/>
      <c r="D15" s="17"/>
      <c r="E15" s="17"/>
      <c r="F15" s="17"/>
    </row>
    <row r="16" customFormat="false" ht="30" hidden="false" customHeight="true" outlineLevel="0" collapsed="false">
      <c r="B16" s="18" t="s">
        <v>31</v>
      </c>
      <c r="C16" s="19" t="str">
        <f aca="false">IFERROR(INDEX(醫院名錄_Registry!$L$5:$L$45,MATCH($C$4,醫院名錄_Registry!$B$5:$B$45,0)),"")</f>
        <v>Dr. Nguyễn Văn A</v>
      </c>
      <c r="E16" s="18" t="s">
        <v>32</v>
      </c>
      <c r="F16" s="19" t="str">
        <f aca="false">IFERROR(INDEX(醫院名錄_Registry!$M$5:$M$45,MATCH($C$4,醫院名錄_Registry!$B$5:$B$45,0)),"")</f>
        <v>Ông Trần B</v>
      </c>
    </row>
    <row r="17" customFormat="false" ht="30" hidden="false" customHeight="true" outlineLevel="0" collapsed="false">
      <c r="B17" s="18" t="s">
        <v>33</v>
      </c>
      <c r="C17" s="19" t="str">
        <f aca="false">IFERROR(INDEX(醫院名錄_Registry!$N$5:$N$45,MATCH($C$4,醫院名錄_Registry!$B$5:$B$45,0)),"")</f>
        <v>Dr. Lê C(主管基建)</v>
      </c>
      <c r="E17" s="20" t="s">
        <v>132</v>
      </c>
      <c r="F17" s="19" t="str">
        <f aca="false">IFERROR(INDEX(醫院名錄_Registry!$O$5:$O$45,MATCH($C$4,醫院名錄_Registry!$B$5:$B$45,0)),"")</f>
        <v>Ông Phạm D</v>
      </c>
    </row>
    <row r="18" customFormat="false" ht="30" hidden="false" customHeight="true" outlineLevel="0" collapsed="false">
      <c r="B18" s="18" t="s">
        <v>35</v>
      </c>
      <c r="C18" s="19" t="str">
        <f aca="false">IFERROR(INDEX(醫院名錄_Registry!$P$5:$P$45,MATCH($C$4,醫院名錄_Registry!$B$5:$B$45,0)),"")</f>
        <v>（待建立）</v>
      </c>
      <c r="E18" s="18" t="s">
        <v>133</v>
      </c>
      <c r="F18" s="19" t="str">
        <f aca="false">IFERROR(INDEX(醫院名錄_Registry!$Q$5:$Q$45,MATCH($C$4,醫院名錄_Registry!$B$5:$B$45,0)),"")</f>
        <v>台商協會X會長→院長</v>
      </c>
    </row>
    <row r="19" customFormat="false" ht="30" hidden="false" customHeight="true" outlineLevel="0" collapsed="false">
      <c r="B19" s="18" t="s">
        <v>37</v>
      </c>
      <c r="C19" s="19" t="str">
        <f aca="false">IFERROR(INDEX(醫院名錄_Registry!$R$5:$R$45,MATCH($C$4,醫院名錄_Registry!$B$5:$B$45,0)),"")</f>
        <v>中(有引薦路徑)</v>
      </c>
    </row>
    <row r="21" customFormat="false" ht="21.75" hidden="false" customHeight="true" outlineLevel="0" collapsed="false">
      <c r="B21" s="17" t="s">
        <v>134</v>
      </c>
      <c r="C21" s="17"/>
      <c r="D21" s="17"/>
      <c r="E21" s="17"/>
      <c r="F21" s="17"/>
    </row>
    <row r="22" customFormat="false" ht="30" hidden="false" customHeight="true" outlineLevel="0" collapsed="false">
      <c r="B22" s="20" t="s">
        <v>135</v>
      </c>
      <c r="C22" s="19" t="str">
        <f aca="false">IFERROR(INDEX(醫院名錄_Registry!$S$5:$S$45,MATCH($C$4,醫院名錄_Registry!$B$5:$B$45,0)),"")</f>
        <v>Viettel</v>
      </c>
      <c r="E22" s="20" t="s">
        <v>136</v>
      </c>
      <c r="F22" s="19" t="str">
        <f aca="false">IFERROR(INDEX(醫院名錄_Registry!$T$5:$T$45,MATCH($C$4,醫院名錄_Registry!$B$5:$B$45,0)),"")</f>
        <v>建置中</v>
      </c>
    </row>
    <row r="23" customFormat="false" ht="30" hidden="false" customHeight="true" outlineLevel="0" collapsed="false">
      <c r="B23" s="18" t="s">
        <v>137</v>
      </c>
      <c r="C23" s="19" t="str">
        <f aca="false">IFERROR(INDEX(醫院名錄_Registry!$U$5:$U$45,MATCH($C$4,醫院名錄_Registry!$B$5:$B$45,0)),"")</f>
        <v>自建小機房、無備援、UPS 10年未換</v>
      </c>
      <c r="E23" s="20" t="s">
        <v>138</v>
      </c>
      <c r="F23" s="19" t="str">
        <f aca="false">IFERROR(INDEX(醫院名錄_Registry!$V$5:$V$45,MATCH($C$4,醫院名錄_Registry!$B$5:$B$45,0)),"")</f>
        <v>無BMS、弱電雜牌</v>
      </c>
    </row>
    <row r="24" customFormat="false" ht="30" hidden="false" customHeight="true" outlineLevel="0" collapsed="false">
      <c r="B24" s="18" t="s">
        <v>139</v>
      </c>
      <c r="C24" s="19" t="str">
        <f aca="false">IFERROR(INDEX(醫院名錄_Registry!$W$5:$W$45,MATCH($C$4,醫院名錄_Registry!$B$5:$B$45,0)),"")</f>
        <v>Viettel HIS 約2027到期</v>
      </c>
    </row>
    <row r="26" customFormat="false" ht="21.75" hidden="false" customHeight="true" outlineLevel="0" collapsed="false">
      <c r="B26" s="17" t="s">
        <v>140</v>
      </c>
      <c r="C26" s="17"/>
      <c r="D26" s="17"/>
      <c r="E26" s="17"/>
      <c r="F26" s="17"/>
    </row>
    <row r="27" customFormat="false" ht="30" hidden="false" customHeight="true" outlineLevel="0" collapsed="false">
      <c r="B27" s="18" t="s">
        <v>141</v>
      </c>
      <c r="C27" s="19" t="str">
        <f aca="false">IFERROR(INDEX(醫院名錄_Registry!$X$5:$X$45,MATCH($C$4,醫院名錄_Registry!$B$5:$B$45,0)),"")</f>
        <v>新建二期大樓 300床(2027動工)</v>
      </c>
      <c r="E27" s="18" t="s">
        <v>142</v>
      </c>
      <c r="F27" s="19" t="str">
        <f aca="false">IFERROR(INDEX(醫院名錄_Registry!$Y$5:$Y$45,MATCH($C$4,醫院名錄_Registry!$B$5:$B$45,0)),"")</f>
        <v>EMR達標壓力＋新大樓要智慧化</v>
      </c>
    </row>
    <row r="28" customFormat="false" ht="30" hidden="false" customHeight="true" outlineLevel="0" collapsed="false">
      <c r="B28" s="18" t="s">
        <v>143</v>
      </c>
      <c r="C28" s="19" t="str">
        <f aca="false">IFERROR(INDEX(醫院名錄_Registry!$Z$5:$Z$45,MATCH($C$4,醫院名錄_Registry!$B$5:$B$45,0)),"")</f>
        <v>OPP-24; OPP-26</v>
      </c>
      <c r="E28" s="20" t="s">
        <v>144</v>
      </c>
      <c r="F28" s="19" t="str">
        <f aca="false">IFERROR(INDEX(醫院名錄_Registry!$AA$5:$AA$45,MATCH($C$4,醫院名錄_Registry!$B$5:$B$45,0)),"")</f>
        <v>索取中</v>
      </c>
    </row>
    <row r="29" customFormat="false" ht="30" hidden="false" customHeight="true" outlineLevel="0" collapsed="false">
      <c r="B29" s="18" t="s">
        <v>145</v>
      </c>
      <c r="C29" s="19" t="str">
        <f aca="false">IFERROR(INDEX(醫院名錄_Registry!$AB$5:$AB$45,MATCH($C$4,醫院名錄_Registry!$B$5:$B$45,0)),"")</f>
        <v>2026-08-01</v>
      </c>
      <c r="E29" s="18" t="s">
        <v>146</v>
      </c>
      <c r="F29" s="19" t="str">
        <f aca="false">IFERROR(INDEX(醫院名錄_Registry!$AC$5:$AC$45,MATCH($C$4,醫院名錄_Registry!$B$5:$B$45,0)),"")</f>
        <v>安排參訪台灣參考醫院</v>
      </c>
    </row>
    <row r="30" customFormat="false" ht="30" hidden="false" customHeight="true" outlineLevel="0" collapsed="false">
      <c r="B30" s="18" t="s">
        <v>49</v>
      </c>
      <c r="C30" s="19" t="str">
        <f aca="false">IFERROR(INDEX(醫院名錄_Registry!$AD$5:$AD$45,MATCH($C$4,醫院名錄_Registry!$B$5:$B$45,0)),"")</f>
        <v>NC</v>
      </c>
      <c r="E30" s="18" t="s">
        <v>50</v>
      </c>
      <c r="F30" s="19" t="str">
        <f aca="false">IFERROR(INDEX(醫院名錄_Registry!$AE$5:$AE$45,MATCH($C$4,醫院名錄_Registry!$B$5:$B$45,0)),"")</f>
        <v>2026-09-15</v>
      </c>
    </row>
    <row r="31" customFormat="false" ht="30" hidden="false" customHeight="true" outlineLevel="0" collapsed="false">
      <c r="B31" s="18" t="s">
        <v>51</v>
      </c>
      <c r="C31" s="19" t="str">
        <f aca="false">IFERROR(INDEX(醫院名錄_Registry!$AF$5:$AF$45,MATCH($C$4,醫院名錄_Registry!$B$5:$B$45,0)),"")</f>
        <v>院長對節能有興趣</v>
      </c>
    </row>
    <row r="33" customFormat="false" ht="15" hidden="false" customHeight="false" outlineLevel="0" collapsed="false">
      <c r="B33" s="21" t="s">
        <v>147</v>
      </c>
    </row>
  </sheetData>
  <mergeCells count="5">
    <mergeCell ref="B6:F6"/>
    <mergeCell ref="B11:F11"/>
    <mergeCell ref="B15:F15"/>
    <mergeCell ref="B21:F21"/>
    <mergeCell ref="B26:F26"/>
  </mergeCells>
  <dataValidations count="1">
    <dataValidation allowBlank="true" errorStyle="stop" operator="between" showDropDown="false" showErrorMessage="false" showInputMessage="false" sqref="C4" type="list">
      <formula1>醫院名錄_Registry!$B$5:$B$45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U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24"/>
    <col collapsed="false" customWidth="true" hidden="false" outlineLevel="0" max="14" min="5" style="0" width="7"/>
    <col collapsed="false" customWidth="true" hidden="false" outlineLevel="0" max="15" min="15" style="0" width="8"/>
    <col collapsed="false" customWidth="true" hidden="false" outlineLevel="0" max="16" min="16" style="0" width="16"/>
    <col collapsed="false" customWidth="true" hidden="false" outlineLevel="0" max="17" min="17" style="0" width="22"/>
    <col collapsed="false" customWidth="true" hidden="false" outlineLevel="0" max="18" min="18" style="0" width="10"/>
    <col collapsed="false" customWidth="true" hidden="false" outlineLevel="0" max="19" min="19" style="0" width="11"/>
    <col collapsed="false" customWidth="true" hidden="false" outlineLevel="0" max="20" min="20" style="0" width="12"/>
    <col collapsed="false" customWidth="true" hidden="false" outlineLevel="0" max="21" min="21" style="0" width="18"/>
  </cols>
  <sheetData>
    <row r="1" customFormat="false" ht="23.1" hidden="false" customHeight="false" outlineLevel="0" collapsed="false">
      <c r="A1" s="5" t="s">
        <v>148</v>
      </c>
    </row>
    <row r="2" customFormat="false" ht="15" hidden="false" customHeight="false" outlineLevel="0" collapsed="false">
      <c r="A2" s="6" t="s">
        <v>149</v>
      </c>
    </row>
    <row r="3" customFormat="false" ht="15" hidden="false" customHeight="false" outlineLevel="0" collapsed="false">
      <c r="A3" s="3" t="s">
        <v>16</v>
      </c>
      <c r="B3" s="7" t="s">
        <v>17</v>
      </c>
      <c r="C3" s="8" t="s">
        <v>18</v>
      </c>
      <c r="D3" s="9" t="s">
        <v>19</v>
      </c>
    </row>
    <row r="4" customFormat="false" ht="30" hidden="false" customHeight="true" outlineLevel="0" collapsed="false">
      <c r="A4" s="10" t="s">
        <v>150</v>
      </c>
      <c r="B4" s="10" t="s">
        <v>151</v>
      </c>
      <c r="C4" s="10" t="s">
        <v>143</v>
      </c>
      <c r="D4" s="10" t="s">
        <v>152</v>
      </c>
      <c r="E4" s="11" t="s">
        <v>153</v>
      </c>
      <c r="F4" s="11" t="s">
        <v>154</v>
      </c>
      <c r="G4" s="11" t="s">
        <v>155</v>
      </c>
      <c r="H4" s="11" t="s">
        <v>156</v>
      </c>
      <c r="I4" s="11" t="s">
        <v>157</v>
      </c>
      <c r="J4" s="11" t="s">
        <v>158</v>
      </c>
      <c r="K4" s="11" t="s">
        <v>159</v>
      </c>
      <c r="L4" s="11" t="s">
        <v>160</v>
      </c>
      <c r="M4" s="11" t="s">
        <v>161</v>
      </c>
      <c r="N4" s="11" t="s">
        <v>162</v>
      </c>
      <c r="O4" s="10" t="s">
        <v>163</v>
      </c>
      <c r="P4" s="10" t="s">
        <v>164</v>
      </c>
      <c r="Q4" s="10" t="s">
        <v>48</v>
      </c>
      <c r="R4" s="10" t="s">
        <v>49</v>
      </c>
      <c r="S4" s="10" t="s">
        <v>50</v>
      </c>
      <c r="T4" s="10" t="s">
        <v>165</v>
      </c>
      <c r="U4" s="10" t="s">
        <v>51</v>
      </c>
    </row>
    <row r="5" customFormat="false" ht="33.75" hidden="false" customHeight="true" outlineLevel="0" collapsed="false">
      <c r="A5" s="22" t="s">
        <v>166</v>
      </c>
      <c r="B5" s="13" t="s">
        <v>53</v>
      </c>
      <c r="C5" s="12" t="s">
        <v>167</v>
      </c>
      <c r="D5" s="13" t="s">
        <v>168</v>
      </c>
      <c r="E5" s="22" t="n">
        <v>2</v>
      </c>
      <c r="F5" s="22" t="n">
        <v>1</v>
      </c>
      <c r="G5" s="22" t="n">
        <v>2</v>
      </c>
      <c r="H5" s="22" t="n">
        <v>2</v>
      </c>
      <c r="I5" s="22" t="n">
        <v>2</v>
      </c>
      <c r="J5" s="22" t="n">
        <v>1</v>
      </c>
      <c r="K5" s="22" t="n">
        <v>2</v>
      </c>
      <c r="L5" s="22" t="n">
        <v>1</v>
      </c>
      <c r="M5" s="22" t="n">
        <v>2</v>
      </c>
      <c r="N5" s="22" t="n">
        <v>2</v>
      </c>
      <c r="O5" s="23" t="n">
        <f aca="false">IF(COUNT(E5:N5)=0,"",SUM(E5:N5))</f>
        <v>17</v>
      </c>
      <c r="P5" s="24" t="str">
        <f aca="false">IF(COUNT(E5:N5)=0,"",IF(OR(E5=0,J5=0),"暫停(關鍵題0分)",IF(O5&gt;=14,"積極爭取",IF(O5&gt;=10,"觀察培養","暫停"))))</f>
        <v>積極爭取</v>
      </c>
      <c r="Q5" s="13" t="s">
        <v>169</v>
      </c>
      <c r="R5" s="22" t="s">
        <v>79</v>
      </c>
      <c r="S5" s="22" t="s">
        <v>170</v>
      </c>
      <c r="T5" s="25" t="s">
        <v>171</v>
      </c>
      <c r="U5" s="13" t="s">
        <v>172</v>
      </c>
    </row>
    <row r="6" customFormat="false" ht="33.75" hidden="false" customHeight="true" outlineLevel="0" collapsed="false">
      <c r="A6" s="14" t="s">
        <v>173</v>
      </c>
      <c r="B6" s="15"/>
      <c r="C6" s="15"/>
      <c r="D6" s="15"/>
      <c r="E6" s="26"/>
      <c r="F6" s="26"/>
      <c r="G6" s="26"/>
      <c r="H6" s="26"/>
      <c r="I6" s="26"/>
      <c r="J6" s="26"/>
      <c r="K6" s="26"/>
      <c r="L6" s="26"/>
      <c r="M6" s="26"/>
      <c r="N6" s="26"/>
      <c r="O6" s="23" t="str">
        <f aca="false">IF(COUNT(E6:N6)=0,"",SUM(E6:N6))</f>
        <v/>
      </c>
      <c r="P6" s="24" t="str">
        <f aca="false">IF(COUNT(E6:N6)=0,"",IF(OR(E6=0,J6=0),"暫停(關鍵題0分)",IF(O6&gt;=14,"積極爭取",IF(O6&gt;=10,"觀察培養","暫停"))))</f>
        <v/>
      </c>
      <c r="Q6" s="15"/>
      <c r="R6" s="15"/>
      <c r="S6" s="15"/>
      <c r="T6" s="15"/>
      <c r="U6" s="15"/>
    </row>
    <row r="7" customFormat="false" ht="33.75" hidden="false" customHeight="true" outlineLevel="0" collapsed="false">
      <c r="A7" s="14" t="s">
        <v>174</v>
      </c>
      <c r="B7" s="15"/>
      <c r="C7" s="15"/>
      <c r="D7" s="15"/>
      <c r="E7" s="26"/>
      <c r="F7" s="26"/>
      <c r="G7" s="26"/>
      <c r="H7" s="26"/>
      <c r="I7" s="26"/>
      <c r="J7" s="26"/>
      <c r="K7" s="26"/>
      <c r="L7" s="26"/>
      <c r="M7" s="26"/>
      <c r="N7" s="26"/>
      <c r="O7" s="23" t="str">
        <f aca="false">IF(COUNT(E7:N7)=0,"",SUM(E7:N7))</f>
        <v/>
      </c>
      <c r="P7" s="24" t="str">
        <f aca="false">IF(COUNT(E7:N7)=0,"",IF(OR(E7=0,J7=0),"暫停(關鍵題0分)",IF(O7&gt;=14,"積極爭取",IF(O7&gt;=10,"觀察培養","暫停"))))</f>
        <v/>
      </c>
      <c r="Q7" s="15"/>
      <c r="R7" s="15"/>
      <c r="S7" s="15"/>
      <c r="T7" s="15"/>
      <c r="U7" s="15"/>
    </row>
    <row r="8" customFormat="false" ht="33.75" hidden="false" customHeight="true" outlineLevel="0" collapsed="false">
      <c r="A8" s="14" t="s">
        <v>175</v>
      </c>
      <c r="B8" s="15"/>
      <c r="C8" s="15"/>
      <c r="D8" s="15"/>
      <c r="E8" s="26"/>
      <c r="F8" s="26"/>
      <c r="G8" s="26"/>
      <c r="H8" s="26"/>
      <c r="I8" s="26"/>
      <c r="J8" s="26"/>
      <c r="K8" s="26"/>
      <c r="L8" s="26"/>
      <c r="M8" s="26"/>
      <c r="N8" s="26"/>
      <c r="O8" s="23" t="str">
        <f aca="false">IF(COUNT(E8:N8)=0,"",SUM(E8:N8))</f>
        <v/>
      </c>
      <c r="P8" s="24" t="str">
        <f aca="false">IF(COUNT(E8:N8)=0,"",IF(OR(E8=0,J8=0),"暫停(關鍵題0分)",IF(O8&gt;=14,"積極爭取",IF(O8&gt;=10,"觀察培養","暫停"))))</f>
        <v/>
      </c>
      <c r="Q8" s="15"/>
      <c r="R8" s="15"/>
      <c r="S8" s="15"/>
      <c r="T8" s="15"/>
      <c r="U8" s="15"/>
    </row>
    <row r="9" customFormat="false" ht="33.75" hidden="false" customHeight="true" outlineLevel="0" collapsed="false">
      <c r="A9" s="14" t="s">
        <v>176</v>
      </c>
      <c r="B9" s="15"/>
      <c r="C9" s="15"/>
      <c r="D9" s="15"/>
      <c r="E9" s="26"/>
      <c r="F9" s="26"/>
      <c r="G9" s="26"/>
      <c r="H9" s="26"/>
      <c r="I9" s="26"/>
      <c r="J9" s="26"/>
      <c r="K9" s="26"/>
      <c r="L9" s="26"/>
      <c r="M9" s="26"/>
      <c r="N9" s="26"/>
      <c r="O9" s="23" t="str">
        <f aca="false">IF(COUNT(E9:N9)=0,"",SUM(E9:N9))</f>
        <v/>
      </c>
      <c r="P9" s="24" t="str">
        <f aca="false">IF(COUNT(E9:N9)=0,"",IF(OR(E9=0,J9=0),"暫停(關鍵題0分)",IF(O9&gt;=14,"積極爭取",IF(O9&gt;=10,"觀察培養","暫停"))))</f>
        <v/>
      </c>
      <c r="Q9" s="15"/>
      <c r="R9" s="15"/>
      <c r="S9" s="15"/>
      <c r="T9" s="15"/>
      <c r="U9" s="15"/>
    </row>
    <row r="10" customFormat="false" ht="33.75" hidden="false" customHeight="true" outlineLevel="0" collapsed="false">
      <c r="A10" s="14" t="s">
        <v>177</v>
      </c>
      <c r="B10" s="15"/>
      <c r="C10" s="15"/>
      <c r="D10" s="15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3" t="str">
        <f aca="false">IF(COUNT(E10:N10)=0,"",SUM(E10:N10))</f>
        <v/>
      </c>
      <c r="P10" s="24" t="str">
        <f aca="false">IF(COUNT(E10:N10)=0,"",IF(OR(E10=0,J10=0),"暫停(關鍵題0分)",IF(O10&gt;=14,"積極爭取",IF(O10&gt;=10,"觀察培養","暫停"))))</f>
        <v/>
      </c>
      <c r="Q10" s="15"/>
      <c r="R10" s="15"/>
      <c r="S10" s="15"/>
      <c r="T10" s="15"/>
      <c r="U10" s="15"/>
    </row>
    <row r="11" customFormat="false" ht="33.75" hidden="false" customHeight="true" outlineLevel="0" collapsed="false">
      <c r="A11" s="14" t="s">
        <v>178</v>
      </c>
      <c r="B11" s="15"/>
      <c r="C11" s="15"/>
      <c r="D11" s="15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3" t="str">
        <f aca="false">IF(COUNT(E11:N11)=0,"",SUM(E11:N11))</f>
        <v/>
      </c>
      <c r="P11" s="24" t="str">
        <f aca="false">IF(COUNT(E11:N11)=0,"",IF(OR(E11=0,J11=0),"暫停(關鍵題0分)",IF(O11&gt;=14,"積極爭取",IF(O11&gt;=10,"觀察培養","暫停"))))</f>
        <v/>
      </c>
      <c r="Q11" s="15"/>
      <c r="R11" s="15"/>
      <c r="S11" s="15"/>
      <c r="T11" s="15"/>
      <c r="U11" s="15"/>
    </row>
    <row r="12" customFormat="false" ht="33.75" hidden="false" customHeight="true" outlineLevel="0" collapsed="false">
      <c r="A12" s="14" t="s">
        <v>179</v>
      </c>
      <c r="B12" s="15"/>
      <c r="C12" s="15"/>
      <c r="D12" s="15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3" t="str">
        <f aca="false">IF(COUNT(E12:N12)=0,"",SUM(E12:N12))</f>
        <v/>
      </c>
      <c r="P12" s="24" t="str">
        <f aca="false">IF(COUNT(E12:N12)=0,"",IF(OR(E12=0,J12=0),"暫停(關鍵題0分)",IF(O12&gt;=14,"積極爭取",IF(O12&gt;=10,"觀察培養","暫停"))))</f>
        <v/>
      </c>
      <c r="Q12" s="15"/>
      <c r="R12" s="15"/>
      <c r="S12" s="15"/>
      <c r="T12" s="15"/>
      <c r="U12" s="15"/>
    </row>
    <row r="13" customFormat="false" ht="33.75" hidden="false" customHeight="true" outlineLevel="0" collapsed="false">
      <c r="A13" s="14" t="s">
        <v>180</v>
      </c>
      <c r="B13" s="15"/>
      <c r="C13" s="15"/>
      <c r="D13" s="15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3" t="str">
        <f aca="false">IF(COUNT(E13:N13)=0,"",SUM(E13:N13))</f>
        <v/>
      </c>
      <c r="P13" s="24" t="str">
        <f aca="false">IF(COUNT(E13:N13)=0,"",IF(OR(E13=0,J13=0),"暫停(關鍵題0分)",IF(O13&gt;=14,"積極爭取",IF(O13&gt;=10,"觀察培養","暫停"))))</f>
        <v/>
      </c>
      <c r="Q13" s="15"/>
      <c r="R13" s="15"/>
      <c r="S13" s="15"/>
      <c r="T13" s="15"/>
      <c r="U13" s="15"/>
    </row>
    <row r="14" customFormat="false" ht="33.75" hidden="false" customHeight="true" outlineLevel="0" collapsed="false">
      <c r="A14" s="14" t="s">
        <v>181</v>
      </c>
      <c r="B14" s="15"/>
      <c r="C14" s="15"/>
      <c r="D14" s="15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3" t="str">
        <f aca="false">IF(COUNT(E14:N14)=0,"",SUM(E14:N14))</f>
        <v/>
      </c>
      <c r="P14" s="24" t="str">
        <f aca="false">IF(COUNT(E14:N14)=0,"",IF(OR(E14=0,J14=0),"暫停(關鍵題0分)",IF(O14&gt;=14,"積極爭取",IF(O14&gt;=10,"觀察培養","暫停"))))</f>
        <v/>
      </c>
      <c r="Q14" s="15"/>
      <c r="R14" s="15"/>
      <c r="S14" s="15"/>
      <c r="T14" s="15"/>
      <c r="U14" s="15"/>
    </row>
    <row r="15" customFormat="false" ht="33.75" hidden="false" customHeight="true" outlineLevel="0" collapsed="false">
      <c r="A15" s="14" t="s">
        <v>182</v>
      </c>
      <c r="B15" s="15"/>
      <c r="C15" s="15"/>
      <c r="D15" s="15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3" t="str">
        <f aca="false">IF(COUNT(E15:N15)=0,"",SUM(E15:N15))</f>
        <v/>
      </c>
      <c r="P15" s="24" t="str">
        <f aca="false">IF(COUNT(E15:N15)=0,"",IF(OR(E15=0,J15=0),"暫停(關鍵題0分)",IF(O15&gt;=14,"積極爭取",IF(O15&gt;=10,"觀察培養","暫停"))))</f>
        <v/>
      </c>
      <c r="Q15" s="15"/>
      <c r="R15" s="15"/>
      <c r="S15" s="15"/>
      <c r="T15" s="15"/>
      <c r="U15" s="15"/>
    </row>
    <row r="16" customFormat="false" ht="33.75" hidden="false" customHeight="true" outlineLevel="0" collapsed="false">
      <c r="A16" s="14" t="s">
        <v>183</v>
      </c>
      <c r="B16" s="15"/>
      <c r="C16" s="15"/>
      <c r="D16" s="15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3" t="str">
        <f aca="false">IF(COUNT(E16:N16)=0,"",SUM(E16:N16))</f>
        <v/>
      </c>
      <c r="P16" s="24" t="str">
        <f aca="false">IF(COUNT(E16:N16)=0,"",IF(OR(E16=0,J16=0),"暫停(關鍵題0分)",IF(O16&gt;=14,"積極爭取",IF(O16&gt;=10,"觀察培養","暫停"))))</f>
        <v/>
      </c>
      <c r="Q16" s="15"/>
      <c r="R16" s="15"/>
      <c r="S16" s="15"/>
      <c r="T16" s="15"/>
      <c r="U16" s="15"/>
    </row>
    <row r="17" customFormat="false" ht="33.75" hidden="false" customHeight="true" outlineLevel="0" collapsed="false">
      <c r="A17" s="14" t="s">
        <v>184</v>
      </c>
      <c r="B17" s="15"/>
      <c r="C17" s="15"/>
      <c r="D17" s="15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3" t="str">
        <f aca="false">IF(COUNT(E17:N17)=0,"",SUM(E17:N17))</f>
        <v/>
      </c>
      <c r="P17" s="24" t="str">
        <f aca="false">IF(COUNT(E17:N17)=0,"",IF(OR(E17=0,J17=0),"暫停(關鍵題0分)",IF(O17&gt;=14,"積極爭取",IF(O17&gt;=10,"觀察培養","暫停"))))</f>
        <v/>
      </c>
      <c r="Q17" s="15"/>
      <c r="R17" s="15"/>
      <c r="S17" s="15"/>
      <c r="T17" s="15"/>
      <c r="U17" s="15"/>
    </row>
    <row r="18" customFormat="false" ht="33.75" hidden="false" customHeight="true" outlineLevel="0" collapsed="false">
      <c r="A18" s="14" t="s">
        <v>185</v>
      </c>
      <c r="B18" s="15"/>
      <c r="C18" s="15"/>
      <c r="D18" s="15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3" t="str">
        <f aca="false">IF(COUNT(E18:N18)=0,"",SUM(E18:N18))</f>
        <v/>
      </c>
      <c r="P18" s="24" t="str">
        <f aca="false">IF(COUNT(E18:N18)=0,"",IF(OR(E18=0,J18=0),"暫停(關鍵題0分)",IF(O18&gt;=14,"積極爭取",IF(O18&gt;=10,"觀察培養","暫停"))))</f>
        <v/>
      </c>
      <c r="Q18" s="15"/>
      <c r="R18" s="15"/>
      <c r="S18" s="15"/>
      <c r="T18" s="15"/>
      <c r="U18" s="15"/>
    </row>
    <row r="19" customFormat="false" ht="33.75" hidden="false" customHeight="true" outlineLevel="0" collapsed="false">
      <c r="A19" s="14" t="s">
        <v>186</v>
      </c>
      <c r="B19" s="15"/>
      <c r="C19" s="15"/>
      <c r="D19" s="15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3" t="str">
        <f aca="false">IF(COUNT(E19:N19)=0,"",SUM(E19:N19))</f>
        <v/>
      </c>
      <c r="P19" s="24" t="str">
        <f aca="false">IF(COUNT(E19:N19)=0,"",IF(OR(E19=0,J19=0),"暫停(關鍵題0分)",IF(O19&gt;=14,"積極爭取",IF(O19&gt;=10,"觀察培養","暫停"))))</f>
        <v/>
      </c>
      <c r="Q19" s="15"/>
      <c r="R19" s="15"/>
      <c r="S19" s="15"/>
      <c r="T19" s="15"/>
      <c r="U19" s="15"/>
    </row>
    <row r="20" customFormat="false" ht="33.75" hidden="false" customHeight="true" outlineLevel="0" collapsed="false">
      <c r="A20" s="14" t="s">
        <v>187</v>
      </c>
      <c r="B20" s="15"/>
      <c r="C20" s="15"/>
      <c r="D20" s="15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3" t="str">
        <f aca="false">IF(COUNT(E20:N20)=0,"",SUM(E20:N20))</f>
        <v/>
      </c>
      <c r="P20" s="24" t="str">
        <f aca="false">IF(COUNT(E20:N20)=0,"",IF(OR(E20=0,J20=0),"暫停(關鍵題0分)",IF(O20&gt;=14,"積極爭取",IF(O20&gt;=10,"觀察培養","暫停"))))</f>
        <v/>
      </c>
      <c r="Q20" s="15"/>
      <c r="R20" s="15"/>
      <c r="S20" s="15"/>
      <c r="T20" s="15"/>
      <c r="U20" s="15"/>
    </row>
    <row r="21" customFormat="false" ht="33.75" hidden="false" customHeight="true" outlineLevel="0" collapsed="false">
      <c r="A21" s="14" t="s">
        <v>188</v>
      </c>
      <c r="B21" s="15"/>
      <c r="C21" s="15"/>
      <c r="D21" s="15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3" t="str">
        <f aca="false">IF(COUNT(E21:N21)=0,"",SUM(E21:N21))</f>
        <v/>
      </c>
      <c r="P21" s="24" t="str">
        <f aca="false">IF(COUNT(E21:N21)=0,"",IF(OR(E21=0,J21=0),"暫停(關鍵題0分)",IF(O21&gt;=14,"積極爭取",IF(O21&gt;=10,"觀察培養","暫停"))))</f>
        <v/>
      </c>
      <c r="Q21" s="15"/>
      <c r="R21" s="15"/>
      <c r="S21" s="15"/>
      <c r="T21" s="15"/>
      <c r="U21" s="15"/>
    </row>
    <row r="22" customFormat="false" ht="33.75" hidden="false" customHeight="true" outlineLevel="0" collapsed="false">
      <c r="A22" s="14" t="s">
        <v>189</v>
      </c>
      <c r="B22" s="15"/>
      <c r="C22" s="15"/>
      <c r="D22" s="15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3" t="str">
        <f aca="false">IF(COUNT(E22:N22)=0,"",SUM(E22:N22))</f>
        <v/>
      </c>
      <c r="P22" s="24" t="str">
        <f aca="false">IF(COUNT(E22:N22)=0,"",IF(OR(E22=0,J22=0),"暫停(關鍵題0分)",IF(O22&gt;=14,"積極爭取",IF(O22&gt;=10,"觀察培養","暫停"))))</f>
        <v/>
      </c>
      <c r="Q22" s="15"/>
      <c r="R22" s="15"/>
      <c r="S22" s="15"/>
      <c r="T22" s="15"/>
      <c r="U22" s="15"/>
    </row>
    <row r="23" customFormat="false" ht="33.75" hidden="false" customHeight="true" outlineLevel="0" collapsed="false">
      <c r="A23" s="14" t="s">
        <v>190</v>
      </c>
      <c r="B23" s="15"/>
      <c r="C23" s="15"/>
      <c r="D23" s="15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3" t="str">
        <f aca="false">IF(COUNT(E23:N23)=0,"",SUM(E23:N23))</f>
        <v/>
      </c>
      <c r="P23" s="24" t="str">
        <f aca="false">IF(COUNT(E23:N23)=0,"",IF(OR(E23=0,J23=0),"暫停(關鍵題0分)",IF(O23&gt;=14,"積極爭取",IF(O23&gt;=10,"觀察培養","暫停"))))</f>
        <v/>
      </c>
      <c r="Q23" s="15"/>
      <c r="R23" s="15"/>
      <c r="S23" s="15"/>
      <c r="T23" s="15"/>
      <c r="U23" s="15"/>
    </row>
    <row r="24" customFormat="false" ht="33.75" hidden="false" customHeight="true" outlineLevel="0" collapsed="false">
      <c r="A24" s="14" t="s">
        <v>191</v>
      </c>
      <c r="B24" s="15"/>
      <c r="C24" s="15"/>
      <c r="D24" s="15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3" t="str">
        <f aca="false">IF(COUNT(E24:N24)=0,"",SUM(E24:N24))</f>
        <v/>
      </c>
      <c r="P24" s="24" t="str">
        <f aca="false">IF(COUNT(E24:N24)=0,"",IF(OR(E24=0,J24=0),"暫停(關鍵題0分)",IF(O24&gt;=14,"積極爭取",IF(O24&gt;=10,"觀察培養","暫停"))))</f>
        <v/>
      </c>
      <c r="Q24" s="15"/>
      <c r="R24" s="15"/>
      <c r="S24" s="15"/>
      <c r="T24" s="15"/>
      <c r="U24" s="15"/>
    </row>
    <row r="25" customFormat="false" ht="33.75" hidden="false" customHeight="true" outlineLevel="0" collapsed="false">
      <c r="A25" s="14" t="s">
        <v>192</v>
      </c>
      <c r="B25" s="15"/>
      <c r="C25" s="15"/>
      <c r="D25" s="15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3" t="str">
        <f aca="false">IF(COUNT(E25:N25)=0,"",SUM(E25:N25))</f>
        <v/>
      </c>
      <c r="P25" s="24" t="str">
        <f aca="false">IF(COUNT(E25:N25)=0,"",IF(OR(E25=0,J25=0),"暫停(關鍵題0分)",IF(O25&gt;=14,"積極爭取",IF(O25&gt;=10,"觀察培養","暫停"))))</f>
        <v/>
      </c>
      <c r="Q25" s="15"/>
      <c r="R25" s="15"/>
      <c r="S25" s="15"/>
      <c r="T25" s="15"/>
      <c r="U25" s="15"/>
    </row>
    <row r="26" customFormat="false" ht="33.75" hidden="false" customHeight="true" outlineLevel="0" collapsed="false">
      <c r="A26" s="14" t="s">
        <v>193</v>
      </c>
      <c r="B26" s="15"/>
      <c r="C26" s="15"/>
      <c r="D26" s="15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3" t="str">
        <f aca="false">IF(COUNT(E26:N26)=0,"",SUM(E26:N26))</f>
        <v/>
      </c>
      <c r="P26" s="24" t="str">
        <f aca="false">IF(COUNT(E26:N26)=0,"",IF(OR(E26=0,J26=0),"暫停(關鍵題0分)",IF(O26&gt;=14,"積極爭取",IF(O26&gt;=10,"觀察培養","暫停"))))</f>
        <v/>
      </c>
      <c r="Q26" s="15"/>
      <c r="R26" s="15"/>
      <c r="S26" s="15"/>
      <c r="T26" s="15"/>
      <c r="U26" s="15"/>
    </row>
    <row r="27" customFormat="false" ht="33.75" hidden="false" customHeight="true" outlineLevel="0" collapsed="false">
      <c r="A27" s="14" t="s">
        <v>194</v>
      </c>
      <c r="B27" s="15"/>
      <c r="C27" s="15"/>
      <c r="D27" s="15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3" t="str">
        <f aca="false">IF(COUNT(E27:N27)=0,"",SUM(E27:N27))</f>
        <v/>
      </c>
      <c r="P27" s="24" t="str">
        <f aca="false">IF(COUNT(E27:N27)=0,"",IF(OR(E27=0,J27=0),"暫停(關鍵題0分)",IF(O27&gt;=14,"積極爭取",IF(O27&gt;=10,"觀察培養","暫停"))))</f>
        <v/>
      </c>
      <c r="Q27" s="15"/>
      <c r="R27" s="15"/>
      <c r="S27" s="15"/>
      <c r="T27" s="15"/>
      <c r="U27" s="15"/>
    </row>
    <row r="28" customFormat="false" ht="33.75" hidden="false" customHeight="true" outlineLevel="0" collapsed="false">
      <c r="A28" s="14" t="s">
        <v>195</v>
      </c>
      <c r="B28" s="15"/>
      <c r="C28" s="15"/>
      <c r="D28" s="15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3" t="str">
        <f aca="false">IF(COUNT(E28:N28)=0,"",SUM(E28:N28))</f>
        <v/>
      </c>
      <c r="P28" s="24" t="str">
        <f aca="false">IF(COUNT(E28:N28)=0,"",IF(OR(E28=0,J28=0),"暫停(關鍵題0分)",IF(O28&gt;=14,"積極爭取",IF(O28&gt;=10,"觀察培養","暫停"))))</f>
        <v/>
      </c>
      <c r="Q28" s="15"/>
      <c r="R28" s="15"/>
      <c r="S28" s="15"/>
      <c r="T28" s="15"/>
      <c r="U28" s="15"/>
    </row>
    <row r="29" customFormat="false" ht="33.75" hidden="false" customHeight="true" outlineLevel="0" collapsed="false">
      <c r="A29" s="14" t="s">
        <v>196</v>
      </c>
      <c r="B29" s="15"/>
      <c r="C29" s="15"/>
      <c r="D29" s="15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3" t="str">
        <f aca="false">IF(COUNT(E29:N29)=0,"",SUM(E29:N29))</f>
        <v/>
      </c>
      <c r="P29" s="24" t="str">
        <f aca="false">IF(COUNT(E29:N29)=0,"",IF(OR(E29=0,J29=0),"暫停(關鍵題0分)",IF(O29&gt;=14,"積極爭取",IF(O29&gt;=10,"觀察培養","暫停"))))</f>
        <v/>
      </c>
      <c r="Q29" s="15"/>
      <c r="R29" s="15"/>
      <c r="S29" s="15"/>
      <c r="T29" s="15"/>
      <c r="U29" s="15"/>
    </row>
    <row r="30" customFormat="false" ht="33.75" hidden="false" customHeight="true" outlineLevel="0" collapsed="false">
      <c r="A30" s="14" t="s">
        <v>197</v>
      </c>
      <c r="B30" s="15"/>
      <c r="C30" s="15"/>
      <c r="D30" s="15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3" t="str">
        <f aca="false">IF(COUNT(E30:N30)=0,"",SUM(E30:N30))</f>
        <v/>
      </c>
      <c r="P30" s="24" t="str">
        <f aca="false">IF(COUNT(E30:N30)=0,"",IF(OR(E30=0,J30=0),"暫停(關鍵題0分)",IF(O30&gt;=14,"積極爭取",IF(O30&gt;=10,"觀察培養","暫停"))))</f>
        <v/>
      </c>
      <c r="Q30" s="15"/>
      <c r="R30" s="15"/>
      <c r="S30" s="15"/>
      <c r="T30" s="15"/>
      <c r="U30" s="15"/>
    </row>
    <row r="31" customFormat="false" ht="33.75" hidden="false" customHeight="true" outlineLevel="0" collapsed="false">
      <c r="A31" s="14" t="s">
        <v>198</v>
      </c>
      <c r="B31" s="15"/>
      <c r="C31" s="15"/>
      <c r="D31" s="15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3" t="str">
        <f aca="false">IF(COUNT(E31:N31)=0,"",SUM(E31:N31))</f>
        <v/>
      </c>
      <c r="P31" s="24" t="str">
        <f aca="false">IF(COUNT(E31:N31)=0,"",IF(OR(E31=0,J31=0),"暫停(關鍵題0分)",IF(O31&gt;=14,"積極爭取",IF(O31&gt;=10,"觀察培養","暫停"))))</f>
        <v/>
      </c>
      <c r="Q31" s="15"/>
      <c r="R31" s="15"/>
      <c r="S31" s="15"/>
      <c r="T31" s="15"/>
      <c r="U31" s="15"/>
    </row>
    <row r="32" customFormat="false" ht="33.75" hidden="false" customHeight="true" outlineLevel="0" collapsed="false">
      <c r="A32" s="14" t="s">
        <v>199</v>
      </c>
      <c r="B32" s="15"/>
      <c r="C32" s="15"/>
      <c r="D32" s="15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3" t="str">
        <f aca="false">IF(COUNT(E32:N32)=0,"",SUM(E32:N32))</f>
        <v/>
      </c>
      <c r="P32" s="24" t="str">
        <f aca="false">IF(COUNT(E32:N32)=0,"",IF(OR(E32=0,J32=0),"暫停(關鍵題0分)",IF(O32&gt;=14,"積極爭取",IF(O32&gt;=10,"觀察培養","暫停"))))</f>
        <v/>
      </c>
      <c r="Q32" s="15"/>
      <c r="R32" s="15"/>
      <c r="S32" s="15"/>
      <c r="T32" s="15"/>
      <c r="U32" s="15"/>
    </row>
    <row r="33" customFormat="false" ht="33.75" hidden="false" customHeight="true" outlineLevel="0" collapsed="false">
      <c r="A33" s="14" t="s">
        <v>200</v>
      </c>
      <c r="B33" s="15"/>
      <c r="C33" s="15"/>
      <c r="D33" s="15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3" t="str">
        <f aca="false">IF(COUNT(E33:N33)=0,"",SUM(E33:N33))</f>
        <v/>
      </c>
      <c r="P33" s="24" t="str">
        <f aca="false">IF(COUNT(E33:N33)=0,"",IF(OR(E33=0,J33=0),"暫停(關鍵題0分)",IF(O33&gt;=14,"積極爭取",IF(O33&gt;=10,"觀察培養","暫停"))))</f>
        <v/>
      </c>
      <c r="Q33" s="15"/>
      <c r="R33" s="15"/>
      <c r="S33" s="15"/>
      <c r="T33" s="15"/>
      <c r="U33" s="15"/>
    </row>
    <row r="34" customFormat="false" ht="33.75" hidden="false" customHeight="true" outlineLevel="0" collapsed="false">
      <c r="A34" s="14" t="s">
        <v>201</v>
      </c>
      <c r="B34" s="15"/>
      <c r="C34" s="15"/>
      <c r="D34" s="15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3" t="str">
        <f aca="false">IF(COUNT(E34:N34)=0,"",SUM(E34:N34))</f>
        <v/>
      </c>
      <c r="P34" s="24" t="str">
        <f aca="false">IF(COUNT(E34:N34)=0,"",IF(OR(E34=0,J34=0),"暫停(關鍵題0分)",IF(O34&gt;=14,"積極爭取",IF(O34&gt;=10,"觀察培養","暫停"))))</f>
        <v/>
      </c>
      <c r="Q34" s="15"/>
      <c r="R34" s="15"/>
      <c r="S34" s="15"/>
      <c r="T34" s="15"/>
      <c r="U34" s="15"/>
    </row>
    <row r="35" customFormat="false" ht="33.75" hidden="false" customHeight="true" outlineLevel="0" collapsed="false">
      <c r="A35" s="14" t="s">
        <v>202</v>
      </c>
      <c r="B35" s="15"/>
      <c r="C35" s="15"/>
      <c r="D35" s="15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3" t="str">
        <f aca="false">IF(COUNT(E35:N35)=0,"",SUM(E35:N35))</f>
        <v/>
      </c>
      <c r="P35" s="24" t="str">
        <f aca="false">IF(COUNT(E35:N35)=0,"",IF(OR(E35=0,J35=0),"暫停(關鍵題0分)",IF(O35&gt;=14,"積極爭取",IF(O35&gt;=10,"觀察培養","暫停"))))</f>
        <v/>
      </c>
      <c r="Q35" s="15"/>
      <c r="R35" s="15"/>
      <c r="S35" s="15"/>
      <c r="T35" s="15"/>
      <c r="U35" s="15"/>
    </row>
  </sheetData>
  <autoFilter ref="A4:U35"/>
  <conditionalFormatting sqref="P5:P35">
    <cfRule type="cellIs" priority="2" operator="equal" aboveAverage="0" equalAverage="0" bottom="0" percent="0" rank="0" text="" dxfId="9">
      <formula>"積極爭取"</formula>
    </cfRule>
    <cfRule type="expression" priority="3" aboveAverage="0" equalAverage="0" bottom="0" percent="0" rank="0" text="" dxfId="10">
      <formula>ISNUMBER(SEARCH("暫停",P5))</formula>
    </cfRule>
    <cfRule type="cellIs" priority="4" operator="equal" aboveAverage="0" equalAverage="0" bottom="0" percent="0" rank="0" text="" dxfId="11">
      <formula>"觀察培養"</formula>
    </cfRule>
  </conditionalFormatting>
  <dataValidations count="13">
    <dataValidation allowBlank="true" errorStyle="stop" operator="between" showDropDown="false" showErrorMessage="false" showInputMessage="false" sqref="B5:B35" type="list">
      <formula1>醫院名錄_Registry!$B$5:$B$45</formula1>
      <formula2>0</formula2>
    </dataValidation>
    <dataValidation allowBlank="true" errorStyle="stop" operator="between" showDropDown="false" showErrorMessage="false" showInputMessage="false" sqref="C5:C35" type="list">
      <formula1>選單_Lists!$K$2:$K$86</formula1>
      <formula2>0</formula2>
    </dataValidation>
    <dataValidation allowBlank="true" errorStyle="stop" operator="between" showDropDown="false" showErrorMessage="false" showInputMessage="false" sqref="E5:E35" type="list">
      <formula1>"0,1,2"</formula1>
      <formula2>0</formula2>
    </dataValidation>
    <dataValidation allowBlank="true" errorStyle="stop" operator="between" showDropDown="false" showErrorMessage="false" showInputMessage="false" sqref="F5:F35" type="list">
      <formula1>"0,1,2"</formula1>
      <formula2>0</formula2>
    </dataValidation>
    <dataValidation allowBlank="true" errorStyle="stop" operator="between" showDropDown="false" showErrorMessage="false" showInputMessage="false" sqref="G5:G35" type="list">
      <formula1>"0,1,2"</formula1>
      <formula2>0</formula2>
    </dataValidation>
    <dataValidation allowBlank="true" errorStyle="stop" operator="between" showDropDown="false" showErrorMessage="false" showInputMessage="false" sqref="H5:H35" type="list">
      <formula1>"0,1,2"</formula1>
      <formula2>0</formula2>
    </dataValidation>
    <dataValidation allowBlank="true" errorStyle="stop" operator="between" showDropDown="false" showErrorMessage="false" showInputMessage="false" sqref="I5:I35" type="list">
      <formula1>"0,1,2"</formula1>
      <formula2>0</formula2>
    </dataValidation>
    <dataValidation allowBlank="true" errorStyle="stop" operator="between" showDropDown="false" showErrorMessage="false" showInputMessage="false" sqref="J5:J35" type="list">
      <formula1>"0,1,2"</formula1>
      <formula2>0</formula2>
    </dataValidation>
    <dataValidation allowBlank="true" errorStyle="stop" operator="between" showDropDown="false" showErrorMessage="false" showInputMessage="false" sqref="K5:K35" type="list">
      <formula1>"0,1,2"</formula1>
      <formula2>0</formula2>
    </dataValidation>
    <dataValidation allowBlank="true" errorStyle="stop" operator="between" showDropDown="false" showErrorMessage="false" showInputMessage="false" sqref="L5:L35" type="list">
      <formula1>"0,1,2"</formula1>
      <formula2>0</formula2>
    </dataValidation>
    <dataValidation allowBlank="true" errorStyle="stop" operator="between" showDropDown="false" showErrorMessage="false" showInputMessage="false" sqref="M5:M35" type="list">
      <formula1>"0,1,2"</formula1>
      <formula2>0</formula2>
    </dataValidation>
    <dataValidation allowBlank="true" errorStyle="stop" operator="between" showDropDown="false" showErrorMessage="false" showInputMessage="false" sqref="N5:N35" type="list">
      <formula1>"0,1,2"</formula1>
      <formula2>0</formula2>
    </dataValidation>
    <dataValidation allowBlank="true" errorStyle="stop" operator="between" showDropDown="false" showErrorMessage="false" showInputMessage="false" sqref="T5:T35" type="list">
      <formula1>選單_Lists!$I$2:$I$6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6E6B"/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4" min="3" style="0" width="34"/>
    <col collapsed="false" customWidth="true" hidden="false" outlineLevel="0" max="5" min="5" style="0" width="30"/>
  </cols>
  <sheetData>
    <row r="1" customFormat="false" ht="23.1" hidden="false" customHeight="false" outlineLevel="0" collapsed="false">
      <c r="A1" s="5" t="s">
        <v>203</v>
      </c>
    </row>
    <row r="2" customFormat="false" ht="15" hidden="false" customHeight="false" outlineLevel="0" collapsed="false">
      <c r="A2" s="2"/>
    </row>
    <row r="3" customFormat="false" ht="30" hidden="false" customHeight="true" outlineLevel="0" collapsed="false">
      <c r="A3" s="10" t="s">
        <v>204</v>
      </c>
      <c r="B3" s="10" t="s">
        <v>205</v>
      </c>
      <c r="C3" s="11" t="s">
        <v>206</v>
      </c>
      <c r="D3" s="11" t="s">
        <v>207</v>
      </c>
      <c r="E3" s="11" t="s">
        <v>208</v>
      </c>
    </row>
    <row r="4" customFormat="false" ht="33.75" hidden="false" customHeight="true" outlineLevel="0" collapsed="false">
      <c r="A4" s="27" t="s">
        <v>209</v>
      </c>
      <c r="B4" s="28" t="s">
        <v>30</v>
      </c>
      <c r="C4" s="28" t="s">
        <v>210</v>
      </c>
      <c r="D4" s="28" t="s">
        <v>211</v>
      </c>
      <c r="E4" s="28" t="s">
        <v>212</v>
      </c>
    </row>
    <row r="5" customFormat="false" ht="33.75" hidden="false" customHeight="true" outlineLevel="0" collapsed="false">
      <c r="A5" s="27" t="s">
        <v>213</v>
      </c>
      <c r="B5" s="28" t="s">
        <v>214</v>
      </c>
      <c r="C5" s="28" t="s">
        <v>215</v>
      </c>
      <c r="D5" s="28" t="s">
        <v>216</v>
      </c>
      <c r="E5" s="28" t="s">
        <v>217</v>
      </c>
    </row>
    <row r="6" customFormat="false" ht="33.75" hidden="false" customHeight="true" outlineLevel="0" collapsed="false">
      <c r="A6" s="27" t="s">
        <v>218</v>
      </c>
      <c r="B6" s="28" t="s">
        <v>219</v>
      </c>
      <c r="C6" s="28" t="s">
        <v>220</v>
      </c>
      <c r="D6" s="28" t="s">
        <v>221</v>
      </c>
      <c r="E6" s="28" t="s">
        <v>222</v>
      </c>
    </row>
    <row r="7" customFormat="false" ht="33.75" hidden="false" customHeight="true" outlineLevel="0" collapsed="false">
      <c r="A7" s="27" t="s">
        <v>223</v>
      </c>
      <c r="B7" s="28" t="s">
        <v>224</v>
      </c>
      <c r="C7" s="29" t="s">
        <v>225</v>
      </c>
      <c r="D7" s="28" t="s">
        <v>226</v>
      </c>
      <c r="E7" s="28" t="s">
        <v>227</v>
      </c>
    </row>
    <row r="8" customFormat="false" ht="33.75" hidden="false" customHeight="true" outlineLevel="0" collapsed="false">
      <c r="A8" s="27" t="s">
        <v>228</v>
      </c>
      <c r="B8" s="28" t="s">
        <v>229</v>
      </c>
      <c r="C8" s="28" t="s">
        <v>230</v>
      </c>
      <c r="D8" s="28" t="s">
        <v>231</v>
      </c>
      <c r="E8" s="28" t="s">
        <v>232</v>
      </c>
    </row>
    <row r="9" customFormat="false" ht="33.75" hidden="false" customHeight="true" outlineLevel="0" collapsed="false">
      <c r="A9" s="27" t="s">
        <v>233</v>
      </c>
      <c r="B9" s="28" t="s">
        <v>234</v>
      </c>
      <c r="C9" s="28" t="s">
        <v>235</v>
      </c>
      <c r="D9" s="29" t="s">
        <v>236</v>
      </c>
      <c r="E9" s="28" t="s">
        <v>237</v>
      </c>
    </row>
    <row r="10" customFormat="false" ht="33.75" hidden="false" customHeight="true" outlineLevel="0" collapsed="false">
      <c r="A10" s="27" t="s">
        <v>238</v>
      </c>
      <c r="B10" s="28" t="s">
        <v>239</v>
      </c>
      <c r="C10" s="28" t="s">
        <v>240</v>
      </c>
      <c r="D10" s="28" t="s">
        <v>241</v>
      </c>
      <c r="E10" s="28" t="s">
        <v>242</v>
      </c>
    </row>
    <row r="11" customFormat="false" ht="33.75" hidden="false" customHeight="true" outlineLevel="0" collapsed="false">
      <c r="A11" s="27" t="s">
        <v>243</v>
      </c>
      <c r="B11" s="28" t="s">
        <v>244</v>
      </c>
      <c r="C11" s="28" t="s">
        <v>245</v>
      </c>
      <c r="D11" s="28" t="s">
        <v>246</v>
      </c>
      <c r="E11" s="28" t="s">
        <v>247</v>
      </c>
    </row>
    <row r="12" customFormat="false" ht="33.75" hidden="false" customHeight="true" outlineLevel="0" collapsed="false">
      <c r="A12" s="27" t="s">
        <v>248</v>
      </c>
      <c r="B12" s="28" t="s">
        <v>249</v>
      </c>
      <c r="C12" s="28" t="s">
        <v>250</v>
      </c>
      <c r="D12" s="28" t="s">
        <v>251</v>
      </c>
      <c r="E12" s="28" t="s">
        <v>252</v>
      </c>
    </row>
    <row r="13" customFormat="false" ht="33.75" hidden="false" customHeight="true" outlineLevel="0" collapsed="false">
      <c r="A13" s="27" t="s">
        <v>253</v>
      </c>
      <c r="B13" s="28" t="s">
        <v>254</v>
      </c>
      <c r="C13" s="28" t="s">
        <v>255</v>
      </c>
      <c r="D13" s="28" t="s">
        <v>256</v>
      </c>
      <c r="E13" s="28" t="s">
        <v>257</v>
      </c>
    </row>
    <row r="15" customFormat="false" ht="15" hidden="false" customHeight="false" outlineLevel="0" collapsed="false">
      <c r="A15" s="3" t="s">
        <v>258</v>
      </c>
    </row>
    <row r="16" customFormat="false" ht="15" hidden="false" customHeight="false" outlineLevel="0" collapsed="false">
      <c r="A16" s="30" t="s">
        <v>259</v>
      </c>
      <c r="B16" s="30"/>
      <c r="C16" s="30"/>
      <c r="D16" s="30"/>
      <c r="E16" s="30"/>
    </row>
    <row r="17" customFormat="false" ht="15" hidden="false" customHeight="false" outlineLevel="0" collapsed="false">
      <c r="A17" s="30" t="s">
        <v>260</v>
      </c>
      <c r="B17" s="30"/>
      <c r="C17" s="30"/>
      <c r="D17" s="30"/>
      <c r="E17" s="30"/>
    </row>
    <row r="18" customFormat="false" ht="15" hidden="false" customHeight="false" outlineLevel="0" collapsed="false">
      <c r="A18" s="30" t="s">
        <v>261</v>
      </c>
      <c r="B18" s="30"/>
      <c r="C18" s="30"/>
      <c r="D18" s="30"/>
      <c r="E18" s="30"/>
    </row>
    <row r="19" customFormat="false" ht="15" hidden="false" customHeight="false" outlineLevel="0" collapsed="false">
      <c r="A19" s="31" t="s">
        <v>262</v>
      </c>
      <c r="B19" s="31"/>
      <c r="C19" s="31"/>
      <c r="D19" s="31"/>
      <c r="E19" s="31"/>
    </row>
  </sheetData>
  <mergeCells count="4">
    <mergeCell ref="A16:E16"/>
    <mergeCell ref="A17:E17"/>
    <mergeCell ref="A18:E18"/>
    <mergeCell ref="A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K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24"/>
    <col collapsed="false" customWidth="true" hidden="false" outlineLevel="0" max="11" min="11" style="0" width="44"/>
  </cols>
  <sheetData>
    <row r="1" customFormat="false" ht="15" hidden="false" customHeight="false" outlineLevel="0" collapsed="false">
      <c r="A1" s="3" t="s">
        <v>263</v>
      </c>
      <c r="B1" s="3" t="s">
        <v>25</v>
      </c>
      <c r="C1" s="3" t="s">
        <v>130</v>
      </c>
      <c r="D1" s="3" t="s">
        <v>37</v>
      </c>
      <c r="E1" s="32" t="s">
        <v>264</v>
      </c>
      <c r="F1" s="32" t="s">
        <v>265</v>
      </c>
      <c r="G1" s="3" t="s">
        <v>266</v>
      </c>
      <c r="H1" s="3" t="s">
        <v>267</v>
      </c>
      <c r="I1" s="3" t="s">
        <v>268</v>
      </c>
      <c r="K1" s="3" t="s">
        <v>143</v>
      </c>
    </row>
    <row r="2" customFormat="false" ht="15" hidden="false" customHeight="false" outlineLevel="0" collapsed="false">
      <c r="A2" s="33" t="s">
        <v>269</v>
      </c>
      <c r="B2" s="33" t="s">
        <v>270</v>
      </c>
      <c r="C2" s="34" t="s">
        <v>271</v>
      </c>
      <c r="D2" s="33" t="s">
        <v>272</v>
      </c>
      <c r="E2" s="34" t="s">
        <v>273</v>
      </c>
      <c r="F2" s="33" t="s">
        <v>274</v>
      </c>
      <c r="G2" s="33" t="s">
        <v>275</v>
      </c>
      <c r="H2" s="34" t="s">
        <v>276</v>
      </c>
      <c r="I2" s="33" t="s">
        <v>171</v>
      </c>
      <c r="K2" s="35" t="s">
        <v>277</v>
      </c>
    </row>
    <row r="3" customFormat="false" ht="15" hidden="false" customHeight="false" outlineLevel="0" collapsed="false">
      <c r="A3" s="33" t="s">
        <v>278</v>
      </c>
      <c r="B3" s="33" t="s">
        <v>279</v>
      </c>
      <c r="C3" s="34" t="s">
        <v>280</v>
      </c>
      <c r="D3" s="33" t="s">
        <v>281</v>
      </c>
      <c r="E3" s="34" t="s">
        <v>68</v>
      </c>
      <c r="F3" s="33" t="s">
        <v>69</v>
      </c>
      <c r="G3" s="33" t="s">
        <v>76</v>
      </c>
      <c r="H3" s="34" t="s">
        <v>282</v>
      </c>
      <c r="I3" s="33" t="s">
        <v>283</v>
      </c>
      <c r="K3" s="35" t="s">
        <v>284</v>
      </c>
    </row>
    <row r="4" customFormat="false" ht="15" hidden="false" customHeight="false" outlineLevel="0" collapsed="false">
      <c r="A4" s="33" t="s">
        <v>285</v>
      </c>
      <c r="B4" s="33" t="s">
        <v>286</v>
      </c>
      <c r="C4" s="34" t="s">
        <v>287</v>
      </c>
      <c r="D4" s="33" t="s">
        <v>288</v>
      </c>
      <c r="E4" s="34" t="s">
        <v>289</v>
      </c>
      <c r="F4" s="33" t="s">
        <v>290</v>
      </c>
      <c r="G4" s="33" t="s">
        <v>291</v>
      </c>
      <c r="H4" s="34" t="s">
        <v>292</v>
      </c>
      <c r="I4" s="33" t="s">
        <v>293</v>
      </c>
      <c r="K4" s="35" t="s">
        <v>294</v>
      </c>
    </row>
    <row r="5" customFormat="false" ht="15" hidden="false" customHeight="false" outlineLevel="0" collapsed="false">
      <c r="A5" s="33" t="s">
        <v>295</v>
      </c>
      <c r="B5" s="33" t="s">
        <v>296</v>
      </c>
      <c r="C5" s="34" t="s">
        <v>297</v>
      </c>
      <c r="D5" s="33" t="s">
        <v>298</v>
      </c>
      <c r="E5" s="33" t="s">
        <v>299</v>
      </c>
      <c r="F5" s="33" t="s">
        <v>300</v>
      </c>
      <c r="I5" s="33" t="s">
        <v>301</v>
      </c>
      <c r="K5" s="35" t="s">
        <v>302</v>
      </c>
    </row>
    <row r="6" customFormat="false" ht="15" hidden="false" customHeight="false" outlineLevel="0" collapsed="false">
      <c r="A6" s="33" t="s">
        <v>303</v>
      </c>
      <c r="C6" s="33" t="s">
        <v>304</v>
      </c>
      <c r="E6" s="33" t="s">
        <v>305</v>
      </c>
      <c r="I6" s="33" t="s">
        <v>306</v>
      </c>
      <c r="K6" s="35" t="s">
        <v>307</v>
      </c>
    </row>
    <row r="7" customFormat="false" ht="15" hidden="false" customHeight="false" outlineLevel="0" collapsed="false">
      <c r="A7" s="33" t="s">
        <v>308</v>
      </c>
      <c r="E7" s="33" t="s">
        <v>300</v>
      </c>
      <c r="K7" s="35" t="s">
        <v>309</v>
      </c>
    </row>
    <row r="8" customFormat="false" ht="15" hidden="false" customHeight="false" outlineLevel="0" collapsed="false">
      <c r="K8" s="35" t="s">
        <v>310</v>
      </c>
    </row>
    <row r="9" customFormat="false" ht="15" hidden="false" customHeight="false" outlineLevel="0" collapsed="false">
      <c r="K9" s="35" t="s">
        <v>311</v>
      </c>
    </row>
    <row r="10" customFormat="false" ht="15" hidden="false" customHeight="false" outlineLevel="0" collapsed="false">
      <c r="K10" s="35" t="s">
        <v>312</v>
      </c>
    </row>
    <row r="11" customFormat="false" ht="15" hidden="false" customHeight="false" outlineLevel="0" collapsed="false">
      <c r="K11" s="35" t="s">
        <v>313</v>
      </c>
    </row>
    <row r="12" customFormat="false" ht="15" hidden="false" customHeight="false" outlineLevel="0" collapsed="false">
      <c r="K12" s="35" t="s">
        <v>314</v>
      </c>
    </row>
    <row r="13" customFormat="false" ht="15" hidden="false" customHeight="false" outlineLevel="0" collapsed="false">
      <c r="K13" s="35" t="s">
        <v>315</v>
      </c>
    </row>
    <row r="14" customFormat="false" ht="15" hidden="false" customHeight="false" outlineLevel="0" collapsed="false">
      <c r="K14" s="35" t="s">
        <v>316</v>
      </c>
    </row>
    <row r="15" customFormat="false" ht="15" hidden="false" customHeight="false" outlineLevel="0" collapsed="false">
      <c r="K15" s="35" t="s">
        <v>317</v>
      </c>
    </row>
    <row r="16" customFormat="false" ht="15" hidden="false" customHeight="false" outlineLevel="0" collapsed="false">
      <c r="K16" s="35" t="s">
        <v>318</v>
      </c>
    </row>
    <row r="17" customFormat="false" ht="15" hidden="false" customHeight="false" outlineLevel="0" collapsed="false">
      <c r="K17" s="35" t="s">
        <v>319</v>
      </c>
    </row>
    <row r="18" customFormat="false" ht="15" hidden="false" customHeight="false" outlineLevel="0" collapsed="false">
      <c r="K18" s="35" t="s">
        <v>320</v>
      </c>
    </row>
    <row r="19" customFormat="false" ht="15" hidden="false" customHeight="false" outlineLevel="0" collapsed="false">
      <c r="K19" s="35" t="s">
        <v>321</v>
      </c>
    </row>
    <row r="20" customFormat="false" ht="15" hidden="false" customHeight="false" outlineLevel="0" collapsed="false">
      <c r="K20" s="35" t="s">
        <v>322</v>
      </c>
    </row>
    <row r="21" customFormat="false" ht="15" hidden="false" customHeight="false" outlineLevel="0" collapsed="false">
      <c r="K21" s="35" t="s">
        <v>323</v>
      </c>
    </row>
    <row r="22" customFormat="false" ht="15" hidden="false" customHeight="false" outlineLevel="0" collapsed="false">
      <c r="K22" s="35" t="s">
        <v>324</v>
      </c>
    </row>
    <row r="23" customFormat="false" ht="15" hidden="false" customHeight="false" outlineLevel="0" collapsed="false">
      <c r="K23" s="35" t="s">
        <v>325</v>
      </c>
    </row>
    <row r="24" customFormat="false" ht="15" hidden="false" customHeight="false" outlineLevel="0" collapsed="false">
      <c r="K24" s="35" t="s">
        <v>326</v>
      </c>
    </row>
    <row r="25" customFormat="false" ht="15" hidden="false" customHeight="false" outlineLevel="0" collapsed="false">
      <c r="K25" s="35" t="s">
        <v>327</v>
      </c>
    </row>
    <row r="26" customFormat="false" ht="15" hidden="false" customHeight="false" outlineLevel="0" collapsed="false">
      <c r="K26" s="35" t="s">
        <v>328</v>
      </c>
    </row>
    <row r="27" customFormat="false" ht="15" hidden="false" customHeight="false" outlineLevel="0" collapsed="false">
      <c r="K27" s="35" t="s">
        <v>167</v>
      </c>
    </row>
    <row r="28" customFormat="false" ht="15" hidden="false" customHeight="false" outlineLevel="0" collapsed="false">
      <c r="K28" s="35" t="s">
        <v>329</v>
      </c>
    </row>
    <row r="29" customFormat="false" ht="15" hidden="false" customHeight="false" outlineLevel="0" collapsed="false">
      <c r="K29" s="35" t="s">
        <v>330</v>
      </c>
    </row>
    <row r="30" customFormat="false" ht="15" hidden="false" customHeight="false" outlineLevel="0" collapsed="false">
      <c r="K30" s="35" t="s">
        <v>331</v>
      </c>
    </row>
    <row r="31" customFormat="false" ht="15" hidden="false" customHeight="false" outlineLevel="0" collapsed="false">
      <c r="K31" s="35" t="s">
        <v>332</v>
      </c>
    </row>
    <row r="32" customFormat="false" ht="15" hidden="false" customHeight="false" outlineLevel="0" collapsed="false">
      <c r="K32" s="35" t="s">
        <v>333</v>
      </c>
    </row>
    <row r="33" customFormat="false" ht="15" hidden="false" customHeight="false" outlineLevel="0" collapsed="false">
      <c r="K33" s="35" t="s">
        <v>334</v>
      </c>
    </row>
    <row r="34" customFormat="false" ht="15" hidden="false" customHeight="false" outlineLevel="0" collapsed="false">
      <c r="K34" s="35" t="s">
        <v>335</v>
      </c>
    </row>
    <row r="35" customFormat="false" ht="15" hidden="false" customHeight="false" outlineLevel="0" collapsed="false">
      <c r="K35" s="35" t="s">
        <v>336</v>
      </c>
    </row>
    <row r="36" customFormat="false" ht="15" hidden="false" customHeight="false" outlineLevel="0" collapsed="false">
      <c r="K36" s="35" t="s">
        <v>337</v>
      </c>
    </row>
    <row r="37" customFormat="false" ht="15" hidden="false" customHeight="false" outlineLevel="0" collapsed="false">
      <c r="K37" s="35" t="s">
        <v>338</v>
      </c>
    </row>
    <row r="38" customFormat="false" ht="15" hidden="false" customHeight="false" outlineLevel="0" collapsed="false">
      <c r="K38" s="35" t="s">
        <v>339</v>
      </c>
    </row>
    <row r="39" customFormat="false" ht="15" hidden="false" customHeight="false" outlineLevel="0" collapsed="false">
      <c r="K39" s="35" t="s">
        <v>340</v>
      </c>
    </row>
    <row r="40" customFormat="false" ht="15" hidden="false" customHeight="false" outlineLevel="0" collapsed="false">
      <c r="K40" s="35" t="s">
        <v>341</v>
      </c>
    </row>
    <row r="41" customFormat="false" ht="15" hidden="false" customHeight="false" outlineLevel="0" collapsed="false">
      <c r="K41" s="35" t="s">
        <v>342</v>
      </c>
    </row>
    <row r="42" customFormat="false" ht="15" hidden="false" customHeight="false" outlineLevel="0" collapsed="false">
      <c r="K42" s="35" t="s">
        <v>343</v>
      </c>
    </row>
    <row r="43" customFormat="false" ht="15" hidden="false" customHeight="false" outlineLevel="0" collapsed="false">
      <c r="K43" s="35" t="s">
        <v>344</v>
      </c>
    </row>
    <row r="44" customFormat="false" ht="15" hidden="false" customHeight="false" outlineLevel="0" collapsed="false">
      <c r="K44" s="35" t="s">
        <v>345</v>
      </c>
    </row>
    <row r="45" customFormat="false" ht="15" hidden="false" customHeight="false" outlineLevel="0" collapsed="false">
      <c r="K45" s="35" t="s">
        <v>346</v>
      </c>
    </row>
    <row r="46" customFormat="false" ht="15" hidden="false" customHeight="false" outlineLevel="0" collapsed="false">
      <c r="K46" s="35" t="s">
        <v>347</v>
      </c>
    </row>
    <row r="47" customFormat="false" ht="15" hidden="false" customHeight="false" outlineLevel="0" collapsed="false">
      <c r="K47" s="35" t="s">
        <v>348</v>
      </c>
    </row>
    <row r="48" customFormat="false" ht="15" hidden="false" customHeight="false" outlineLevel="0" collapsed="false">
      <c r="K48" s="35" t="s">
        <v>349</v>
      </c>
    </row>
    <row r="49" customFormat="false" ht="15" hidden="false" customHeight="false" outlineLevel="0" collapsed="false">
      <c r="K49" s="35" t="s">
        <v>350</v>
      </c>
    </row>
    <row r="50" customFormat="false" ht="15" hidden="false" customHeight="false" outlineLevel="0" collapsed="false">
      <c r="K50" s="35" t="s">
        <v>351</v>
      </c>
    </row>
    <row r="51" customFormat="false" ht="15" hidden="false" customHeight="false" outlineLevel="0" collapsed="false">
      <c r="K51" s="35" t="s">
        <v>352</v>
      </c>
    </row>
    <row r="52" customFormat="false" ht="15" hidden="false" customHeight="false" outlineLevel="0" collapsed="false">
      <c r="K52" s="35" t="s">
        <v>353</v>
      </c>
    </row>
    <row r="53" customFormat="false" ht="15" hidden="false" customHeight="false" outlineLevel="0" collapsed="false">
      <c r="K53" s="35" t="s">
        <v>354</v>
      </c>
    </row>
    <row r="54" customFormat="false" ht="15" hidden="false" customHeight="false" outlineLevel="0" collapsed="false">
      <c r="K54" s="35" t="s">
        <v>355</v>
      </c>
    </row>
    <row r="55" customFormat="false" ht="15" hidden="false" customHeight="false" outlineLevel="0" collapsed="false">
      <c r="K55" s="35" t="s">
        <v>356</v>
      </c>
    </row>
    <row r="56" customFormat="false" ht="15" hidden="false" customHeight="false" outlineLevel="0" collapsed="false">
      <c r="K56" s="35" t="s">
        <v>357</v>
      </c>
    </row>
    <row r="57" customFormat="false" ht="15" hidden="false" customHeight="false" outlineLevel="0" collapsed="false">
      <c r="K57" s="35" t="s">
        <v>358</v>
      </c>
    </row>
    <row r="58" customFormat="false" ht="15" hidden="false" customHeight="false" outlineLevel="0" collapsed="false">
      <c r="K58" s="35" t="s">
        <v>359</v>
      </c>
    </row>
    <row r="59" customFormat="false" ht="15" hidden="false" customHeight="false" outlineLevel="0" collapsed="false">
      <c r="K59" s="35" t="s">
        <v>360</v>
      </c>
    </row>
    <row r="60" customFormat="false" ht="15" hidden="false" customHeight="false" outlineLevel="0" collapsed="false">
      <c r="K60" s="35" t="s">
        <v>361</v>
      </c>
    </row>
    <row r="61" customFormat="false" ht="15" hidden="false" customHeight="false" outlineLevel="0" collapsed="false">
      <c r="K61" s="35" t="s">
        <v>362</v>
      </c>
    </row>
    <row r="62" customFormat="false" ht="15" hidden="false" customHeight="false" outlineLevel="0" collapsed="false">
      <c r="K62" s="35" t="s">
        <v>363</v>
      </c>
    </row>
    <row r="63" customFormat="false" ht="15" hidden="false" customHeight="false" outlineLevel="0" collapsed="false">
      <c r="K63" s="35" t="s">
        <v>364</v>
      </c>
    </row>
    <row r="64" customFormat="false" ht="15" hidden="false" customHeight="false" outlineLevel="0" collapsed="false">
      <c r="K64" s="35" t="s">
        <v>365</v>
      </c>
    </row>
    <row r="65" customFormat="false" ht="15" hidden="false" customHeight="false" outlineLevel="0" collapsed="false">
      <c r="K65" s="35" t="s">
        <v>366</v>
      </c>
    </row>
    <row r="66" customFormat="false" ht="15" hidden="false" customHeight="false" outlineLevel="0" collapsed="false">
      <c r="K66" s="35" t="s">
        <v>367</v>
      </c>
    </row>
    <row r="67" customFormat="false" ht="15" hidden="false" customHeight="false" outlineLevel="0" collapsed="false">
      <c r="K67" s="35" t="s">
        <v>368</v>
      </c>
    </row>
    <row r="68" customFormat="false" ht="15" hidden="false" customHeight="false" outlineLevel="0" collapsed="false">
      <c r="K68" s="35" t="s">
        <v>369</v>
      </c>
    </row>
    <row r="69" customFormat="false" ht="15" hidden="false" customHeight="false" outlineLevel="0" collapsed="false">
      <c r="K69" s="35" t="s">
        <v>370</v>
      </c>
    </row>
    <row r="70" customFormat="false" ht="15" hidden="false" customHeight="false" outlineLevel="0" collapsed="false">
      <c r="K70" s="35" t="s">
        <v>371</v>
      </c>
    </row>
    <row r="71" customFormat="false" ht="15" hidden="false" customHeight="false" outlineLevel="0" collapsed="false">
      <c r="K71" s="35" t="s">
        <v>372</v>
      </c>
    </row>
    <row r="72" customFormat="false" ht="15" hidden="false" customHeight="false" outlineLevel="0" collapsed="false">
      <c r="K72" s="35" t="s">
        <v>373</v>
      </c>
    </row>
    <row r="73" customFormat="false" ht="15" hidden="false" customHeight="false" outlineLevel="0" collapsed="false">
      <c r="K73" s="35" t="s">
        <v>374</v>
      </c>
    </row>
    <row r="74" customFormat="false" ht="15" hidden="false" customHeight="false" outlineLevel="0" collapsed="false">
      <c r="K74" s="35" t="s">
        <v>375</v>
      </c>
    </row>
    <row r="75" customFormat="false" ht="15" hidden="false" customHeight="false" outlineLevel="0" collapsed="false">
      <c r="K75" s="35" t="s">
        <v>376</v>
      </c>
    </row>
    <row r="76" customFormat="false" ht="15" hidden="false" customHeight="false" outlineLevel="0" collapsed="false">
      <c r="K76" s="35" t="s">
        <v>377</v>
      </c>
    </row>
    <row r="77" customFormat="false" ht="15" hidden="false" customHeight="false" outlineLevel="0" collapsed="false">
      <c r="K77" s="35" t="s">
        <v>378</v>
      </c>
    </row>
    <row r="78" customFormat="false" ht="15" hidden="false" customHeight="false" outlineLevel="0" collapsed="false">
      <c r="K78" s="35" t="s">
        <v>379</v>
      </c>
    </row>
    <row r="79" customFormat="false" ht="15" hidden="false" customHeight="false" outlineLevel="0" collapsed="false">
      <c r="K79" s="35" t="s">
        <v>380</v>
      </c>
    </row>
    <row r="80" customFormat="false" ht="15" hidden="false" customHeight="false" outlineLevel="0" collapsed="false">
      <c r="K80" s="35" t="s">
        <v>381</v>
      </c>
    </row>
    <row r="81" customFormat="false" ht="15" hidden="false" customHeight="false" outlineLevel="0" collapsed="false">
      <c r="K81" s="35" t="s">
        <v>382</v>
      </c>
    </row>
    <row r="82" customFormat="false" ht="15" hidden="false" customHeight="false" outlineLevel="0" collapsed="false">
      <c r="K82" s="35" t="s">
        <v>383</v>
      </c>
    </row>
    <row r="83" customFormat="false" ht="15" hidden="false" customHeight="false" outlineLevel="0" collapsed="false">
      <c r="K83" s="35" t="s">
        <v>384</v>
      </c>
    </row>
    <row r="84" customFormat="false" ht="15" hidden="false" customHeight="false" outlineLevel="0" collapsed="false">
      <c r="K84" s="35" t="s">
        <v>385</v>
      </c>
    </row>
    <row r="85" customFormat="false" ht="15" hidden="false" customHeight="false" outlineLevel="0" collapsed="false">
      <c r="K85" s="35" t="s">
        <v>386</v>
      </c>
    </row>
    <row r="86" customFormat="false" ht="15" hidden="false" customHeight="false" outlineLevel="0" collapsed="false">
      <c r="K86" s="35" t="s">
        <v>387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2026-08-16T01:59:43Z</dcterms:created>
  <dc:creator>openpyxl</dc:creator>
  <dc:description/>
  <dc:language>en-US</dc:language>
  <cp:lastModifiedBy/>
  <dcterms:modified xsi:type="dcterms:W3CDTF">2026-08-16T01:59:43Z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