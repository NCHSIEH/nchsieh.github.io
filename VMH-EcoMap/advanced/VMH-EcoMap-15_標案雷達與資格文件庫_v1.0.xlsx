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_ReadMe" sheetId="1" state="visible" r:id="rId3"/>
    <sheet name="標案登錄_TenderLog" sheetId="2" state="visible" r:id="rId4"/>
    <sheet name="關鍵字庫_Keywords" sheetId="3" state="visible" r:id="rId5"/>
    <sheet name="資格文件庫_QualFile" sheetId="4" state="visible" r:id="rId6"/>
    <sheet name="選單_Lists" sheetId="5" state="visible" r:id="rId7"/>
  </sheets>
  <definedNames>
    <definedName function="false" hidden="true" localSheetId="1" name="_xlnm._FilterDatabase" vbProcedure="false">標案登錄_TenderLog!$A$4:$R$40</definedName>
    <definedName function="false" hidden="true" localSheetId="3" name="_xlnm._FilterDatabase" vbProcedure="false">資格文件庫_QualFile!$A$4:$N$19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<sst xmlns="http://schemas.openxmlformats.org/spreadsheetml/2006/main" count="310" uniqueCount="237">
  <si>
    <r>
      <rPr>
        <b val="true"/>
        <sz val="15"/>
        <color rgb="FF1F3864"/>
        <rFont val="Microsoft JhengHei"/>
        <family val="0"/>
        <charset val="1"/>
      </rPr>
      <t xml:space="preserve">VMH-EcoMap-15 </t>
    </r>
    <r>
      <rPr>
        <b val="true"/>
        <sz val="15"/>
        <color rgb="FF1F3864"/>
        <rFont val="Noto Sans CJK SC"/>
        <family val="2"/>
      </rPr>
      <t xml:space="preserve">標案雷達與資格文件庫｜使用說明</t>
    </r>
  </si>
  <si>
    <r>
      <rPr>
        <sz val="10"/>
        <color rgb="FF6B7280"/>
        <rFont val="Microsoft JhengHei"/>
        <family val="0"/>
        <charset val="1"/>
      </rPr>
      <t xml:space="preserve">P0 </t>
    </r>
    <r>
      <rPr>
        <sz val="10"/>
        <color rgb="FF6B7280"/>
        <rFont val="Noto Sans CJK SC"/>
        <family val="2"/>
      </rPr>
      <t xml:space="preserve">鎖定目標工具（③）・</t>
    </r>
    <r>
      <rPr>
        <sz val="10"/>
        <color rgb="FF6B7280"/>
        <rFont val="Microsoft JhengHei"/>
        <family val="0"/>
        <charset val="1"/>
      </rPr>
      <t xml:space="preserve">2026-08-15</t>
    </r>
    <r>
      <rPr>
        <sz val="10"/>
        <color rgb="FF6B7280"/>
        <rFont val="Noto Sans CJK SC"/>
        <family val="2"/>
      </rPr>
      <t xml:space="preserve">・對應藍圖 </t>
    </r>
    <r>
      <rPr>
        <sz val="10"/>
        <color rgb="FF6B7280"/>
        <rFont val="Microsoft JhengHei"/>
        <family val="0"/>
        <charset val="1"/>
      </rPr>
      <t xml:space="preserve">VMH-EcoMap-13</t>
    </r>
  </si>
  <si>
    <r>
      <rPr>
        <b val="true"/>
        <sz val="10"/>
        <rFont val="Noto Sans CJK SC"/>
        <family val="2"/>
      </rPr>
      <t xml:space="preserve">■ 為什麼這是 </t>
    </r>
    <r>
      <rPr>
        <b val="true"/>
        <sz val="10"/>
        <rFont val="Microsoft JhengHei"/>
        <family val="0"/>
        <charset val="1"/>
      </rPr>
      <t xml:space="preserve">P0</t>
    </r>
  </si>
  <si>
    <r>
      <rPr>
        <sz val="10"/>
        <rFont val="Microsoft JhengHei"/>
        <family val="0"/>
        <charset val="1"/>
      </rPr>
      <t xml:space="preserve">Decree 71/2025 </t>
    </r>
    <r>
      <rPr>
        <sz val="10"/>
        <rFont val="Noto Sans CJK SC"/>
        <family val="2"/>
      </rPr>
      <t xml:space="preserve">把招標窗口壓到 </t>
    </r>
    <r>
      <rPr>
        <sz val="10"/>
        <rFont val="Microsoft JhengHei"/>
        <family val="0"/>
        <charset val="1"/>
      </rPr>
      <t xml:space="preserve">10–60 </t>
    </r>
    <r>
      <rPr>
        <sz val="10"/>
        <rFont val="Noto Sans CJK SC"/>
        <family val="2"/>
      </rPr>
      <t xml:space="preserve">天，外國企業資格文件的公證認證以週計。結論只有一個：文件必須在看到任何標案「之前」就備好。雷達平時空轉沒關係，文件庫是投標權的門票。</t>
    </r>
  </si>
  <si>
    <t xml:space="preserve">■ 三個分頁的關係</t>
  </si>
  <si>
    <t xml:space="preserve">關鍵字庫（每週照表掃採購網）→ 標案登錄（掃到的記下來、盯剩餘天數）→ 資格文件庫（平時備文件、投標前核對）。</t>
  </si>
  <si>
    <r>
      <rPr>
        <b val="true"/>
        <sz val="10"/>
        <rFont val="Noto Sans CJK SC"/>
        <family val="2"/>
      </rPr>
      <t xml:space="preserve">■ 每週 </t>
    </r>
    <r>
      <rPr>
        <b val="true"/>
        <sz val="10"/>
        <rFont val="Microsoft JhengHei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分鐘例行</t>
    </r>
  </si>
  <si>
    <t xml:space="preserve">見「關鍵字庫」分頁最下方的五步。指定一個人負責，週會回報兩個數字：本週新標案幾件、文件庫「已備齊」比例。</t>
  </si>
  <si>
    <t xml:space="preserve">■ 文件準備的優先序</t>
  </si>
  <si>
    <r>
      <rPr>
        <sz val="10"/>
        <rFont val="Noto Sans CJK SC"/>
        <family val="2"/>
      </rPr>
      <t xml:space="preserve">先做最花時間的：實績證明＋推薦函（</t>
    </r>
    <r>
      <rPr>
        <sz val="10"/>
        <rFont val="Microsoft JhengHei"/>
        <family val="0"/>
        <charset val="1"/>
      </rPr>
      <t xml:space="preserve">4-8 </t>
    </r>
    <r>
      <rPr>
        <sz val="10"/>
        <rFont val="Noto Sans CJK SC"/>
        <family val="2"/>
      </rPr>
      <t xml:space="preserve">週）、人員學歷認證（</t>
    </r>
    <r>
      <rPr>
        <sz val="10"/>
        <rFont val="Microsoft JhengHei"/>
        <family val="0"/>
        <charset val="1"/>
      </rPr>
      <t xml:space="preserve">4-6 </t>
    </r>
    <r>
      <rPr>
        <sz val="10"/>
        <rFont val="Noto Sans CJK SC"/>
        <family val="2"/>
      </rPr>
      <t xml:space="preserve">週）、審計財報翻譯（</t>
    </r>
    <r>
      <rPr>
        <sz val="10"/>
        <rFont val="Microsoft JhengHei"/>
        <family val="0"/>
        <charset val="1"/>
      </rPr>
      <t xml:space="preserve">3-6 </t>
    </r>
    <r>
      <rPr>
        <sz val="10"/>
        <rFont val="Noto Sans CJK SC"/>
        <family val="2"/>
      </rPr>
      <t xml:space="preserve">週）。「</t>
    </r>
    <r>
      <rPr>
        <sz val="10"/>
        <rFont val="Microsoft JhengHei"/>
        <family val="0"/>
        <charset val="1"/>
      </rPr>
      <t xml:space="preserve">90 </t>
    </r>
    <r>
      <rPr>
        <sz val="10"/>
        <rFont val="Noto Sans CJK SC"/>
        <family val="2"/>
      </rPr>
      <t xml:space="preserve">天內」類的（</t>
    </r>
    <r>
      <rPr>
        <sz val="10"/>
        <rFont val="Microsoft JhengHei"/>
        <family val="0"/>
        <charset val="1"/>
      </rPr>
      <t xml:space="preserve">ERC</t>
    </r>
    <r>
      <rPr>
        <sz val="10"/>
        <rFont val="Noto Sans CJK SC"/>
        <family val="2"/>
      </rPr>
      <t xml:space="preserve">、完稅、</t>
    </r>
    <r>
      <rPr>
        <sz val="10"/>
        <rFont val="Microsoft JhengHei"/>
        <family val="0"/>
        <charset val="1"/>
      </rPr>
      <t xml:space="preserve">POA</t>
    </r>
    <r>
      <rPr>
        <sz val="10"/>
        <rFont val="Noto Sans CJK SC"/>
        <family val="2"/>
      </rPr>
      <t xml:space="preserve">）不要太早辦——養成「投標前兩週重辦」的節奏。</t>
    </r>
  </si>
  <si>
    <t xml:space="preserve">■ 與其他工具的銜接</t>
  </si>
  <si>
    <r>
      <rPr>
        <sz val="10"/>
        <rFont val="Noto Sans CJK SC"/>
        <family val="2"/>
      </rPr>
      <t xml:space="preserve">標案評估「投」→ 到 </t>
    </r>
    <r>
      <rPr>
        <sz val="10"/>
        <rFont val="Microsoft JhengHei"/>
        <family val="0"/>
        <charset val="1"/>
      </rPr>
      <t xml:space="preserve">14 </t>
    </r>
    <r>
      <rPr>
        <sz val="10"/>
        <rFont val="Noto Sans CJK SC"/>
        <family val="2"/>
      </rPr>
      <t xml:space="preserve">號檔開資格審查案件（把案件</t>
    </r>
    <r>
      <rPr>
        <sz val="10"/>
        <rFont val="Microsoft JhengHei"/>
        <family val="0"/>
        <charset val="1"/>
      </rPr>
      <t xml:space="preserve">ID</t>
    </r>
    <r>
      <rPr>
        <sz val="10"/>
        <rFont val="Noto Sans CJK SC"/>
        <family val="2"/>
      </rPr>
      <t xml:space="preserve">填回標案登錄）；聯盟協議用藍圖⑫的模板（</t>
    </r>
    <r>
      <rPr>
        <sz val="10"/>
        <rFont val="Microsoft JhengHei"/>
        <family val="0"/>
        <charset val="1"/>
      </rPr>
      <t xml:space="preserve">P3 </t>
    </r>
    <r>
      <rPr>
        <sz val="10"/>
        <rFont val="Noto Sans CJK SC"/>
        <family val="2"/>
      </rPr>
      <t xml:space="preserve">時製作）；標案的資格要求若超出文件庫清單，把新項目加進去——這個清單會愈用愈準。</t>
    </r>
  </si>
  <si>
    <r>
      <rPr>
        <b val="true"/>
        <sz val="15"/>
        <color rgb="FF1F3864"/>
        <rFont val="Noto Sans CJK SC"/>
        <family val="2"/>
      </rPr>
      <t xml:space="preserve">標案登錄｜</t>
    </r>
    <r>
      <rPr>
        <b val="true"/>
        <sz val="15"/>
        <color rgb="FF1F3864"/>
        <rFont val="Microsoft JhengHei"/>
        <family val="0"/>
        <charset val="1"/>
      </rPr>
      <t xml:space="preserve">Tender Log</t>
    </r>
    <r>
      <rPr>
        <b val="true"/>
        <sz val="15"/>
        <color rgb="FF1F3864"/>
        <rFont val="Noto Sans CJK SC"/>
        <family val="2"/>
      </rPr>
      <t xml:space="preserve">（雷達掃到的醫院標案都記在這裡，一標一列）</t>
    </r>
  </si>
  <si>
    <r>
      <rPr>
        <sz val="10"/>
        <color rgb="FF6B7280"/>
        <rFont val="Noto Sans CJK SC"/>
        <family val="2"/>
      </rPr>
      <t xml:space="preserve">❓這頁在回答：現在有哪些標案在跑、剩幾天、投不投？　★ </t>
    </r>
    <r>
      <rPr>
        <sz val="10"/>
        <color rgb="FF6B7280"/>
        <rFont val="Microsoft JhengHei"/>
        <family val="0"/>
        <charset val="1"/>
      </rPr>
      <t xml:space="preserve">Decree 71/2025 </t>
    </r>
    <r>
      <rPr>
        <sz val="10"/>
        <color rgb="FF6B7280"/>
        <rFont val="Noto Sans CJK SC"/>
        <family val="2"/>
      </rPr>
      <t xml:space="preserve">招標窗口僅 </t>
    </r>
    <r>
      <rPr>
        <sz val="10"/>
        <color rgb="FF6B7280"/>
        <rFont val="Microsoft JhengHei"/>
        <family val="0"/>
        <charset val="1"/>
      </rPr>
      <t xml:space="preserve">10–60 </t>
    </r>
    <r>
      <rPr>
        <sz val="10"/>
        <color rgb="FF6B7280"/>
        <rFont val="Noto Sans CJK SC"/>
        <family val="2"/>
      </rPr>
      <t xml:space="preserve">天——「剩餘天數」變紅（</t>
    </r>
    <r>
      <rPr>
        <sz val="10"/>
        <color rgb="FF6B7280"/>
        <rFont val="Microsoft JhengHei"/>
        <family val="0"/>
        <charset val="1"/>
      </rPr>
      <t xml:space="preserve">&lt;14 </t>
    </r>
    <r>
      <rPr>
        <sz val="10"/>
        <color rgb="FF6B7280"/>
        <rFont val="Noto Sans CJK SC"/>
        <family val="2"/>
      </rPr>
      <t xml:space="preserve">天）而資格文件未備齊＝這一標已經輸了。</t>
    </r>
  </si>
  <si>
    <t xml:space="preserve">圖例：</t>
  </si>
  <si>
    <t xml:space="preserve">　要填　</t>
  </si>
  <si>
    <t xml:space="preserve">　自動　</t>
  </si>
  <si>
    <t xml:space="preserve">（範例）列請參考後刪除或保留當樣板</t>
  </si>
  <si>
    <t xml:space="preserve">發現日</t>
  </si>
  <si>
    <r>
      <rPr>
        <b val="true"/>
        <sz val="10"/>
        <color rgb="FFFFFFFF"/>
        <rFont val="Noto Sans CJK SC"/>
        <family val="2"/>
      </rPr>
      <t xml:space="preserve">標案編號</t>
    </r>
    <r>
      <rPr>
        <b val="true"/>
        <sz val="10"/>
        <color rgb="FFFFFFFF"/>
        <rFont val="Microsoft JhengHei"/>
        <family val="0"/>
        <charset val="1"/>
      </rPr>
      <t xml:space="preserve">(TBMT)</t>
    </r>
  </si>
  <si>
    <t xml:space="preserve">招標單位</t>
  </si>
  <si>
    <r>
      <rPr>
        <b val="true"/>
        <sz val="10"/>
        <color rgb="FFFFFFFF"/>
        <rFont val="Noto Sans CJK SC"/>
        <family val="2"/>
      </rPr>
      <t xml:space="preserve">醫院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省份</t>
    </r>
  </si>
  <si>
    <t xml:space="preserve">標的摘要</t>
  </si>
  <si>
    <t xml:space="preserve">層級</t>
  </si>
  <si>
    <r>
      <rPr>
        <b val="true"/>
        <sz val="10"/>
        <color rgb="FFFFFFFF"/>
        <rFont val="Noto Sans CJK SC"/>
        <family val="2"/>
      </rPr>
      <t xml:space="preserve">預算</t>
    </r>
    <r>
      <rPr>
        <b val="true"/>
        <sz val="10"/>
        <color rgb="FFFFFFFF"/>
        <rFont val="Microsoft JhengHe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百萬</t>
    </r>
    <r>
      <rPr>
        <b val="true"/>
        <sz val="10"/>
        <color rgb="FFFFFFFF"/>
        <rFont val="Microsoft JhengHei"/>
        <family val="0"/>
        <charset val="1"/>
      </rPr>
      <t xml:space="preserve">VND)</t>
    </r>
  </si>
  <si>
    <t xml:space="preserve">公告日</t>
  </si>
  <si>
    <t xml:space="preserve">截標日</t>
  </si>
  <si>
    <t xml:space="preserve">剩餘天數</t>
  </si>
  <si>
    <t xml:space="preserve">保證金要求</t>
  </si>
  <si>
    <t xml:space="preserve">資格要求摘要</t>
  </si>
  <si>
    <r>
      <rPr>
        <b val="true"/>
        <sz val="10"/>
        <color rgb="FFFFFFFF"/>
        <rFont val="Noto Sans CJK SC"/>
        <family val="2"/>
      </rPr>
      <t xml:space="preserve">投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不投</t>
    </r>
  </si>
  <si>
    <r>
      <rPr>
        <b val="true"/>
        <sz val="10"/>
        <color rgb="FFFFFFFF"/>
        <rFont val="Noto Sans CJK SC"/>
        <family val="2"/>
      </rPr>
      <t xml:space="preserve">資格審查案件</t>
    </r>
    <r>
      <rPr>
        <b val="true"/>
        <sz val="10"/>
        <color rgb="FFFFFFFF"/>
        <rFont val="Microsoft JhengHei"/>
        <family val="0"/>
        <charset val="1"/>
      </rPr>
      <t xml:space="preserve">ID</t>
    </r>
  </si>
  <si>
    <t xml:space="preserve">連結</t>
  </si>
  <si>
    <t xml:space="preserve">負責人</t>
  </si>
  <si>
    <t xml:space="preserve">狀態</t>
  </si>
  <si>
    <r>
      <rPr>
        <b val="true"/>
        <sz val="10"/>
        <color rgb="FFFFFFFF"/>
        <rFont val="Noto Sans CJK SC"/>
        <family val="2"/>
      </rPr>
      <t xml:space="preserve">結果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教訓</t>
    </r>
  </si>
  <si>
    <t xml:space="preserve">2026-08-10</t>
  </si>
  <si>
    <t xml:space="preserve">IB2600123456</t>
  </si>
  <si>
    <r>
      <rPr>
        <sz val="9"/>
        <rFont val="Microsoft JhengHei"/>
        <family val="0"/>
        <charset val="1"/>
      </rPr>
      <t xml:space="preserve">Sở Y tế Hưng Yên(</t>
    </r>
    <r>
      <rPr>
        <sz val="9"/>
        <rFont val="Noto Sans CJK SC"/>
        <family val="2"/>
      </rPr>
      <t xml:space="preserve">衛生廳</t>
    </r>
    <r>
      <rPr>
        <sz val="9"/>
        <rFont val="Microsoft JhengHei"/>
        <family val="0"/>
        <charset val="1"/>
      </rPr>
      <t xml:space="preserve">)</t>
    </r>
  </si>
  <si>
    <t xml:space="preserve">興安省綜合醫院</t>
  </si>
  <si>
    <t xml:space="preserve">醫院資訊系統升級與機房改善包</t>
  </si>
  <si>
    <r>
      <rPr>
        <sz val="9"/>
        <rFont val="Microsoft JhengHei"/>
        <family val="0"/>
        <charset val="1"/>
      </rPr>
      <t xml:space="preserve">L2 </t>
    </r>
    <r>
      <rPr>
        <sz val="9"/>
        <rFont val="Noto Sans CJK SC"/>
        <family val="2"/>
      </rPr>
      <t xml:space="preserve">數位基礎</t>
    </r>
  </si>
  <si>
    <t xml:space="preserve">2026-08-08</t>
  </si>
  <si>
    <t xml:space="preserve">2026-09-05</t>
  </si>
  <si>
    <r>
      <rPr>
        <sz val="9"/>
        <rFont val="Noto Sans CJK SC"/>
        <family val="2"/>
      </rPr>
      <t xml:space="preserve">投標保證金 </t>
    </r>
    <r>
      <rPr>
        <sz val="9"/>
        <rFont val="Microsoft JhengHei"/>
        <family val="0"/>
        <charset val="1"/>
      </rPr>
      <t xml:space="preserve">1.5%</t>
    </r>
  </si>
  <si>
    <r>
      <rPr>
        <sz val="9"/>
        <rFont val="Microsoft JhengHei"/>
        <family val="0"/>
        <charset val="1"/>
      </rPr>
      <t xml:space="preserve">ISO 9001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3 </t>
    </r>
    <r>
      <rPr>
        <sz val="9"/>
        <rFont val="Noto Sans CJK SC"/>
        <family val="2"/>
      </rPr>
      <t xml:space="preserve">年同類實績 </t>
    </r>
    <r>
      <rPr>
        <sz val="9"/>
        <rFont val="Microsoft JhengHei"/>
        <family val="0"/>
        <charset val="1"/>
      </rPr>
      <t xml:space="preserve">2 </t>
    </r>
    <r>
      <rPr>
        <sz val="9"/>
        <rFont val="Noto Sans CJK SC"/>
        <family val="2"/>
      </rPr>
      <t xml:space="preserve">案、越文文件</t>
    </r>
  </si>
  <si>
    <t xml:space="preserve">評估中</t>
  </si>
  <si>
    <t xml:space="preserve">C-001</t>
  </si>
  <si>
    <t xml:space="preserve">muasamcong.mpi.gov.vn/...</t>
  </si>
  <si>
    <t xml:space="preserve">NC</t>
  </si>
  <si>
    <t xml:space="preserve">追蹤中</t>
  </si>
  <si>
    <t xml:space="preserve">（範例列）</t>
  </si>
  <si>
    <r>
      <rPr>
        <b val="true"/>
        <sz val="15"/>
        <color rgb="FF1F3864"/>
        <rFont val="Noto Sans CJK SC"/>
        <family val="2"/>
      </rPr>
      <t xml:space="preserve">關鍵字庫｜每週掃描用（越南國家採購網 </t>
    </r>
    <r>
      <rPr>
        <b val="true"/>
        <sz val="15"/>
        <color rgb="FF1F3864"/>
        <rFont val="Microsoft JhengHei"/>
        <family val="0"/>
        <charset val="1"/>
      </rPr>
      <t xml:space="preserve">muasamcong.mpi.gov.vn</t>
    </r>
    <r>
      <rPr>
        <b val="true"/>
        <sz val="15"/>
        <color rgb="FF1F3864"/>
        <rFont val="Noto Sans CJK SC"/>
        <family val="2"/>
      </rPr>
      <t xml:space="preserve">）</t>
    </r>
  </si>
  <si>
    <r>
      <rPr>
        <sz val="10"/>
        <color rgb="FF6B7280"/>
        <rFont val="Noto Sans CJK SC"/>
        <family val="2"/>
      </rPr>
      <t xml:space="preserve">每週一次、</t>
    </r>
    <r>
      <rPr>
        <sz val="10"/>
        <color rgb="FF6B7280"/>
        <rFont val="Microsoft JhengHei"/>
        <family val="0"/>
        <charset val="1"/>
      </rPr>
      <t xml:space="preserve">10 </t>
    </r>
    <r>
      <rPr>
        <sz val="10"/>
        <color rgb="FF6B7280"/>
        <rFont val="Noto Sans CJK SC"/>
        <family val="2"/>
      </rPr>
      <t xml:space="preserve">分鐘：登入採購網→逐組貼上越文關鍵字搜尋→近 </t>
    </r>
    <r>
      <rPr>
        <sz val="10"/>
        <color rgb="FF6B7280"/>
        <rFont val="Microsoft JhengHei"/>
        <family val="0"/>
        <charset val="1"/>
      </rPr>
      <t xml:space="preserve">7 </t>
    </r>
    <r>
      <rPr>
        <sz val="10"/>
        <color rgb="FF6B7280"/>
        <rFont val="Noto Sans CJK SC"/>
        <family val="2"/>
      </rPr>
      <t xml:space="preserve">天新公告→符合的登錄到「標案登錄」。也可在 </t>
    </r>
    <r>
      <rPr>
        <sz val="10"/>
        <color rgb="FF6B7280"/>
        <rFont val="Microsoft JhengHei"/>
        <family val="0"/>
        <charset val="1"/>
      </rPr>
      <t xml:space="preserve">Google </t>
    </r>
    <r>
      <rPr>
        <sz val="10"/>
        <color rgb="FF6B7280"/>
        <rFont val="Noto Sans CJK SC"/>
        <family val="2"/>
      </rPr>
      <t xml:space="preserve">用「</t>
    </r>
    <r>
      <rPr>
        <sz val="10"/>
        <color rgb="FF6B7280"/>
        <rFont val="Microsoft JhengHei"/>
        <family val="0"/>
        <charset val="1"/>
      </rPr>
      <t xml:space="preserve">site:muasamcong.mpi.gov.vn </t>
    </r>
    <r>
      <rPr>
        <sz val="10"/>
        <color rgb="FF6B7280"/>
        <rFont val="Noto Sans CJK SC"/>
        <family val="2"/>
      </rPr>
      <t xml:space="preserve">＋關鍵字」搜。</t>
    </r>
  </si>
  <si>
    <t xml:space="preserve">找什麼</t>
  </si>
  <si>
    <t xml:space="preserve">越南文關鍵字（複製這個去搜）</t>
  </si>
  <si>
    <t xml:space="preserve">英文</t>
  </si>
  <si>
    <t xml:space="preserve">備註</t>
  </si>
  <si>
    <r>
      <rPr>
        <sz val="9"/>
        <rFont val="Noto Sans CJK SC"/>
        <family val="2"/>
      </rPr>
      <t xml:space="preserve">機房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資料中心</t>
    </r>
  </si>
  <si>
    <t xml:space="preserve">trung tâm dữ liệu bệnh viện</t>
  </si>
  <si>
    <t xml:space="preserve">hospital data center</t>
  </si>
  <si>
    <t xml:space="preserve">群晶主場，最高優先</t>
  </si>
  <si>
    <r>
      <rPr>
        <sz val="9"/>
        <rFont val="Noto Sans CJK SC"/>
        <family val="2"/>
      </rPr>
      <t xml:space="preserve">樓宇管理</t>
    </r>
    <r>
      <rPr>
        <sz val="9"/>
        <rFont val="Microsoft JhengHei"/>
        <family val="0"/>
        <charset val="1"/>
      </rPr>
      <t xml:space="preserve">BMS</t>
    </r>
  </si>
  <si>
    <t xml:space="preserve">hệ thống quản lý tòa nhà (BMS)</t>
  </si>
  <si>
    <t xml:space="preserve">building management system</t>
  </si>
  <si>
    <r>
      <rPr>
        <sz val="9"/>
        <rFont val="Microsoft JhengHei"/>
        <family val="0"/>
        <charset val="1"/>
      </rPr>
      <t xml:space="preserve">QCVN 04-3 </t>
    </r>
    <r>
      <rPr>
        <sz val="9"/>
        <rFont val="Noto Sans CJK SC"/>
        <family val="2"/>
      </rPr>
      <t xml:space="preserve">生效後量會變大</t>
    </r>
  </si>
  <si>
    <t xml:space="preserve">網路布纜</t>
  </si>
  <si>
    <t xml:space="preserve">hạ tầng mạng LAN bệnh viện</t>
  </si>
  <si>
    <t xml:space="preserve">hospital network infrastructure</t>
  </si>
  <si>
    <t xml:space="preserve">資訊安全</t>
  </si>
  <si>
    <t xml:space="preserve">an toàn thông tin y tế</t>
  </si>
  <si>
    <t xml:space="preserve">healthcare cybersecurity</t>
  </si>
  <si>
    <t xml:space="preserve">資安定級補課潮</t>
  </si>
  <si>
    <t xml:space="preserve">弱電系統</t>
  </si>
  <si>
    <t xml:space="preserve">hệ thống điện nhẹ bệnh viện</t>
  </si>
  <si>
    <t xml:space="preserve">ELV systems hospital</t>
  </si>
  <si>
    <r>
      <rPr>
        <sz val="9"/>
        <rFont val="Noto Sans CJK SC"/>
        <family val="2"/>
      </rPr>
      <t xml:space="preserve">含護士呼叫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門禁</t>
    </r>
    <r>
      <rPr>
        <sz val="9"/>
        <rFont val="Microsoft JhengHei"/>
        <family val="0"/>
        <charset val="1"/>
      </rPr>
      <t xml:space="preserve">/CCTV</t>
    </r>
  </si>
  <si>
    <r>
      <rPr>
        <sz val="9"/>
        <rFont val="Microsoft JhengHei"/>
        <family val="0"/>
        <charset val="1"/>
      </rPr>
      <t xml:space="preserve">L4 </t>
    </r>
    <r>
      <rPr>
        <sz val="9"/>
        <rFont val="Noto Sans CJK SC"/>
        <family val="2"/>
      </rPr>
      <t xml:space="preserve">資料平台</t>
    </r>
  </si>
  <si>
    <t xml:space="preserve">電子病歷</t>
  </si>
  <si>
    <t xml:space="preserve">bệnh án điện tử</t>
  </si>
  <si>
    <t xml:space="preserve">electronic medical record</t>
  </si>
  <si>
    <r>
      <rPr>
        <sz val="9"/>
        <rFont val="Microsoft JhengHei"/>
        <family val="0"/>
        <charset val="1"/>
      </rPr>
      <t xml:space="preserve">2026-12 </t>
    </r>
    <r>
      <rPr>
        <sz val="9"/>
        <rFont val="Noto Sans CJK SC"/>
        <family val="2"/>
      </rPr>
      <t xml:space="preserve">基層期限前的量</t>
    </r>
  </si>
  <si>
    <t xml:space="preserve">醫院資訊系統</t>
  </si>
  <si>
    <t xml:space="preserve">phần mềm quản lý bệnh viện (HIS)</t>
  </si>
  <si>
    <t xml:space="preserve">hospital information system</t>
  </si>
  <si>
    <t xml:space="preserve">本土三強地盤，找整合角色</t>
  </si>
  <si>
    <r>
      <rPr>
        <sz val="9"/>
        <rFont val="Microsoft JhengHei"/>
        <family val="0"/>
        <charset val="1"/>
      </rPr>
      <t xml:space="preserve">L1 </t>
    </r>
    <r>
      <rPr>
        <sz val="9"/>
        <rFont val="Noto Sans CJK SC"/>
        <family val="2"/>
      </rPr>
      <t xml:space="preserve">實體基礎</t>
    </r>
  </si>
  <si>
    <t xml:space="preserve">醫院機電</t>
  </si>
  <si>
    <t xml:space="preserve">cơ điện bệnh viện (M&amp;E)</t>
  </si>
  <si>
    <t xml:space="preserve">hospital M&amp;E</t>
  </si>
  <si>
    <t xml:space="preserve">跟著機電總包找分包位</t>
  </si>
  <si>
    <t xml:space="preserve">手術室淨化</t>
  </si>
  <si>
    <t xml:space="preserve">phòng mổ sạch</t>
  </si>
  <si>
    <t xml:space="preserve">operating room cleanroom</t>
  </si>
  <si>
    <t xml:space="preserve">醫用氣體</t>
  </si>
  <si>
    <t xml:space="preserve">khí y tế</t>
  </si>
  <si>
    <t xml:space="preserve">medical gas</t>
  </si>
  <si>
    <t xml:space="preserve">TCVN 8022=ISO 7396</t>
  </si>
  <si>
    <r>
      <rPr>
        <sz val="9"/>
        <rFont val="Microsoft JhengHei"/>
        <family val="0"/>
        <charset val="1"/>
      </rPr>
      <t xml:space="preserve">L3 </t>
    </r>
    <r>
      <rPr>
        <sz val="9"/>
        <rFont val="Noto Sans CJK SC"/>
        <family val="2"/>
      </rPr>
      <t xml:space="preserve">臨床設備</t>
    </r>
  </si>
  <si>
    <t xml:space="preserve">醫療設備</t>
  </si>
  <si>
    <t xml:space="preserve">mua sắm thiết bị y tế</t>
  </si>
  <si>
    <t xml:space="preserve">medical equipment procurement</t>
  </si>
  <si>
    <t xml:space="preserve">量最大、競爭也最多</t>
  </si>
  <si>
    <r>
      <rPr>
        <sz val="9"/>
        <rFont val="Microsoft JhengHei"/>
        <family val="0"/>
        <charset val="1"/>
      </rPr>
      <t xml:space="preserve">L6 </t>
    </r>
    <r>
      <rPr>
        <sz val="9"/>
        <rFont val="Noto Sans CJK SC"/>
        <family val="2"/>
      </rPr>
      <t xml:space="preserve">照護營運</t>
    </r>
  </si>
  <si>
    <t xml:space="preserve">設施維運</t>
  </si>
  <si>
    <t xml:space="preserve">bảo trì bảo dưỡng bệnh viện</t>
  </si>
  <si>
    <t xml:space="preserve">hospital maintenance</t>
  </si>
  <si>
    <t xml:space="preserve">通用</t>
  </si>
  <si>
    <t xml:space="preserve">醫院新建</t>
  </si>
  <si>
    <t xml:space="preserve">xây dựng bệnh viện</t>
  </si>
  <si>
    <t xml:space="preserve">hospital construction</t>
  </si>
  <si>
    <r>
      <rPr>
        <sz val="9"/>
        <rFont val="Noto Sans CJK SC"/>
        <family val="2"/>
      </rPr>
      <t xml:space="preserve">新建案</t>
    </r>
    <r>
      <rPr>
        <sz val="9"/>
        <rFont val="Microsoft JhengHei"/>
        <family val="0"/>
        <charset val="1"/>
      </rPr>
      <t xml:space="preserve">=</t>
    </r>
    <r>
      <rPr>
        <sz val="9"/>
        <rFont val="Noto Sans CJK SC"/>
        <family val="2"/>
      </rPr>
      <t xml:space="preserve">整包機會的源頭</t>
    </r>
  </si>
  <si>
    <t xml:space="preserve">招標單位型態</t>
  </si>
  <si>
    <r>
      <rPr>
        <sz val="10"/>
        <color rgb="FF26456E"/>
        <rFont val="Consolas"/>
        <family val="0"/>
        <charset val="1"/>
      </rPr>
      <t xml:space="preserve">Sở Y tế</t>
    </r>
    <r>
      <rPr>
        <sz val="10"/>
        <color rgb="FF26456E"/>
        <rFont val="Noto Sans CJK SC"/>
        <family val="2"/>
      </rPr>
      <t xml:space="preserve">／</t>
    </r>
    <r>
      <rPr>
        <sz val="10"/>
        <color rgb="FF26456E"/>
        <rFont val="Consolas"/>
        <family val="0"/>
        <charset val="1"/>
      </rPr>
      <t xml:space="preserve">Ban QLDA</t>
    </r>
    <r>
      <rPr>
        <sz val="10"/>
        <color rgb="FF26456E"/>
        <rFont val="Noto Sans CJK SC"/>
        <family val="2"/>
      </rPr>
      <t xml:space="preserve">／</t>
    </r>
    <r>
      <rPr>
        <sz val="10"/>
        <color rgb="FF26456E"/>
        <rFont val="Consolas"/>
        <family val="0"/>
        <charset val="1"/>
      </rPr>
      <t xml:space="preserve">Bệnh viện</t>
    </r>
  </si>
  <si>
    <t xml:space="preserve">DOH / PMU / Hospital</t>
  </si>
  <si>
    <t xml:space="preserve">衛生廳、專案管理委員會、醫院自辦</t>
  </si>
  <si>
    <r>
      <rPr>
        <b val="true"/>
        <sz val="10"/>
        <rFont val="Noto Sans CJK SC"/>
        <family val="2"/>
      </rPr>
      <t xml:space="preserve">每週例行（</t>
    </r>
    <r>
      <rPr>
        <b val="true"/>
        <sz val="10"/>
        <rFont val="Microsoft JhengHei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分鐘）</t>
    </r>
  </si>
  <si>
    <r>
      <rPr>
        <sz val="10"/>
        <rFont val="Noto Sans CJK SC"/>
        <family val="2"/>
      </rPr>
      <t xml:space="preserve">　① 開 </t>
    </r>
    <r>
      <rPr>
        <sz val="10"/>
        <rFont val="Microsoft JhengHei"/>
        <family val="0"/>
        <charset val="1"/>
      </rPr>
      <t xml:space="preserve">muasamcong.mpi.gov.vn → </t>
    </r>
    <r>
      <rPr>
        <sz val="10"/>
        <rFont val="Noto Sans CJK SC"/>
        <family val="2"/>
      </rPr>
      <t xml:space="preserve">搜尋頁</t>
    </r>
  </si>
  <si>
    <r>
      <rPr>
        <sz val="10"/>
        <rFont val="Noto Sans CJK SC"/>
        <family val="2"/>
      </rPr>
      <t xml:space="preserve">　② 逐組貼越文關鍵字、期間設「近 </t>
    </r>
    <r>
      <rPr>
        <sz val="10"/>
        <rFont val="Microsoft JhengHei"/>
        <family val="0"/>
        <charset val="1"/>
      </rPr>
      <t xml:space="preserve">7 </t>
    </r>
    <r>
      <rPr>
        <sz val="10"/>
        <rFont val="Noto Sans CJK SC"/>
        <family val="2"/>
      </rPr>
      <t xml:space="preserve">天」</t>
    </r>
  </si>
  <si>
    <r>
      <rPr>
        <sz val="10"/>
        <rFont val="Noto Sans CJK SC"/>
        <family val="2"/>
      </rPr>
      <t xml:space="preserve">　③ 符合的標案抄進「標案登錄」（編號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單位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截標日一定要抄對）</t>
    </r>
  </si>
  <si>
    <r>
      <rPr>
        <sz val="10"/>
        <rFont val="Noto Sans CJK SC"/>
        <family val="2"/>
      </rPr>
      <t xml:space="preserve">　④ 剩餘天數紅字的立刻評估投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不投</t>
    </r>
  </si>
  <si>
    <r>
      <rPr>
        <sz val="10"/>
        <rFont val="Noto Sans CJK SC"/>
        <family val="2"/>
      </rPr>
      <t xml:space="preserve">　⑤ 決定投 → 到「資格文件庫」核對缺什麼、到 </t>
    </r>
    <r>
      <rPr>
        <sz val="10"/>
        <rFont val="Microsoft JhengHei"/>
        <family val="0"/>
        <charset val="1"/>
      </rPr>
      <t xml:space="preserve">14 </t>
    </r>
    <r>
      <rPr>
        <sz val="10"/>
        <rFont val="Noto Sans CJK SC"/>
        <family val="2"/>
      </rPr>
      <t xml:space="preserve">號檔開資格審查</t>
    </r>
  </si>
  <si>
    <r>
      <rPr>
        <b val="true"/>
        <sz val="15"/>
        <color rgb="FF1F3864"/>
        <rFont val="Noto Sans CJK SC"/>
        <family val="2"/>
      </rPr>
      <t xml:space="preserve">資格文件庫｜</t>
    </r>
    <r>
      <rPr>
        <b val="true"/>
        <sz val="15"/>
        <color rgb="FF1F3864"/>
        <rFont val="Microsoft JhengHei"/>
        <family val="0"/>
        <charset val="1"/>
      </rPr>
      <t xml:space="preserve">Qualification File</t>
    </r>
    <r>
      <rPr>
        <b val="true"/>
        <sz val="15"/>
        <color rgb="FF1F3864"/>
        <rFont val="Noto Sans CJK SC"/>
        <family val="2"/>
      </rPr>
      <t xml:space="preserve">（投標的門票——公告才開始準備＝棄權）</t>
    </r>
  </si>
  <si>
    <r>
      <rPr>
        <sz val="10"/>
        <color rgb="FF6B7280"/>
        <rFont val="Noto Sans CJK SC"/>
        <family val="2"/>
      </rPr>
      <t xml:space="preserve">❓這頁在回答：現在被叫去投標，我們的文件備齊了嗎、哪些快過期？　★ 公證</t>
    </r>
    <r>
      <rPr>
        <sz val="10"/>
        <color rgb="FF6B7280"/>
        <rFont val="Microsoft JhengHei"/>
        <family val="0"/>
        <charset val="1"/>
      </rPr>
      <t xml:space="preserve">/</t>
    </r>
    <r>
      <rPr>
        <sz val="10"/>
        <color rgb="FF6B7280"/>
        <rFont val="Noto Sans CJK SC"/>
        <family val="2"/>
      </rPr>
      <t xml:space="preserve">認證文件常被要求「</t>
    </r>
    <r>
      <rPr>
        <sz val="10"/>
        <color rgb="FF6B7280"/>
        <rFont val="Microsoft JhengHei"/>
        <family val="0"/>
        <charset val="1"/>
      </rPr>
      <t xml:space="preserve">90 </t>
    </r>
    <r>
      <rPr>
        <sz val="10"/>
        <color rgb="FF6B7280"/>
        <rFont val="Noto Sans CJK SC"/>
        <family val="2"/>
      </rPr>
      <t xml:space="preserve">天內」版本——「剩餘效期」變紅就要重辦。前置時間以週計。</t>
    </r>
  </si>
  <si>
    <t xml:space="preserve">類別</t>
  </si>
  <si>
    <t xml:space="preserve">文件</t>
  </si>
  <si>
    <t xml:space="preserve">為什麼會被要求</t>
  </si>
  <si>
    <t xml:space="preserve">語言要求</t>
  </si>
  <si>
    <r>
      <rPr>
        <b val="true"/>
        <sz val="10"/>
        <color rgb="FFFFFFFF"/>
        <rFont val="Noto Sans CJK SC"/>
        <family val="2"/>
      </rPr>
      <t xml:space="preserve">公證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認證</t>
    </r>
  </si>
  <si>
    <t xml:space="preserve">效期慣例</t>
  </si>
  <si>
    <t xml:space="preserve">準備狀態</t>
  </si>
  <si>
    <r>
      <rPr>
        <b val="true"/>
        <sz val="10"/>
        <color rgb="FFFFFFFF"/>
        <rFont val="Noto Sans CJK SC"/>
        <family val="2"/>
      </rPr>
      <t xml:space="preserve">取得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公證日</t>
    </r>
  </si>
  <si>
    <t xml:space="preserve">到期日</t>
  </si>
  <si>
    <t xml:space="preserve">存放位置</t>
  </si>
  <si>
    <t xml:space="preserve">前置時間</t>
  </si>
  <si>
    <t xml:space="preserve">法人文件</t>
  </si>
  <si>
    <r>
      <rPr>
        <sz val="9"/>
        <rFont val="Noto Sans CJK SC"/>
        <family val="2"/>
      </rPr>
      <t xml:space="preserve">企業登記證</t>
    </r>
    <r>
      <rPr>
        <sz val="9"/>
        <rFont val="Microsoft JhengHei"/>
        <family val="0"/>
        <charset val="1"/>
      </rPr>
      <t xml:space="preserve">(ERC/IRC)</t>
    </r>
  </si>
  <si>
    <t xml:space="preserve">證明投標主體合法存在</t>
  </si>
  <si>
    <t xml:space="preserve">越文宣誓翻譯</t>
  </si>
  <si>
    <t xml:space="preserve">公證＋領事認證</t>
  </si>
  <si>
    <r>
      <rPr>
        <sz val="9"/>
        <rFont val="Microsoft JhengHei"/>
        <family val="0"/>
        <charset val="1"/>
      </rPr>
      <t xml:space="preserve">90</t>
    </r>
    <r>
      <rPr>
        <sz val="9"/>
        <rFont val="Noto Sans CJK SC"/>
        <family val="2"/>
      </rPr>
      <t xml:space="preserve">天內</t>
    </r>
  </si>
  <si>
    <t xml:space="preserve">未開始</t>
  </si>
  <si>
    <r>
      <rPr>
        <sz val="9"/>
        <rFont val="Microsoft JhengHei"/>
        <family val="0"/>
        <charset val="1"/>
      </rPr>
      <t xml:space="preserve">2-4</t>
    </r>
    <r>
      <rPr>
        <sz val="9"/>
        <rFont val="Noto Sans CJK SC"/>
        <family val="2"/>
      </rPr>
      <t xml:space="preserve">週</t>
    </r>
  </si>
  <si>
    <t xml:space="preserve">公司章程</t>
  </si>
  <si>
    <t xml:space="preserve">部分標案要求</t>
  </si>
  <si>
    <t xml:space="preserve">公證</t>
  </si>
  <si>
    <r>
      <rPr>
        <sz val="9"/>
        <rFont val="Noto Sans CJK SC"/>
        <family val="2"/>
      </rPr>
      <t xml:space="preserve">法定代表人證明＋授權書</t>
    </r>
    <r>
      <rPr>
        <sz val="9"/>
        <rFont val="Microsoft JhengHei"/>
        <family val="0"/>
        <charset val="1"/>
      </rPr>
      <t xml:space="preserve">(POA)</t>
    </r>
  </si>
  <si>
    <t xml:space="preserve">簽署投標文件的授權鏈</t>
  </si>
  <si>
    <r>
      <rPr>
        <sz val="9"/>
        <rFont val="Microsoft JhengHei"/>
        <family val="0"/>
        <charset val="1"/>
      </rPr>
      <t xml:space="preserve">2-3</t>
    </r>
    <r>
      <rPr>
        <sz val="9"/>
        <rFont val="Noto Sans CJK SC"/>
        <family val="2"/>
      </rPr>
      <t xml:space="preserve">週</t>
    </r>
  </si>
  <si>
    <t xml:space="preserve">每標案常要重出</t>
  </si>
  <si>
    <t xml:space="preserve">財務</t>
  </si>
  <si>
    <r>
      <rPr>
        <sz val="9"/>
        <rFont val="Noto Sans CJK SC"/>
        <family val="2"/>
      </rPr>
      <t xml:space="preserve">近 </t>
    </r>
    <r>
      <rPr>
        <sz val="9"/>
        <rFont val="Microsoft JhengHei"/>
        <family val="0"/>
        <charset val="1"/>
      </rPr>
      <t xml:space="preserve">3 </t>
    </r>
    <r>
      <rPr>
        <sz val="9"/>
        <rFont val="Noto Sans CJK SC"/>
        <family val="2"/>
      </rPr>
      <t xml:space="preserve">年審計財報</t>
    </r>
  </si>
  <si>
    <r>
      <rPr>
        <sz val="9"/>
        <rFont val="Noto Sans CJK SC"/>
        <family val="2"/>
      </rPr>
      <t xml:space="preserve">財務能力門檻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常要求營收下限</t>
    </r>
    <r>
      <rPr>
        <sz val="9"/>
        <rFont val="Microsoft JhengHei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</si>
  <si>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越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英</t>
    </r>
  </si>
  <si>
    <t xml:space="preserve">會計師簽證</t>
  </si>
  <si>
    <t xml:space="preserve">年度</t>
  </si>
  <si>
    <r>
      <rPr>
        <sz val="9"/>
        <rFont val="Microsoft JhengHei"/>
        <family val="0"/>
        <charset val="1"/>
      </rPr>
      <t xml:space="preserve">3-6</t>
    </r>
    <r>
      <rPr>
        <sz val="9"/>
        <rFont val="Noto Sans CJK SC"/>
        <family val="2"/>
      </rPr>
      <t xml:space="preserve">週</t>
    </r>
  </si>
  <si>
    <t xml:space="preserve">完稅證明</t>
  </si>
  <si>
    <t xml:space="preserve">無欠稅聲明</t>
  </si>
  <si>
    <t xml:space="preserve">稅局開立</t>
  </si>
  <si>
    <r>
      <rPr>
        <sz val="9"/>
        <rFont val="Microsoft JhengHei"/>
        <family val="0"/>
        <charset val="1"/>
      </rPr>
      <t xml:space="preserve">2</t>
    </r>
    <r>
      <rPr>
        <sz val="9"/>
        <rFont val="Noto Sans CJK SC"/>
        <family val="2"/>
      </rPr>
      <t xml:space="preserve">週</t>
    </r>
  </si>
  <si>
    <t xml:space="preserve">銀行資信證明</t>
  </si>
  <si>
    <r>
      <rPr>
        <sz val="9"/>
        <rFont val="Noto Sans CJK SC"/>
        <family val="2"/>
      </rPr>
      <t xml:space="preserve">融資能力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開保函額度</t>
    </r>
  </si>
  <si>
    <t xml:space="preserve">銀行開立</t>
  </si>
  <si>
    <r>
      <rPr>
        <sz val="9"/>
        <rFont val="Microsoft JhengHei"/>
        <family val="0"/>
        <charset val="1"/>
      </rPr>
      <t xml:space="preserve">30-90</t>
    </r>
    <r>
      <rPr>
        <sz val="9"/>
        <rFont val="Noto Sans CJK SC"/>
        <family val="2"/>
      </rPr>
      <t xml:space="preserve">天</t>
    </r>
  </si>
  <si>
    <r>
      <rPr>
        <sz val="9"/>
        <rFont val="Microsoft JhengHei"/>
        <family val="0"/>
        <charset val="1"/>
      </rPr>
      <t xml:space="preserve">1-2</t>
    </r>
    <r>
      <rPr>
        <sz val="9"/>
        <rFont val="Noto Sans CJK SC"/>
        <family val="2"/>
      </rPr>
      <t xml:space="preserve">週</t>
    </r>
  </si>
  <si>
    <t xml:space="preserve">投標前才辦</t>
  </si>
  <si>
    <t xml:space="preserve">品質認證</t>
  </si>
  <si>
    <t xml:space="preserve">ISO 9001</t>
  </si>
  <si>
    <t xml:space="preserve">基本門檻，幾乎必要求</t>
  </si>
  <si>
    <t xml:space="preserve">英文即可</t>
  </si>
  <si>
    <t xml:space="preserve">效期內正本掃描</t>
  </si>
  <si>
    <t xml:space="preserve">證書效期</t>
  </si>
  <si>
    <r>
      <rPr>
        <sz val="9"/>
        <rFont val="Noto Sans CJK SC"/>
        <family val="2"/>
      </rPr>
      <t xml:space="preserve">已持有</t>
    </r>
    <r>
      <rPr>
        <sz val="9"/>
        <rFont val="Microsoft JhengHei"/>
        <family val="0"/>
        <charset val="1"/>
      </rPr>
      <t xml:space="preserve">?</t>
    </r>
  </si>
  <si>
    <t xml:space="preserve">確認涵蓋範圍</t>
  </si>
  <si>
    <t xml:space="preserve">ISO 27001</t>
  </si>
  <si>
    <t xml:space="preserve">資訊類標案常見</t>
  </si>
  <si>
    <t xml:space="preserve">同上</t>
  </si>
  <si>
    <r>
      <rPr>
        <sz val="9"/>
        <rFont val="Noto Sans CJK SC"/>
        <family val="2"/>
      </rPr>
      <t xml:space="preserve">原廠授權書</t>
    </r>
    <r>
      <rPr>
        <sz val="9"/>
        <rFont val="Microsoft JhengHei"/>
        <family val="0"/>
        <charset val="1"/>
      </rPr>
      <t xml:space="preserve">(MAF)</t>
    </r>
  </si>
  <si>
    <t xml:space="preserve">代理設備投標必備</t>
  </si>
  <si>
    <t xml:space="preserve">原廠簽發</t>
  </si>
  <si>
    <t xml:space="preserve">單案</t>
  </si>
  <si>
    <t xml:space="preserve">一標一份</t>
  </si>
  <si>
    <t xml:space="preserve">實績</t>
  </si>
  <si>
    <r>
      <rPr>
        <sz val="9"/>
        <rFont val="Noto Sans CJK SC"/>
        <family val="2"/>
      </rPr>
      <t xml:space="preserve">同類實績合約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驗收證明 </t>
    </r>
    <r>
      <rPr>
        <sz val="9"/>
        <rFont val="Microsoft JhengHei"/>
        <family val="0"/>
        <charset val="1"/>
      </rPr>
      <t xml:space="preserve">3-5 </t>
    </r>
    <r>
      <rPr>
        <sz val="9"/>
        <rFont val="Noto Sans CJK SC"/>
        <family val="2"/>
      </rPr>
      <t xml:space="preserve">案</t>
    </r>
  </si>
  <si>
    <r>
      <rPr>
        <sz val="9"/>
        <rFont val="Noto Sans CJK SC"/>
        <family val="2"/>
      </rPr>
      <t xml:space="preserve">實績門檻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常要求金額</t>
    </r>
    <r>
      <rPr>
        <sz val="9"/>
        <rFont val="Microsoft JhengHei"/>
        <family val="0"/>
        <charset val="1"/>
      </rPr>
      <t xml:space="preserve">×</t>
    </r>
    <r>
      <rPr>
        <sz val="9"/>
        <rFont val="Noto Sans CJK SC"/>
        <family val="2"/>
      </rPr>
      <t xml:space="preserve">年限</t>
    </r>
    <r>
      <rPr>
        <sz val="9"/>
        <rFont val="Microsoft JhengHei"/>
        <family val="0"/>
        <charset val="1"/>
      </rPr>
      <t xml:space="preserve">)</t>
    </r>
  </si>
  <si>
    <t xml:space="preserve">業主用印</t>
  </si>
  <si>
    <t xml:space="preserve">—</t>
  </si>
  <si>
    <r>
      <rPr>
        <sz val="9"/>
        <rFont val="Microsoft JhengHei"/>
        <family val="0"/>
        <charset val="1"/>
      </rPr>
      <t xml:space="preserve">4-8</t>
    </r>
    <r>
      <rPr>
        <sz val="9"/>
        <rFont val="Noto Sans CJK SC"/>
        <family val="2"/>
      </rPr>
      <t xml:space="preserve">週</t>
    </r>
  </si>
  <si>
    <t xml:space="preserve">最花時間，先做</t>
  </si>
  <si>
    <t xml:space="preserve">業主推薦函</t>
  </si>
  <si>
    <r>
      <rPr>
        <sz val="9"/>
        <rFont val="Noto Sans CJK SC"/>
        <family val="2"/>
      </rPr>
      <t xml:space="preserve">加分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部分必要</t>
    </r>
  </si>
  <si>
    <t xml:space="preserve">業主簽署</t>
  </si>
  <si>
    <r>
      <rPr>
        <sz val="9"/>
        <rFont val="Microsoft JhengHei"/>
        <family val="0"/>
        <charset val="1"/>
      </rPr>
      <t xml:space="preserve">4</t>
    </r>
    <r>
      <rPr>
        <sz val="9"/>
        <rFont val="Noto Sans CJK SC"/>
        <family val="2"/>
      </rPr>
      <t xml:space="preserve">週</t>
    </r>
  </si>
  <si>
    <t xml:space="preserve">人員</t>
  </si>
  <si>
    <r>
      <rPr>
        <sz val="9"/>
        <rFont val="Noto Sans CJK SC"/>
        <family val="2"/>
      </rPr>
      <t xml:space="preserve">關鍵人員名冊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證照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學歷</t>
    </r>
  </si>
  <si>
    <t xml:space="preserve">人員資格門檻</t>
  </si>
  <si>
    <t xml:space="preserve">學歷需認證</t>
  </si>
  <si>
    <r>
      <rPr>
        <sz val="9"/>
        <rFont val="Microsoft JhengHei"/>
        <family val="0"/>
        <charset val="1"/>
      </rPr>
      <t xml:space="preserve">4-6</t>
    </r>
    <r>
      <rPr>
        <sz val="9"/>
        <rFont val="Noto Sans CJK SC"/>
        <family val="2"/>
      </rPr>
      <t xml:space="preserve">週</t>
    </r>
  </si>
  <si>
    <t xml:space="preserve">認證跑教育部流程</t>
  </si>
  <si>
    <t xml:space="preserve">聯盟</t>
  </si>
  <si>
    <r>
      <rPr>
        <sz val="9"/>
        <rFont val="Noto Sans CJK SC"/>
        <family val="2"/>
      </rPr>
      <t xml:space="preserve">聯盟協議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投標用</t>
    </r>
    <r>
      <rPr>
        <sz val="9"/>
        <rFont val="Microsoft JhengHei"/>
        <family val="0"/>
        <charset val="1"/>
      </rPr>
      <t xml:space="preserve">)</t>
    </r>
  </si>
  <si>
    <t xml:space="preserve">聯合投標的法律基礎</t>
  </si>
  <si>
    <t xml:space="preserve">用⑫模板加速</t>
  </si>
  <si>
    <t xml:space="preserve">夥伴各自的上述文件</t>
  </si>
  <si>
    <r>
      <rPr>
        <sz val="9"/>
        <rFont val="Noto Sans CJK SC"/>
        <family val="2"/>
      </rPr>
      <t xml:space="preserve">聯合投標</t>
    </r>
    <r>
      <rPr>
        <sz val="9"/>
        <rFont val="Microsoft JhengHei"/>
        <family val="0"/>
        <charset val="1"/>
      </rPr>
      <t xml:space="preserve">=</t>
    </r>
    <r>
      <rPr>
        <sz val="9"/>
        <rFont val="Noto Sans CJK SC"/>
        <family val="2"/>
      </rPr>
      <t xml:space="preserve">每家都要</t>
    </r>
  </si>
  <si>
    <t xml:space="preserve">由夥伴</t>
  </si>
  <si>
    <t xml:space="preserve">入盟時就要求</t>
  </si>
  <si>
    <t xml:space="preserve">在地</t>
  </si>
  <si>
    <r>
      <rPr>
        <sz val="9"/>
        <rFont val="Noto Sans CJK SC"/>
        <family val="2"/>
      </rPr>
      <t xml:space="preserve">越南稅碼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代表處登記</t>
    </r>
  </si>
  <si>
    <t xml:space="preserve">若以在地主體投標</t>
  </si>
  <si>
    <t xml:space="preserve">越文</t>
  </si>
  <si>
    <r>
      <rPr>
        <sz val="9"/>
        <rFont val="Microsoft JhengHei"/>
        <family val="0"/>
        <charset val="1"/>
      </rPr>
      <t xml:space="preserve">8-12</t>
    </r>
    <r>
      <rPr>
        <sz val="9"/>
        <rFont val="Noto Sans CJK SC"/>
        <family val="2"/>
      </rPr>
      <t xml:space="preserve">週</t>
    </r>
  </si>
  <si>
    <t xml:space="preserve">策略決定後啟動</t>
  </si>
  <si>
    <t xml:space="preserve">投標決定</t>
  </si>
  <si>
    <t xml:space="preserve">案件狀態</t>
  </si>
  <si>
    <t xml:space="preserve">文件狀態</t>
  </si>
  <si>
    <r>
      <rPr>
        <sz val="10"/>
        <rFont val="Microsoft JhengHei"/>
        <family val="0"/>
        <charset val="1"/>
      </rPr>
      <t xml:space="preserve">L1 </t>
    </r>
    <r>
      <rPr>
        <sz val="10"/>
        <rFont val="Noto Sans CJK SC"/>
        <family val="2"/>
      </rPr>
      <t xml:space="preserve">實體基礎</t>
    </r>
  </si>
  <si>
    <r>
      <rPr>
        <sz val="10"/>
        <rFont val="Microsoft JhengHei"/>
        <family val="0"/>
        <charset val="1"/>
      </rPr>
      <t xml:space="preserve">L2 </t>
    </r>
    <r>
      <rPr>
        <sz val="10"/>
        <rFont val="Noto Sans CJK SC"/>
        <family val="2"/>
      </rPr>
      <t xml:space="preserve">數位基礎</t>
    </r>
  </si>
  <si>
    <t xml:space="preserve">投</t>
  </si>
  <si>
    <t xml:space="preserve">已投標</t>
  </si>
  <si>
    <t xml:space="preserve">準備中</t>
  </si>
  <si>
    <r>
      <rPr>
        <sz val="10"/>
        <rFont val="Microsoft JhengHei"/>
        <family val="0"/>
        <charset val="1"/>
      </rPr>
      <t xml:space="preserve">L3 </t>
    </r>
    <r>
      <rPr>
        <sz val="10"/>
        <rFont val="Noto Sans CJK SC"/>
        <family val="2"/>
      </rPr>
      <t xml:space="preserve">臨床設備</t>
    </r>
  </si>
  <si>
    <t xml:space="preserve">不投</t>
  </si>
  <si>
    <t xml:space="preserve">得標</t>
  </si>
  <si>
    <t xml:space="preserve">已備齊</t>
  </si>
  <si>
    <r>
      <rPr>
        <sz val="10"/>
        <rFont val="Noto Sans CJK SC"/>
        <family val="2"/>
      </rPr>
      <t xml:space="preserve">越</t>
    </r>
    <r>
      <rPr>
        <sz val="10"/>
        <rFont val="Microsoft JhengHei"/>
        <family val="0"/>
        <charset val="1"/>
      </rPr>
      <t xml:space="preserve">+</t>
    </r>
    <r>
      <rPr>
        <sz val="10"/>
        <rFont val="Noto Sans CJK SC"/>
        <family val="2"/>
      </rPr>
      <t xml:space="preserve">英</t>
    </r>
  </si>
  <si>
    <r>
      <rPr>
        <sz val="10"/>
        <rFont val="Microsoft JhengHei"/>
        <family val="0"/>
        <charset val="1"/>
      </rPr>
      <t xml:space="preserve">L4 </t>
    </r>
    <r>
      <rPr>
        <sz val="10"/>
        <rFont val="Noto Sans CJK SC"/>
        <family val="2"/>
      </rPr>
      <t xml:space="preserve">資料平台</t>
    </r>
  </si>
  <si>
    <t xml:space="preserve">錯過</t>
  </si>
  <si>
    <t xml:space="preserve">未得標</t>
  </si>
  <si>
    <t xml:space="preserve">已過期</t>
  </si>
  <si>
    <r>
      <rPr>
        <sz val="10"/>
        <rFont val="Microsoft JhengHei"/>
        <family val="0"/>
        <charset val="1"/>
      </rPr>
      <t xml:space="preserve">L5 </t>
    </r>
    <r>
      <rPr>
        <sz val="10"/>
        <rFont val="Noto Sans CJK SC"/>
        <family val="2"/>
      </rPr>
      <t xml:space="preserve">智慧應用</t>
    </r>
  </si>
  <si>
    <t xml:space="preserve">流標</t>
  </si>
  <si>
    <r>
      <rPr>
        <sz val="10"/>
        <rFont val="Microsoft JhengHei"/>
        <family val="0"/>
        <charset val="1"/>
      </rPr>
      <t xml:space="preserve">L6 </t>
    </r>
    <r>
      <rPr>
        <sz val="10"/>
        <rFont val="Noto Sans CJK SC"/>
        <family val="2"/>
      </rPr>
      <t xml:space="preserve">照護營運</t>
    </r>
  </si>
  <si>
    <t xml:space="preserve">放棄</t>
  </si>
  <si>
    <r>
      <rPr>
        <sz val="10"/>
        <rFont val="Microsoft JhengHei"/>
        <family val="0"/>
        <charset val="1"/>
      </rPr>
      <t xml:space="preserve">L7 </t>
    </r>
    <r>
      <rPr>
        <sz val="10"/>
        <rFont val="Noto Sans CJK SC"/>
        <family val="2"/>
      </rPr>
      <t xml:space="preserve">商模金流</t>
    </r>
  </si>
  <si>
    <r>
      <rPr>
        <sz val="10"/>
        <rFont val="Microsoft JhengHei"/>
        <family val="0"/>
        <charset val="1"/>
      </rPr>
      <t xml:space="preserve">G </t>
    </r>
    <r>
      <rPr>
        <sz val="10"/>
        <rFont val="Noto Sans CJK SC"/>
        <family val="2"/>
      </rPr>
      <t xml:space="preserve">治理合規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</si>
</sst>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Microsoft JhengHei"/>
      <family val="0"/>
      <charset val="1"/>
    </font>
    <font>
      <b val="true"/>
      <sz val="15"/>
      <color rgb="FF1F3864"/>
      <name val="Noto Sans CJK SC"/>
      <family val="2"/>
    </font>
    <font>
      <sz val="10"/>
      <color rgb="FF6B7280"/>
      <name val="Microsoft JhengHei"/>
      <family val="0"/>
      <charset val="1"/>
    </font>
    <font>
      <sz val="10"/>
      <color rgb="FF6B7280"/>
      <name val="Noto Sans CJK SC"/>
      <family val="2"/>
    </font>
    <font>
      <b val="true"/>
      <sz val="10"/>
      <name val="Noto Sans CJK SC"/>
      <family val="2"/>
    </font>
    <font>
      <b val="true"/>
      <sz val="10"/>
      <name val="Microsoft JhengHei"/>
      <family val="0"/>
      <charset val="1"/>
    </font>
    <font>
      <sz val="10"/>
      <name val="Microsoft JhengHei"/>
      <family val="0"/>
      <charset val="1"/>
    </font>
    <font>
      <sz val="10"/>
      <name val="Noto Sans CJK SC"/>
      <family val="2"/>
    </font>
    <font>
      <sz val="9"/>
      <name val="Noto Sans CJK SC"/>
      <family val="2"/>
    </font>
    <font>
      <sz val="9"/>
      <color rgb="FF55607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icrosoft JhengHei"/>
      <family val="0"/>
      <charset val="1"/>
    </font>
    <font>
      <sz val="9"/>
      <name val="Microsoft JhengHei"/>
      <family val="0"/>
      <charset val="1"/>
    </font>
    <font>
      <b val="true"/>
      <sz val="10"/>
      <color rgb="FF1F3864"/>
      <name val="Microsoft JhengHei"/>
      <family val="0"/>
      <charset val="1"/>
    </font>
    <font>
      <sz val="10"/>
      <color rgb="FF26456E"/>
      <name val="Consolas"/>
      <family val="0"/>
      <charset val="1"/>
    </font>
    <font>
      <sz val="10"/>
      <color rgb="FF26456E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9E3"/>
        <bgColor rgb="FFFCF1DC"/>
      </patternFill>
    </fill>
    <fill>
      <patternFill patternType="solid">
        <fgColor rgb="FFF1F4F9"/>
        <bgColor rgb="FFEFF6F1"/>
      </patternFill>
    </fill>
    <fill>
      <patternFill patternType="solid">
        <fgColor rgb="FF1F3864"/>
        <bgColor rgb="FF26456E"/>
      </patternFill>
    </fill>
    <fill>
      <patternFill patternType="solid">
        <fgColor rgb="FFEFF6F1"/>
        <bgColor rgb="FFF1F4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FF6F1"/>
          <bgColor rgb="FF000000"/>
        </patternFill>
      </fill>
    </dxf>
    <dxf>
      <fill>
        <patternFill patternType="solid">
          <fgColor rgb="FFFFF9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1F4F9"/>
          <bgColor rgb="FF000000"/>
        </patternFill>
      </fill>
    </dxf>
    <dxf>
      <fill>
        <patternFill patternType="solid">
          <fgColor rgb="FFFCF1DC"/>
          <bgColor rgb="FF000000"/>
        </patternFill>
      </fill>
    </dxf>
    <dxf>
      <fill>
        <patternFill patternType="solid">
          <fgColor rgb="FFB77A10"/>
          <bgColor rgb="FF000000"/>
        </patternFill>
      </fill>
    </dxf>
    <dxf>
      <font>
        <name val="Microsoft JhengHei"/>
        <charset val="1"/>
        <family val="0"/>
        <b val="1"/>
        <color rgb="FFC0392B"/>
        <sz val="10"/>
      </font>
      <fill>
        <patternFill>
          <bgColor rgb="FFF7E3DF"/>
        </patternFill>
      </fill>
    </dxf>
    <dxf>
      <font>
        <name val="Microsoft JhengHei"/>
        <charset val="1"/>
        <family val="0"/>
        <b val="1"/>
        <color rgb="FFB77A10"/>
        <sz val="10"/>
      </font>
      <fill>
        <patternFill>
          <bgColor rgb="FFFCF1DC"/>
        </patternFill>
      </fill>
    </dxf>
    <dxf>
      <font>
        <name val="Microsoft JhengHei"/>
        <charset val="1"/>
        <family val="0"/>
        <b val="1"/>
        <color rgb="FF2F6B3D"/>
        <sz val="9"/>
      </font>
      <fill>
        <patternFill>
          <bgColor rgb="FFDDEDE1"/>
        </patternFill>
      </fill>
    </dxf>
    <dxf>
      <font>
        <name val="Microsoft JhengHei"/>
        <charset val="1"/>
        <family val="0"/>
        <b val="1"/>
        <color rgb="FFC0392B"/>
        <sz val="9"/>
      </font>
      <fill>
        <patternFill>
          <bgColor rgb="FFF7E3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6B3D"/>
      <rgbColor rgb="FF000080"/>
      <rgbColor rgb="FF548235"/>
      <rgbColor rgb="FF800080"/>
      <rgbColor rgb="FF0E6E6B"/>
      <rgbColor rgb="FFC0C0C0"/>
      <rgbColor rgb="FF808080"/>
      <rgbColor rgb="FF9999FF"/>
      <rgbColor rgb="FF993366"/>
      <rgbColor rgb="FFFFF9E3"/>
      <rgbColor rgb="FFEFF6F1"/>
      <rgbColor rgb="FF660066"/>
      <rgbColor rgb="FFFF8080"/>
      <rgbColor rgb="FF2F5597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4F9"/>
      <rgbColor rgb="FFDDEDE1"/>
      <rgbColor rgb="FFFCF1DC"/>
      <rgbColor rgb="FF99CCFF"/>
      <rgbColor rgb="FFFF99CC"/>
      <rgbColor rgb="FFCC99FF"/>
      <rgbColor rgb="FFF7E3DF"/>
      <rgbColor rgb="FF3366FF"/>
      <rgbColor rgb="FF33CCCC"/>
      <rgbColor rgb="FF99CC00"/>
      <rgbColor rgb="FFFFCC00"/>
      <rgbColor rgb="FFFF9900"/>
      <rgbColor rgb="FFB77A10"/>
      <rgbColor rgb="FF6B7280"/>
      <rgbColor rgb="FF969696"/>
      <rgbColor rgb="FF1F3864"/>
      <rgbColor rgb="FF339966"/>
      <rgbColor rgb="FF003300"/>
      <rgbColor rgb="FF333300"/>
      <rgbColor rgb="FFC0392B"/>
      <rgbColor rgb="FF993366"/>
      <rgbColor rgb="FF26456E"/>
      <rgbColor rgb="FF55607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1.5" hidden="false" customHeight="true" outlineLevel="0" collapsed="false">
      <c r="B5" s="4" t="s">
        <v>3</v>
      </c>
    </row>
    <row r="7" customFormat="false" ht="15" hidden="false" customHeight="false" outlineLevel="0" collapsed="false">
      <c r="B7" s="3" t="s">
        <v>4</v>
      </c>
    </row>
    <row r="8" customFormat="false" ht="31.5" hidden="false" customHeight="true" outlineLevel="0" collapsed="false">
      <c r="B8" s="5" t="s">
        <v>5</v>
      </c>
    </row>
    <row r="10" customFormat="false" ht="15" hidden="false" customHeight="false" outlineLevel="0" collapsed="false">
      <c r="B10" s="3" t="s">
        <v>6</v>
      </c>
    </row>
    <row r="11" customFormat="false" ht="31.5" hidden="false" customHeight="true" outlineLevel="0" collapsed="false">
      <c r="B11" s="5" t="s">
        <v>7</v>
      </c>
    </row>
    <row r="13" customFormat="false" ht="15" hidden="false" customHeight="false" outlineLevel="0" collapsed="false">
      <c r="B13" s="3" t="s">
        <v>8</v>
      </c>
    </row>
    <row r="14" customFormat="false" ht="31.5" hidden="false" customHeight="true" outlineLevel="0" collapsed="false">
      <c r="B14" s="5" t="s">
        <v>9</v>
      </c>
    </row>
    <row r="16" customFormat="false" ht="15" hidden="false" customHeight="false" outlineLevel="0" collapsed="false">
      <c r="B16" s="3" t="s">
        <v>10</v>
      </c>
    </row>
    <row r="17" customFormat="false" ht="31.5" hidden="false" customHeight="true" outlineLevel="0" collapsed="false">
      <c r="B17" s="5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22"/>
  </cols>
  <sheetData>
    <row r="1" customFormat="false" ht="23.1" hidden="false" customHeight="false" outlineLevel="0" collapsed="false">
      <c r="A1" s="6" t="s">
        <v>12</v>
      </c>
    </row>
    <row r="2" customFormat="false" ht="15" hidden="false" customHeight="false" outlineLevel="0" collapsed="false">
      <c r="A2" s="7" t="s">
        <v>13</v>
      </c>
    </row>
    <row r="3" customFormat="false" ht="15" hidden="false" customHeight="false" outlineLevel="0" collapsed="false">
      <c r="A3" s="3" t="s">
        <v>14</v>
      </c>
      <c r="B3" s="8" t="s">
        <v>15</v>
      </c>
      <c r="C3" s="9" t="s">
        <v>16</v>
      </c>
      <c r="D3" s="10" t="s">
        <v>17</v>
      </c>
    </row>
    <row r="4" customFormat="false" ht="30" hidden="false" customHeight="true" outlineLevel="0" collapsed="false">
      <c r="A4" s="11" t="s">
        <v>18</v>
      </c>
      <c r="B4" s="11" t="s">
        <v>19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1" t="s">
        <v>25</v>
      </c>
      <c r="I4" s="11" t="s">
        <v>26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</row>
    <row r="5" customFormat="false" ht="33.75" hidden="false" customHeight="true" outlineLevel="0" collapsed="false">
      <c r="A5" s="12" t="s">
        <v>36</v>
      </c>
      <c r="B5" s="12" t="s">
        <v>37</v>
      </c>
      <c r="C5" s="13" t="s">
        <v>38</v>
      </c>
      <c r="D5" s="14" t="s">
        <v>39</v>
      </c>
      <c r="E5" s="14" t="s">
        <v>40</v>
      </c>
      <c r="F5" s="12" t="s">
        <v>41</v>
      </c>
      <c r="G5" s="12" t="n">
        <v>18500</v>
      </c>
      <c r="H5" s="12" t="s">
        <v>42</v>
      </c>
      <c r="I5" s="12" t="s">
        <v>43</v>
      </c>
      <c r="J5" s="15" t="n">
        <f aca="true">IF(I5="","",I5-TODAY())</f>
        <v>20</v>
      </c>
      <c r="K5" s="16" t="s">
        <v>44</v>
      </c>
      <c r="L5" s="13" t="s">
        <v>45</v>
      </c>
      <c r="M5" s="16" t="s">
        <v>46</v>
      </c>
      <c r="N5" s="12" t="s">
        <v>47</v>
      </c>
      <c r="O5" s="13" t="s">
        <v>48</v>
      </c>
      <c r="P5" s="12" t="s">
        <v>49</v>
      </c>
      <c r="Q5" s="16" t="s">
        <v>50</v>
      </c>
      <c r="R5" s="14" t="s">
        <v>51</v>
      </c>
    </row>
    <row r="6" customFormat="false" ht="33.75" hidden="false" customHeight="true" outlineLevel="0" collapsed="false">
      <c r="A6" s="8"/>
      <c r="B6" s="8"/>
      <c r="C6" s="17"/>
      <c r="D6" s="17"/>
      <c r="E6" s="17"/>
      <c r="F6" s="18"/>
      <c r="G6" s="8"/>
      <c r="H6" s="8"/>
      <c r="I6" s="8"/>
      <c r="J6" s="19" t="str">
        <f aca="true">IF(I6="","",I6-TODAY())</f>
        <v/>
      </c>
      <c r="K6" s="8"/>
      <c r="L6" s="17"/>
      <c r="M6" s="18"/>
      <c r="N6" s="8"/>
      <c r="O6" s="17"/>
      <c r="P6" s="8"/>
      <c r="Q6" s="18"/>
      <c r="R6" s="17"/>
    </row>
    <row r="7" customFormat="false" ht="33.75" hidden="false" customHeight="true" outlineLevel="0" collapsed="false">
      <c r="A7" s="8"/>
      <c r="B7" s="8"/>
      <c r="C7" s="17"/>
      <c r="D7" s="17"/>
      <c r="E7" s="17"/>
      <c r="F7" s="18"/>
      <c r="G7" s="8"/>
      <c r="H7" s="8"/>
      <c r="I7" s="8"/>
      <c r="J7" s="19" t="str">
        <f aca="true">IF(I7="","",I7-TODAY())</f>
        <v/>
      </c>
      <c r="K7" s="8"/>
      <c r="L7" s="17"/>
      <c r="M7" s="18"/>
      <c r="N7" s="8"/>
      <c r="O7" s="17"/>
      <c r="P7" s="8"/>
      <c r="Q7" s="18"/>
      <c r="R7" s="17"/>
    </row>
    <row r="8" customFormat="false" ht="33.75" hidden="false" customHeight="true" outlineLevel="0" collapsed="false">
      <c r="A8" s="8"/>
      <c r="B8" s="8"/>
      <c r="C8" s="17"/>
      <c r="D8" s="17"/>
      <c r="E8" s="17"/>
      <c r="F8" s="18"/>
      <c r="G8" s="8"/>
      <c r="H8" s="8"/>
      <c r="I8" s="8"/>
      <c r="J8" s="19" t="str">
        <f aca="true">IF(I8="","",I8-TODAY())</f>
        <v/>
      </c>
      <c r="K8" s="8"/>
      <c r="L8" s="17"/>
      <c r="M8" s="18"/>
      <c r="N8" s="8"/>
      <c r="O8" s="17"/>
      <c r="P8" s="8"/>
      <c r="Q8" s="18"/>
      <c r="R8" s="17"/>
    </row>
    <row r="9" customFormat="false" ht="33.75" hidden="false" customHeight="true" outlineLevel="0" collapsed="false">
      <c r="A9" s="8"/>
      <c r="B9" s="8"/>
      <c r="C9" s="17"/>
      <c r="D9" s="17"/>
      <c r="E9" s="17"/>
      <c r="F9" s="18"/>
      <c r="G9" s="8"/>
      <c r="H9" s="8"/>
      <c r="I9" s="8"/>
      <c r="J9" s="19" t="str">
        <f aca="true">IF(I9="","",I9-TODAY())</f>
        <v/>
      </c>
      <c r="K9" s="8"/>
      <c r="L9" s="17"/>
      <c r="M9" s="18"/>
      <c r="N9" s="8"/>
      <c r="O9" s="17"/>
      <c r="P9" s="8"/>
      <c r="Q9" s="18"/>
      <c r="R9" s="17"/>
    </row>
    <row r="10" customFormat="false" ht="33.75" hidden="false" customHeight="true" outlineLevel="0" collapsed="false">
      <c r="A10" s="8"/>
      <c r="B10" s="8"/>
      <c r="C10" s="17"/>
      <c r="D10" s="17"/>
      <c r="E10" s="17"/>
      <c r="F10" s="18"/>
      <c r="G10" s="8"/>
      <c r="H10" s="8"/>
      <c r="I10" s="8"/>
      <c r="J10" s="19" t="str">
        <f aca="true">IF(I10="","",I10-TODAY())</f>
        <v/>
      </c>
      <c r="K10" s="8"/>
      <c r="L10" s="17"/>
      <c r="M10" s="18"/>
      <c r="N10" s="8"/>
      <c r="O10" s="17"/>
      <c r="P10" s="8"/>
      <c r="Q10" s="18"/>
      <c r="R10" s="17"/>
    </row>
    <row r="11" customFormat="false" ht="33.75" hidden="false" customHeight="true" outlineLevel="0" collapsed="false">
      <c r="A11" s="8"/>
      <c r="B11" s="8"/>
      <c r="C11" s="17"/>
      <c r="D11" s="17"/>
      <c r="E11" s="17"/>
      <c r="F11" s="18"/>
      <c r="G11" s="8"/>
      <c r="H11" s="8"/>
      <c r="I11" s="8"/>
      <c r="J11" s="19" t="str">
        <f aca="true">IF(I11="","",I11-TODAY())</f>
        <v/>
      </c>
      <c r="K11" s="8"/>
      <c r="L11" s="17"/>
      <c r="M11" s="18"/>
      <c r="N11" s="8"/>
      <c r="O11" s="17"/>
      <c r="P11" s="8"/>
      <c r="Q11" s="18"/>
      <c r="R11" s="17"/>
    </row>
    <row r="12" customFormat="false" ht="33.75" hidden="false" customHeight="true" outlineLevel="0" collapsed="false">
      <c r="A12" s="8"/>
      <c r="B12" s="8"/>
      <c r="C12" s="17"/>
      <c r="D12" s="17"/>
      <c r="E12" s="17"/>
      <c r="F12" s="18"/>
      <c r="G12" s="8"/>
      <c r="H12" s="8"/>
      <c r="I12" s="8"/>
      <c r="J12" s="19" t="str">
        <f aca="true">IF(I12="","",I12-TODAY())</f>
        <v/>
      </c>
      <c r="K12" s="8"/>
      <c r="L12" s="17"/>
      <c r="M12" s="18"/>
      <c r="N12" s="8"/>
      <c r="O12" s="17"/>
      <c r="P12" s="8"/>
      <c r="Q12" s="18"/>
      <c r="R12" s="17"/>
    </row>
    <row r="13" customFormat="false" ht="33.75" hidden="false" customHeight="true" outlineLevel="0" collapsed="false">
      <c r="A13" s="8"/>
      <c r="B13" s="8"/>
      <c r="C13" s="17"/>
      <c r="D13" s="17"/>
      <c r="E13" s="17"/>
      <c r="F13" s="18"/>
      <c r="G13" s="8"/>
      <c r="H13" s="8"/>
      <c r="I13" s="8"/>
      <c r="J13" s="19" t="str">
        <f aca="true">IF(I13="","",I13-TODAY())</f>
        <v/>
      </c>
      <c r="K13" s="8"/>
      <c r="L13" s="17"/>
      <c r="M13" s="18"/>
      <c r="N13" s="8"/>
      <c r="O13" s="17"/>
      <c r="P13" s="8"/>
      <c r="Q13" s="18"/>
      <c r="R13" s="17"/>
    </row>
    <row r="14" customFormat="false" ht="33.75" hidden="false" customHeight="true" outlineLevel="0" collapsed="false">
      <c r="A14" s="8"/>
      <c r="B14" s="8"/>
      <c r="C14" s="17"/>
      <c r="D14" s="17"/>
      <c r="E14" s="17"/>
      <c r="F14" s="18"/>
      <c r="G14" s="8"/>
      <c r="H14" s="8"/>
      <c r="I14" s="8"/>
      <c r="J14" s="19" t="str">
        <f aca="true">IF(I14="","",I14-TODAY())</f>
        <v/>
      </c>
      <c r="K14" s="8"/>
      <c r="L14" s="17"/>
      <c r="M14" s="18"/>
      <c r="N14" s="8"/>
      <c r="O14" s="17"/>
      <c r="P14" s="8"/>
      <c r="Q14" s="18"/>
      <c r="R14" s="17"/>
    </row>
    <row r="15" customFormat="false" ht="33.75" hidden="false" customHeight="true" outlineLevel="0" collapsed="false">
      <c r="A15" s="8"/>
      <c r="B15" s="8"/>
      <c r="C15" s="17"/>
      <c r="D15" s="17"/>
      <c r="E15" s="17"/>
      <c r="F15" s="18"/>
      <c r="G15" s="8"/>
      <c r="H15" s="8"/>
      <c r="I15" s="8"/>
      <c r="J15" s="19" t="str">
        <f aca="true">IF(I15="","",I15-TODAY())</f>
        <v/>
      </c>
      <c r="K15" s="8"/>
      <c r="L15" s="17"/>
      <c r="M15" s="18"/>
      <c r="N15" s="8"/>
      <c r="O15" s="17"/>
      <c r="P15" s="8"/>
      <c r="Q15" s="18"/>
      <c r="R15" s="17"/>
    </row>
    <row r="16" customFormat="false" ht="33.75" hidden="false" customHeight="true" outlineLevel="0" collapsed="false">
      <c r="A16" s="8"/>
      <c r="B16" s="8"/>
      <c r="C16" s="17"/>
      <c r="D16" s="17"/>
      <c r="E16" s="17"/>
      <c r="F16" s="18"/>
      <c r="G16" s="8"/>
      <c r="H16" s="8"/>
      <c r="I16" s="8"/>
      <c r="J16" s="19" t="str">
        <f aca="true">IF(I16="","",I16-TODAY())</f>
        <v/>
      </c>
      <c r="K16" s="8"/>
      <c r="L16" s="17"/>
      <c r="M16" s="18"/>
      <c r="N16" s="8"/>
      <c r="O16" s="17"/>
      <c r="P16" s="8"/>
      <c r="Q16" s="18"/>
      <c r="R16" s="17"/>
    </row>
    <row r="17" customFormat="false" ht="33.75" hidden="false" customHeight="true" outlineLevel="0" collapsed="false">
      <c r="A17" s="8"/>
      <c r="B17" s="8"/>
      <c r="C17" s="17"/>
      <c r="D17" s="17"/>
      <c r="E17" s="17"/>
      <c r="F17" s="18"/>
      <c r="G17" s="8"/>
      <c r="H17" s="8"/>
      <c r="I17" s="8"/>
      <c r="J17" s="19" t="str">
        <f aca="true">IF(I17="","",I17-TODAY())</f>
        <v/>
      </c>
      <c r="K17" s="8"/>
      <c r="L17" s="17"/>
      <c r="M17" s="18"/>
      <c r="N17" s="8"/>
      <c r="O17" s="17"/>
      <c r="P17" s="8"/>
      <c r="Q17" s="18"/>
      <c r="R17" s="17"/>
    </row>
    <row r="18" customFormat="false" ht="33.75" hidden="false" customHeight="true" outlineLevel="0" collapsed="false">
      <c r="A18" s="8"/>
      <c r="B18" s="8"/>
      <c r="C18" s="17"/>
      <c r="D18" s="17"/>
      <c r="E18" s="17"/>
      <c r="F18" s="18"/>
      <c r="G18" s="8"/>
      <c r="H18" s="8"/>
      <c r="I18" s="8"/>
      <c r="J18" s="19" t="str">
        <f aca="true">IF(I18="","",I18-TODAY())</f>
        <v/>
      </c>
      <c r="K18" s="8"/>
      <c r="L18" s="17"/>
      <c r="M18" s="18"/>
      <c r="N18" s="8"/>
      <c r="O18" s="17"/>
      <c r="P18" s="8"/>
      <c r="Q18" s="18"/>
      <c r="R18" s="17"/>
    </row>
    <row r="19" customFormat="false" ht="33.75" hidden="false" customHeight="true" outlineLevel="0" collapsed="false">
      <c r="A19" s="8"/>
      <c r="B19" s="8"/>
      <c r="C19" s="17"/>
      <c r="D19" s="17"/>
      <c r="E19" s="17"/>
      <c r="F19" s="18"/>
      <c r="G19" s="8"/>
      <c r="H19" s="8"/>
      <c r="I19" s="8"/>
      <c r="J19" s="19" t="str">
        <f aca="true">IF(I19="","",I19-TODAY())</f>
        <v/>
      </c>
      <c r="K19" s="8"/>
      <c r="L19" s="17"/>
      <c r="M19" s="18"/>
      <c r="N19" s="8"/>
      <c r="O19" s="17"/>
      <c r="P19" s="8"/>
      <c r="Q19" s="18"/>
      <c r="R19" s="17"/>
    </row>
    <row r="20" customFormat="false" ht="33.75" hidden="false" customHeight="true" outlineLevel="0" collapsed="false">
      <c r="A20" s="8"/>
      <c r="B20" s="8"/>
      <c r="C20" s="17"/>
      <c r="D20" s="17"/>
      <c r="E20" s="17"/>
      <c r="F20" s="18"/>
      <c r="G20" s="8"/>
      <c r="H20" s="8"/>
      <c r="I20" s="8"/>
      <c r="J20" s="19" t="str">
        <f aca="true">IF(I20="","",I20-TODAY())</f>
        <v/>
      </c>
      <c r="K20" s="8"/>
      <c r="L20" s="17"/>
      <c r="M20" s="18"/>
      <c r="N20" s="8"/>
      <c r="O20" s="17"/>
      <c r="P20" s="8"/>
      <c r="Q20" s="18"/>
      <c r="R20" s="17"/>
    </row>
    <row r="21" customFormat="false" ht="33.75" hidden="false" customHeight="true" outlineLevel="0" collapsed="false">
      <c r="A21" s="8"/>
      <c r="B21" s="8"/>
      <c r="C21" s="17"/>
      <c r="D21" s="17"/>
      <c r="E21" s="17"/>
      <c r="F21" s="18"/>
      <c r="G21" s="8"/>
      <c r="H21" s="8"/>
      <c r="I21" s="8"/>
      <c r="J21" s="19" t="str">
        <f aca="true">IF(I21="","",I21-TODAY())</f>
        <v/>
      </c>
      <c r="K21" s="8"/>
      <c r="L21" s="17"/>
      <c r="M21" s="18"/>
      <c r="N21" s="8"/>
      <c r="O21" s="17"/>
      <c r="P21" s="8"/>
      <c r="Q21" s="18"/>
      <c r="R21" s="17"/>
    </row>
    <row r="22" customFormat="false" ht="33.75" hidden="false" customHeight="true" outlineLevel="0" collapsed="false">
      <c r="A22" s="8"/>
      <c r="B22" s="8"/>
      <c r="C22" s="17"/>
      <c r="D22" s="17"/>
      <c r="E22" s="17"/>
      <c r="F22" s="18"/>
      <c r="G22" s="8"/>
      <c r="H22" s="8"/>
      <c r="I22" s="8"/>
      <c r="J22" s="19" t="str">
        <f aca="true">IF(I22="","",I22-TODAY())</f>
        <v/>
      </c>
      <c r="K22" s="8"/>
      <c r="L22" s="17"/>
      <c r="M22" s="18"/>
      <c r="N22" s="8"/>
      <c r="O22" s="17"/>
      <c r="P22" s="8"/>
      <c r="Q22" s="18"/>
      <c r="R22" s="17"/>
    </row>
    <row r="23" customFormat="false" ht="33.75" hidden="false" customHeight="true" outlineLevel="0" collapsed="false">
      <c r="A23" s="8"/>
      <c r="B23" s="8"/>
      <c r="C23" s="17"/>
      <c r="D23" s="17"/>
      <c r="E23" s="17"/>
      <c r="F23" s="18"/>
      <c r="G23" s="8"/>
      <c r="H23" s="8"/>
      <c r="I23" s="8"/>
      <c r="J23" s="19" t="str">
        <f aca="true">IF(I23="","",I23-TODAY())</f>
        <v/>
      </c>
      <c r="K23" s="8"/>
      <c r="L23" s="17"/>
      <c r="M23" s="18"/>
      <c r="N23" s="8"/>
      <c r="O23" s="17"/>
      <c r="P23" s="8"/>
      <c r="Q23" s="18"/>
      <c r="R23" s="17"/>
    </row>
    <row r="24" customFormat="false" ht="33.75" hidden="false" customHeight="true" outlineLevel="0" collapsed="false">
      <c r="A24" s="8"/>
      <c r="B24" s="8"/>
      <c r="C24" s="17"/>
      <c r="D24" s="17"/>
      <c r="E24" s="17"/>
      <c r="F24" s="18"/>
      <c r="G24" s="8"/>
      <c r="H24" s="8"/>
      <c r="I24" s="8"/>
      <c r="J24" s="19" t="str">
        <f aca="true">IF(I24="","",I24-TODAY())</f>
        <v/>
      </c>
      <c r="K24" s="8"/>
      <c r="L24" s="17"/>
      <c r="M24" s="18"/>
      <c r="N24" s="8"/>
      <c r="O24" s="17"/>
      <c r="P24" s="8"/>
      <c r="Q24" s="18"/>
      <c r="R24" s="17"/>
    </row>
    <row r="25" customFormat="false" ht="33.75" hidden="false" customHeight="true" outlineLevel="0" collapsed="false">
      <c r="A25" s="8"/>
      <c r="B25" s="8"/>
      <c r="C25" s="17"/>
      <c r="D25" s="17"/>
      <c r="E25" s="17"/>
      <c r="F25" s="18"/>
      <c r="G25" s="8"/>
      <c r="H25" s="8"/>
      <c r="I25" s="8"/>
      <c r="J25" s="19" t="str">
        <f aca="true">IF(I25="","",I25-TODAY())</f>
        <v/>
      </c>
      <c r="K25" s="8"/>
      <c r="L25" s="17"/>
      <c r="M25" s="18"/>
      <c r="N25" s="8"/>
      <c r="O25" s="17"/>
      <c r="P25" s="8"/>
      <c r="Q25" s="18"/>
      <c r="R25" s="17"/>
    </row>
    <row r="26" customFormat="false" ht="33.75" hidden="false" customHeight="true" outlineLevel="0" collapsed="false">
      <c r="A26" s="8"/>
      <c r="B26" s="8"/>
      <c r="C26" s="17"/>
      <c r="D26" s="17"/>
      <c r="E26" s="17"/>
      <c r="F26" s="18"/>
      <c r="G26" s="8"/>
      <c r="H26" s="8"/>
      <c r="I26" s="8"/>
      <c r="J26" s="19" t="str">
        <f aca="true">IF(I26="","",I26-TODAY())</f>
        <v/>
      </c>
      <c r="K26" s="8"/>
      <c r="L26" s="17"/>
      <c r="M26" s="18"/>
      <c r="N26" s="8"/>
      <c r="O26" s="17"/>
      <c r="P26" s="8"/>
      <c r="Q26" s="18"/>
      <c r="R26" s="17"/>
    </row>
    <row r="27" customFormat="false" ht="33.75" hidden="false" customHeight="true" outlineLevel="0" collapsed="false">
      <c r="A27" s="8"/>
      <c r="B27" s="8"/>
      <c r="C27" s="17"/>
      <c r="D27" s="17"/>
      <c r="E27" s="17"/>
      <c r="F27" s="18"/>
      <c r="G27" s="8"/>
      <c r="H27" s="8"/>
      <c r="I27" s="8"/>
      <c r="J27" s="19" t="str">
        <f aca="true">IF(I27="","",I27-TODAY())</f>
        <v/>
      </c>
      <c r="K27" s="8"/>
      <c r="L27" s="17"/>
      <c r="M27" s="18"/>
      <c r="N27" s="8"/>
      <c r="O27" s="17"/>
      <c r="P27" s="8"/>
      <c r="Q27" s="18"/>
      <c r="R27" s="17"/>
    </row>
    <row r="28" customFormat="false" ht="33.75" hidden="false" customHeight="true" outlineLevel="0" collapsed="false">
      <c r="A28" s="8"/>
      <c r="B28" s="8"/>
      <c r="C28" s="17"/>
      <c r="D28" s="17"/>
      <c r="E28" s="17"/>
      <c r="F28" s="18"/>
      <c r="G28" s="8"/>
      <c r="H28" s="8"/>
      <c r="I28" s="8"/>
      <c r="J28" s="19" t="str">
        <f aca="true">IF(I28="","",I28-TODAY())</f>
        <v/>
      </c>
      <c r="K28" s="8"/>
      <c r="L28" s="17"/>
      <c r="M28" s="18"/>
      <c r="N28" s="8"/>
      <c r="O28" s="17"/>
      <c r="P28" s="8"/>
      <c r="Q28" s="18"/>
      <c r="R28" s="17"/>
    </row>
    <row r="29" customFormat="false" ht="33.75" hidden="false" customHeight="true" outlineLevel="0" collapsed="false">
      <c r="A29" s="8"/>
      <c r="B29" s="8"/>
      <c r="C29" s="17"/>
      <c r="D29" s="17"/>
      <c r="E29" s="17"/>
      <c r="F29" s="18"/>
      <c r="G29" s="8"/>
      <c r="H29" s="8"/>
      <c r="I29" s="8"/>
      <c r="J29" s="19" t="str">
        <f aca="true">IF(I29="","",I29-TODAY())</f>
        <v/>
      </c>
      <c r="K29" s="8"/>
      <c r="L29" s="17"/>
      <c r="M29" s="18"/>
      <c r="N29" s="8"/>
      <c r="O29" s="17"/>
      <c r="P29" s="8"/>
      <c r="Q29" s="18"/>
      <c r="R29" s="17"/>
    </row>
    <row r="30" customFormat="false" ht="33.75" hidden="false" customHeight="true" outlineLevel="0" collapsed="false">
      <c r="A30" s="8"/>
      <c r="B30" s="8"/>
      <c r="C30" s="17"/>
      <c r="D30" s="17"/>
      <c r="E30" s="17"/>
      <c r="F30" s="18"/>
      <c r="G30" s="8"/>
      <c r="H30" s="8"/>
      <c r="I30" s="8"/>
      <c r="J30" s="19" t="str">
        <f aca="true">IF(I30="","",I30-TODAY())</f>
        <v/>
      </c>
      <c r="K30" s="8"/>
      <c r="L30" s="17"/>
      <c r="M30" s="18"/>
      <c r="N30" s="8"/>
      <c r="O30" s="17"/>
      <c r="P30" s="8"/>
      <c r="Q30" s="18"/>
      <c r="R30" s="17"/>
    </row>
    <row r="31" customFormat="false" ht="33.75" hidden="false" customHeight="true" outlineLevel="0" collapsed="false">
      <c r="A31" s="8"/>
      <c r="B31" s="8"/>
      <c r="C31" s="17"/>
      <c r="D31" s="17"/>
      <c r="E31" s="17"/>
      <c r="F31" s="18"/>
      <c r="G31" s="8"/>
      <c r="H31" s="8"/>
      <c r="I31" s="8"/>
      <c r="J31" s="19" t="str">
        <f aca="true">IF(I31="","",I31-TODAY())</f>
        <v/>
      </c>
      <c r="K31" s="8"/>
      <c r="L31" s="17"/>
      <c r="M31" s="18"/>
      <c r="N31" s="8"/>
      <c r="O31" s="17"/>
      <c r="P31" s="8"/>
      <c r="Q31" s="18"/>
      <c r="R31" s="17"/>
    </row>
    <row r="32" customFormat="false" ht="33.75" hidden="false" customHeight="true" outlineLevel="0" collapsed="false">
      <c r="A32" s="8"/>
      <c r="B32" s="8"/>
      <c r="C32" s="17"/>
      <c r="D32" s="17"/>
      <c r="E32" s="17"/>
      <c r="F32" s="18"/>
      <c r="G32" s="8"/>
      <c r="H32" s="8"/>
      <c r="I32" s="8"/>
      <c r="J32" s="19" t="str">
        <f aca="true">IF(I32="","",I32-TODAY())</f>
        <v/>
      </c>
      <c r="K32" s="8"/>
      <c r="L32" s="17"/>
      <c r="M32" s="18"/>
      <c r="N32" s="8"/>
      <c r="O32" s="17"/>
      <c r="P32" s="8"/>
      <c r="Q32" s="18"/>
      <c r="R32" s="17"/>
    </row>
    <row r="33" customFormat="false" ht="33.75" hidden="false" customHeight="true" outlineLevel="0" collapsed="false">
      <c r="A33" s="8"/>
      <c r="B33" s="8"/>
      <c r="C33" s="17"/>
      <c r="D33" s="17"/>
      <c r="E33" s="17"/>
      <c r="F33" s="18"/>
      <c r="G33" s="8"/>
      <c r="H33" s="8"/>
      <c r="I33" s="8"/>
      <c r="J33" s="19" t="str">
        <f aca="true">IF(I33="","",I33-TODAY())</f>
        <v/>
      </c>
      <c r="K33" s="8"/>
      <c r="L33" s="17"/>
      <c r="M33" s="18"/>
      <c r="N33" s="8"/>
      <c r="O33" s="17"/>
      <c r="P33" s="8"/>
      <c r="Q33" s="18"/>
      <c r="R33" s="17"/>
    </row>
    <row r="34" customFormat="false" ht="33.75" hidden="false" customHeight="true" outlineLevel="0" collapsed="false">
      <c r="A34" s="8"/>
      <c r="B34" s="8"/>
      <c r="C34" s="17"/>
      <c r="D34" s="17"/>
      <c r="E34" s="17"/>
      <c r="F34" s="18"/>
      <c r="G34" s="8"/>
      <c r="H34" s="8"/>
      <c r="I34" s="8"/>
      <c r="J34" s="19" t="str">
        <f aca="true">IF(I34="","",I34-TODAY())</f>
        <v/>
      </c>
      <c r="K34" s="8"/>
      <c r="L34" s="17"/>
      <c r="M34" s="18"/>
      <c r="N34" s="8"/>
      <c r="O34" s="17"/>
      <c r="P34" s="8"/>
      <c r="Q34" s="18"/>
      <c r="R34" s="17"/>
    </row>
    <row r="35" customFormat="false" ht="33.75" hidden="false" customHeight="true" outlineLevel="0" collapsed="false">
      <c r="A35" s="8"/>
      <c r="B35" s="8"/>
      <c r="C35" s="17"/>
      <c r="D35" s="17"/>
      <c r="E35" s="17"/>
      <c r="F35" s="18"/>
      <c r="G35" s="8"/>
      <c r="H35" s="8"/>
      <c r="I35" s="8"/>
      <c r="J35" s="19" t="str">
        <f aca="true">IF(I35="","",I35-TODAY())</f>
        <v/>
      </c>
      <c r="K35" s="8"/>
      <c r="L35" s="17"/>
      <c r="M35" s="18"/>
      <c r="N35" s="8"/>
      <c r="O35" s="17"/>
      <c r="P35" s="8"/>
      <c r="Q35" s="18"/>
      <c r="R35" s="17"/>
    </row>
    <row r="36" customFormat="false" ht="33.75" hidden="false" customHeight="true" outlineLevel="0" collapsed="false">
      <c r="A36" s="8"/>
      <c r="B36" s="8"/>
      <c r="C36" s="17"/>
      <c r="D36" s="17"/>
      <c r="E36" s="17"/>
      <c r="F36" s="18"/>
      <c r="G36" s="8"/>
      <c r="H36" s="8"/>
      <c r="I36" s="8"/>
      <c r="J36" s="19" t="str">
        <f aca="true">IF(I36="","",I36-TODAY())</f>
        <v/>
      </c>
      <c r="K36" s="8"/>
      <c r="L36" s="17"/>
      <c r="M36" s="18"/>
      <c r="N36" s="8"/>
      <c r="O36" s="17"/>
      <c r="P36" s="8"/>
      <c r="Q36" s="18"/>
      <c r="R36" s="17"/>
    </row>
    <row r="37" customFormat="false" ht="33.75" hidden="false" customHeight="true" outlineLevel="0" collapsed="false">
      <c r="A37" s="8"/>
      <c r="B37" s="8"/>
      <c r="C37" s="17"/>
      <c r="D37" s="17"/>
      <c r="E37" s="17"/>
      <c r="F37" s="18"/>
      <c r="G37" s="8"/>
      <c r="H37" s="8"/>
      <c r="I37" s="8"/>
      <c r="J37" s="19" t="str">
        <f aca="true">IF(I37="","",I37-TODAY())</f>
        <v/>
      </c>
      <c r="K37" s="8"/>
      <c r="L37" s="17"/>
      <c r="M37" s="18"/>
      <c r="N37" s="8"/>
      <c r="O37" s="17"/>
      <c r="P37" s="8"/>
      <c r="Q37" s="18"/>
      <c r="R37" s="17"/>
    </row>
    <row r="38" customFormat="false" ht="33.75" hidden="false" customHeight="true" outlineLevel="0" collapsed="false">
      <c r="A38" s="8"/>
      <c r="B38" s="8"/>
      <c r="C38" s="17"/>
      <c r="D38" s="17"/>
      <c r="E38" s="17"/>
      <c r="F38" s="18"/>
      <c r="G38" s="8"/>
      <c r="H38" s="8"/>
      <c r="I38" s="8"/>
      <c r="J38" s="19" t="str">
        <f aca="true">IF(I38="","",I38-TODAY())</f>
        <v/>
      </c>
      <c r="K38" s="8"/>
      <c r="L38" s="17"/>
      <c r="M38" s="18"/>
      <c r="N38" s="8"/>
      <c r="O38" s="17"/>
      <c r="P38" s="8"/>
      <c r="Q38" s="18"/>
      <c r="R38" s="17"/>
    </row>
    <row r="39" customFormat="false" ht="33.75" hidden="false" customHeight="true" outlineLevel="0" collapsed="false">
      <c r="A39" s="8"/>
      <c r="B39" s="8"/>
      <c r="C39" s="17"/>
      <c r="D39" s="17"/>
      <c r="E39" s="17"/>
      <c r="F39" s="18"/>
      <c r="G39" s="8"/>
      <c r="H39" s="8"/>
      <c r="I39" s="8"/>
      <c r="J39" s="19" t="str">
        <f aca="true">IF(I39="","",I39-TODAY())</f>
        <v/>
      </c>
      <c r="K39" s="8"/>
      <c r="L39" s="17"/>
      <c r="M39" s="18"/>
      <c r="N39" s="8"/>
      <c r="O39" s="17"/>
      <c r="P39" s="8"/>
      <c r="Q39" s="18"/>
      <c r="R39" s="17"/>
    </row>
    <row r="40" customFormat="false" ht="33.75" hidden="false" customHeight="true" outlineLevel="0" collapsed="false">
      <c r="A40" s="8"/>
      <c r="B40" s="8"/>
      <c r="C40" s="17"/>
      <c r="D40" s="17"/>
      <c r="E40" s="17"/>
      <c r="F40" s="18"/>
      <c r="G40" s="8"/>
      <c r="H40" s="8"/>
      <c r="I40" s="8"/>
      <c r="J40" s="19" t="str">
        <f aca="true">IF(I40="","",I40-TODAY())</f>
        <v/>
      </c>
      <c r="K40" s="8"/>
      <c r="L40" s="17"/>
      <c r="M40" s="18"/>
      <c r="N40" s="8"/>
      <c r="O40" s="17"/>
      <c r="P40" s="8"/>
      <c r="Q40" s="18"/>
      <c r="R40" s="17"/>
    </row>
  </sheetData>
  <autoFilter ref="A4:R40"/>
  <conditionalFormatting sqref="J5:J40">
    <cfRule type="cellIs" priority="2" operator="lessThan" aboveAverage="0" equalAverage="0" bottom="0" percent="0" rank="0" text="" dxfId="8">
      <formula>14</formula>
    </cfRule>
    <cfRule type="cellIs" priority="3" operator="between" aboveAverage="0" equalAverage="0" bottom="0" percent="0" rank="0" text="" dxfId="9">
      <formula>14</formula>
      <formula>30</formula>
    </cfRule>
  </conditionalFormatting>
  <dataValidations count="3">
    <dataValidation allowBlank="true" errorStyle="stop" operator="between" showDropDown="false" showErrorMessage="false" showInputMessage="false" sqref="F5:F40" type="list">
      <formula1>選單_Lists!$A$2:$A$9</formula1>
      <formula2>0</formula2>
    </dataValidation>
    <dataValidation allowBlank="true" errorStyle="stop" operator="between" showDropDown="false" showErrorMessage="false" showInputMessage="false" sqref="M5:M40" type="list">
      <formula1>選單_Lists!$B$2:$B$5</formula1>
      <formula2>0</formula2>
    </dataValidation>
    <dataValidation allowBlank="true" errorStyle="stop" operator="between" showDropDown="false" showErrorMessage="false" showInputMessage="false" sqref="Q5:Q40" type="list">
      <formula1>選單_Lists!$C$2:$C$7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6B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26"/>
  </cols>
  <sheetData>
    <row r="1" customFormat="false" ht="23.1" hidden="false" customHeight="false" outlineLevel="0" collapsed="false">
      <c r="A1" s="6" t="s">
        <v>52</v>
      </c>
    </row>
    <row r="2" customFormat="false" ht="15" hidden="false" customHeight="false" outlineLevel="0" collapsed="false">
      <c r="A2" s="7" t="s">
        <v>53</v>
      </c>
    </row>
    <row r="4" customFormat="false" ht="30" hidden="false" customHeight="true" outlineLevel="0" collapsed="false">
      <c r="A4" s="11" t="s">
        <v>23</v>
      </c>
      <c r="B4" s="11" t="s">
        <v>54</v>
      </c>
      <c r="C4" s="11" t="s">
        <v>55</v>
      </c>
      <c r="D4" s="11" t="s">
        <v>56</v>
      </c>
      <c r="E4" s="11" t="s">
        <v>57</v>
      </c>
    </row>
    <row r="5" customFormat="false" ht="25.5" hidden="false" customHeight="true" outlineLevel="0" collapsed="false">
      <c r="A5" s="20" t="s">
        <v>41</v>
      </c>
      <c r="B5" s="21" t="s">
        <v>58</v>
      </c>
      <c r="C5" s="22" t="s">
        <v>59</v>
      </c>
      <c r="D5" s="20" t="s">
        <v>60</v>
      </c>
      <c r="E5" s="21" t="s">
        <v>61</v>
      </c>
    </row>
    <row r="6" customFormat="false" ht="25.5" hidden="false" customHeight="true" outlineLevel="0" collapsed="false">
      <c r="A6" s="20" t="s">
        <v>41</v>
      </c>
      <c r="B6" s="21" t="s">
        <v>62</v>
      </c>
      <c r="C6" s="22" t="s">
        <v>63</v>
      </c>
      <c r="D6" s="20" t="s">
        <v>64</v>
      </c>
      <c r="E6" s="20" t="s">
        <v>65</v>
      </c>
    </row>
    <row r="7" customFormat="false" ht="25.5" hidden="false" customHeight="true" outlineLevel="0" collapsed="false">
      <c r="A7" s="20" t="s">
        <v>41</v>
      </c>
      <c r="B7" s="21" t="s">
        <v>66</v>
      </c>
      <c r="C7" s="22" t="s">
        <v>67</v>
      </c>
      <c r="D7" s="20" t="s">
        <v>68</v>
      </c>
      <c r="E7" s="21"/>
    </row>
    <row r="8" customFormat="false" ht="25.5" hidden="false" customHeight="true" outlineLevel="0" collapsed="false">
      <c r="A8" s="20" t="s">
        <v>41</v>
      </c>
      <c r="B8" s="21" t="s">
        <v>69</v>
      </c>
      <c r="C8" s="22" t="s">
        <v>70</v>
      </c>
      <c r="D8" s="20" t="s">
        <v>71</v>
      </c>
      <c r="E8" s="21" t="s">
        <v>72</v>
      </c>
    </row>
    <row r="9" customFormat="false" ht="25.5" hidden="false" customHeight="true" outlineLevel="0" collapsed="false">
      <c r="A9" s="20" t="s">
        <v>41</v>
      </c>
      <c r="B9" s="21" t="s">
        <v>73</v>
      </c>
      <c r="C9" s="22" t="s">
        <v>74</v>
      </c>
      <c r="D9" s="20" t="s">
        <v>75</v>
      </c>
      <c r="E9" s="21" t="s">
        <v>76</v>
      </c>
    </row>
    <row r="10" customFormat="false" ht="25.5" hidden="false" customHeight="true" outlineLevel="0" collapsed="false">
      <c r="A10" s="20" t="s">
        <v>77</v>
      </c>
      <c r="B10" s="21" t="s">
        <v>78</v>
      </c>
      <c r="C10" s="22" t="s">
        <v>79</v>
      </c>
      <c r="D10" s="20" t="s">
        <v>80</v>
      </c>
      <c r="E10" s="20" t="s">
        <v>81</v>
      </c>
    </row>
    <row r="11" customFormat="false" ht="25.5" hidden="false" customHeight="true" outlineLevel="0" collapsed="false">
      <c r="A11" s="20" t="s">
        <v>77</v>
      </c>
      <c r="B11" s="21" t="s">
        <v>82</v>
      </c>
      <c r="C11" s="22" t="s">
        <v>83</v>
      </c>
      <c r="D11" s="20" t="s">
        <v>84</v>
      </c>
      <c r="E11" s="21" t="s">
        <v>85</v>
      </c>
    </row>
    <row r="12" customFormat="false" ht="25.5" hidden="false" customHeight="true" outlineLevel="0" collapsed="false">
      <c r="A12" s="20" t="s">
        <v>86</v>
      </c>
      <c r="B12" s="21" t="s">
        <v>87</v>
      </c>
      <c r="C12" s="22" t="s">
        <v>88</v>
      </c>
      <c r="D12" s="20" t="s">
        <v>89</v>
      </c>
      <c r="E12" s="21" t="s">
        <v>90</v>
      </c>
    </row>
    <row r="13" customFormat="false" ht="25.5" hidden="false" customHeight="true" outlineLevel="0" collapsed="false">
      <c r="A13" s="20" t="s">
        <v>86</v>
      </c>
      <c r="B13" s="21" t="s">
        <v>91</v>
      </c>
      <c r="C13" s="22" t="s">
        <v>92</v>
      </c>
      <c r="D13" s="20" t="s">
        <v>93</v>
      </c>
      <c r="E13" s="21"/>
    </row>
    <row r="14" customFormat="false" ht="25.5" hidden="false" customHeight="true" outlineLevel="0" collapsed="false">
      <c r="A14" s="20" t="s">
        <v>86</v>
      </c>
      <c r="B14" s="21" t="s">
        <v>94</v>
      </c>
      <c r="C14" s="22" t="s">
        <v>95</v>
      </c>
      <c r="D14" s="20" t="s">
        <v>96</v>
      </c>
      <c r="E14" s="20" t="s">
        <v>97</v>
      </c>
    </row>
    <row r="15" customFormat="false" ht="25.5" hidden="false" customHeight="true" outlineLevel="0" collapsed="false">
      <c r="A15" s="20" t="s">
        <v>98</v>
      </c>
      <c r="B15" s="21" t="s">
        <v>99</v>
      </c>
      <c r="C15" s="22" t="s">
        <v>100</v>
      </c>
      <c r="D15" s="20" t="s">
        <v>101</v>
      </c>
      <c r="E15" s="21" t="s">
        <v>102</v>
      </c>
    </row>
    <row r="16" customFormat="false" ht="25.5" hidden="false" customHeight="true" outlineLevel="0" collapsed="false">
      <c r="A16" s="20" t="s">
        <v>103</v>
      </c>
      <c r="B16" s="21" t="s">
        <v>104</v>
      </c>
      <c r="C16" s="22" t="s">
        <v>105</v>
      </c>
      <c r="D16" s="20" t="s">
        <v>106</v>
      </c>
      <c r="E16" s="21"/>
    </row>
    <row r="17" customFormat="false" ht="25.5" hidden="false" customHeight="true" outlineLevel="0" collapsed="false">
      <c r="A17" s="21" t="s">
        <v>107</v>
      </c>
      <c r="B17" s="21" t="s">
        <v>108</v>
      </c>
      <c r="C17" s="22" t="s">
        <v>109</v>
      </c>
      <c r="D17" s="20" t="s">
        <v>110</v>
      </c>
      <c r="E17" s="21" t="s">
        <v>111</v>
      </c>
    </row>
    <row r="18" customFormat="false" ht="25.5" hidden="false" customHeight="true" outlineLevel="0" collapsed="false">
      <c r="A18" s="21" t="s">
        <v>107</v>
      </c>
      <c r="B18" s="21" t="s">
        <v>112</v>
      </c>
      <c r="C18" s="22" t="s">
        <v>113</v>
      </c>
      <c r="D18" s="20" t="s">
        <v>114</v>
      </c>
      <c r="E18" s="21" t="s">
        <v>115</v>
      </c>
    </row>
    <row r="20" customFormat="false" ht="15" hidden="false" customHeight="false" outlineLevel="0" collapsed="false">
      <c r="A20" s="3" t="s">
        <v>116</v>
      </c>
    </row>
    <row r="21" customFormat="false" ht="15" hidden="false" customHeight="false" outlineLevel="0" collapsed="false">
      <c r="A21" s="23" t="s">
        <v>117</v>
      </c>
      <c r="B21" s="23"/>
      <c r="C21" s="23"/>
      <c r="D21" s="23"/>
      <c r="E21" s="23"/>
    </row>
    <row r="22" customFormat="false" ht="15" hidden="false" customHeight="false" outlineLevel="0" collapsed="false">
      <c r="A22" s="23" t="s">
        <v>118</v>
      </c>
      <c r="B22" s="23"/>
      <c r="C22" s="23"/>
      <c r="D22" s="23"/>
      <c r="E22" s="23"/>
    </row>
    <row r="23" customFormat="false" ht="15" hidden="false" customHeight="false" outlineLevel="0" collapsed="false">
      <c r="A23" s="23" t="s">
        <v>119</v>
      </c>
      <c r="B23" s="23"/>
      <c r="C23" s="23"/>
      <c r="D23" s="23"/>
      <c r="E23" s="23"/>
    </row>
    <row r="24" customFormat="false" ht="15" hidden="false" customHeight="false" outlineLevel="0" collapsed="false">
      <c r="A24" s="23" t="s">
        <v>120</v>
      </c>
      <c r="B24" s="23"/>
      <c r="C24" s="23"/>
      <c r="D24" s="23"/>
      <c r="E24" s="23"/>
    </row>
    <row r="25" customFormat="false" ht="15" hidden="false" customHeight="false" outlineLevel="0" collapsed="false">
      <c r="A25" s="23" t="s">
        <v>121</v>
      </c>
      <c r="B25" s="23"/>
      <c r="C25" s="23"/>
      <c r="D25" s="23"/>
      <c r="E25" s="23"/>
    </row>
  </sheetData>
  <mergeCells count="5">
    <mergeCell ref="A21:E21"/>
    <mergeCell ref="A22:E22"/>
    <mergeCell ref="A23:E23"/>
    <mergeCell ref="A24:E24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8"/>
  </cols>
  <sheetData>
    <row r="1" customFormat="false" ht="23.1" hidden="false" customHeight="false" outlineLevel="0" collapsed="false">
      <c r="A1" s="6" t="s">
        <v>122</v>
      </c>
    </row>
    <row r="2" customFormat="false" ht="15" hidden="false" customHeight="false" outlineLevel="0" collapsed="false">
      <c r="A2" s="7" t="s">
        <v>123</v>
      </c>
    </row>
    <row r="3" customFormat="false" ht="15" hidden="false" customHeight="false" outlineLevel="0" collapsed="false">
      <c r="A3" s="3" t="s">
        <v>14</v>
      </c>
      <c r="B3" s="8" t="s">
        <v>15</v>
      </c>
      <c r="C3" s="9" t="s">
        <v>16</v>
      </c>
      <c r="D3" s="10" t="s">
        <v>17</v>
      </c>
    </row>
    <row r="4" customFormat="false" ht="30" hidden="false" customHeight="true" outlineLevel="0" collapsed="false">
      <c r="A4" s="11" t="s">
        <v>124</v>
      </c>
      <c r="B4" s="11" t="s">
        <v>125</v>
      </c>
      <c r="C4" s="11" t="s">
        <v>126</v>
      </c>
      <c r="D4" s="11" t="s">
        <v>127</v>
      </c>
      <c r="E4" s="11" t="s">
        <v>128</v>
      </c>
      <c r="F4" s="11" t="s">
        <v>129</v>
      </c>
      <c r="G4" s="11" t="s">
        <v>130</v>
      </c>
      <c r="H4" s="11" t="s">
        <v>131</v>
      </c>
      <c r="I4" s="11" t="s">
        <v>132</v>
      </c>
      <c r="J4" s="11" t="s">
        <v>27</v>
      </c>
      <c r="K4" s="11" t="s">
        <v>133</v>
      </c>
      <c r="L4" s="11" t="s">
        <v>33</v>
      </c>
      <c r="M4" s="11" t="s">
        <v>134</v>
      </c>
      <c r="N4" s="11" t="s">
        <v>57</v>
      </c>
    </row>
    <row r="5" customFormat="false" ht="30" hidden="false" customHeight="true" outlineLevel="0" collapsed="false">
      <c r="A5" s="24" t="s">
        <v>135</v>
      </c>
      <c r="B5" s="21" t="s">
        <v>136</v>
      </c>
      <c r="C5" s="21" t="s">
        <v>137</v>
      </c>
      <c r="D5" s="24" t="s">
        <v>138</v>
      </c>
      <c r="E5" s="24" t="s">
        <v>139</v>
      </c>
      <c r="F5" s="25" t="s">
        <v>140</v>
      </c>
      <c r="G5" s="8" t="s">
        <v>141</v>
      </c>
      <c r="H5" s="8"/>
      <c r="I5" s="8"/>
      <c r="J5" s="19" t="str">
        <f aca="true">IF(I5="","",I5-TODAY())</f>
        <v/>
      </c>
      <c r="K5" s="8"/>
      <c r="L5" s="8"/>
      <c r="M5" s="18" t="s">
        <v>142</v>
      </c>
      <c r="N5" s="17"/>
    </row>
    <row r="6" customFormat="false" ht="30" hidden="false" customHeight="true" outlineLevel="0" collapsed="false">
      <c r="A6" s="24" t="s">
        <v>135</v>
      </c>
      <c r="B6" s="21" t="s">
        <v>143</v>
      </c>
      <c r="C6" s="21" t="s">
        <v>144</v>
      </c>
      <c r="D6" s="24" t="s">
        <v>138</v>
      </c>
      <c r="E6" s="24" t="s">
        <v>145</v>
      </c>
      <c r="F6" s="25" t="s">
        <v>140</v>
      </c>
      <c r="G6" s="8" t="s">
        <v>141</v>
      </c>
      <c r="H6" s="8"/>
      <c r="I6" s="8"/>
      <c r="J6" s="19" t="str">
        <f aca="true">IF(I6="","",I6-TODAY())</f>
        <v/>
      </c>
      <c r="K6" s="8"/>
      <c r="L6" s="8"/>
      <c r="M6" s="18" t="s">
        <v>142</v>
      </c>
      <c r="N6" s="17"/>
    </row>
    <row r="7" customFormat="false" ht="30" hidden="false" customHeight="true" outlineLevel="0" collapsed="false">
      <c r="A7" s="24" t="s">
        <v>135</v>
      </c>
      <c r="B7" s="21" t="s">
        <v>146</v>
      </c>
      <c r="C7" s="21" t="s">
        <v>147</v>
      </c>
      <c r="D7" s="24" t="s">
        <v>138</v>
      </c>
      <c r="E7" s="24" t="s">
        <v>139</v>
      </c>
      <c r="F7" s="25" t="s">
        <v>140</v>
      </c>
      <c r="G7" s="8" t="s">
        <v>141</v>
      </c>
      <c r="H7" s="8"/>
      <c r="I7" s="8"/>
      <c r="J7" s="19" t="str">
        <f aca="true">IF(I7="","",I7-TODAY())</f>
        <v/>
      </c>
      <c r="K7" s="8"/>
      <c r="L7" s="8"/>
      <c r="M7" s="18" t="s">
        <v>148</v>
      </c>
      <c r="N7" s="26" t="s">
        <v>149</v>
      </c>
    </row>
    <row r="8" customFormat="false" ht="30" hidden="false" customHeight="true" outlineLevel="0" collapsed="false">
      <c r="A8" s="24" t="s">
        <v>150</v>
      </c>
      <c r="B8" s="21" t="s">
        <v>151</v>
      </c>
      <c r="C8" s="21" t="s">
        <v>152</v>
      </c>
      <c r="D8" s="24" t="s">
        <v>153</v>
      </c>
      <c r="E8" s="24" t="s">
        <v>154</v>
      </c>
      <c r="F8" s="24" t="s">
        <v>155</v>
      </c>
      <c r="G8" s="8" t="s">
        <v>141</v>
      </c>
      <c r="H8" s="8"/>
      <c r="I8" s="8"/>
      <c r="J8" s="19" t="str">
        <f aca="true">IF(I8="","",I8-TODAY())</f>
        <v/>
      </c>
      <c r="K8" s="8"/>
      <c r="L8" s="8"/>
      <c r="M8" s="18" t="s">
        <v>156</v>
      </c>
      <c r="N8" s="26"/>
    </row>
    <row r="9" customFormat="false" ht="30" hidden="false" customHeight="true" outlineLevel="0" collapsed="false">
      <c r="A9" s="24" t="s">
        <v>150</v>
      </c>
      <c r="B9" s="21" t="s">
        <v>157</v>
      </c>
      <c r="C9" s="21" t="s">
        <v>158</v>
      </c>
      <c r="D9" s="24" t="s">
        <v>138</v>
      </c>
      <c r="E9" s="24" t="s">
        <v>159</v>
      </c>
      <c r="F9" s="25" t="s">
        <v>140</v>
      </c>
      <c r="G9" s="8" t="s">
        <v>141</v>
      </c>
      <c r="H9" s="8"/>
      <c r="I9" s="8"/>
      <c r="J9" s="19" t="str">
        <f aca="true">IF(I9="","",I9-TODAY())</f>
        <v/>
      </c>
      <c r="K9" s="8"/>
      <c r="L9" s="8"/>
      <c r="M9" s="18" t="s">
        <v>160</v>
      </c>
      <c r="N9" s="26"/>
    </row>
    <row r="10" customFormat="false" ht="30" hidden="false" customHeight="true" outlineLevel="0" collapsed="false">
      <c r="A10" s="24" t="s">
        <v>150</v>
      </c>
      <c r="B10" s="21" t="s">
        <v>161</v>
      </c>
      <c r="C10" s="21" t="s">
        <v>162</v>
      </c>
      <c r="D10" s="24" t="s">
        <v>153</v>
      </c>
      <c r="E10" s="24" t="s">
        <v>163</v>
      </c>
      <c r="F10" s="25" t="s">
        <v>164</v>
      </c>
      <c r="G10" s="8" t="s">
        <v>141</v>
      </c>
      <c r="H10" s="8"/>
      <c r="I10" s="8"/>
      <c r="J10" s="19" t="str">
        <f aca="true">IF(I10="","",I10-TODAY())</f>
        <v/>
      </c>
      <c r="K10" s="8"/>
      <c r="L10" s="8"/>
      <c r="M10" s="18" t="s">
        <v>165</v>
      </c>
      <c r="N10" s="26" t="s">
        <v>166</v>
      </c>
    </row>
    <row r="11" customFormat="false" ht="30" hidden="false" customHeight="true" outlineLevel="0" collapsed="false">
      <c r="A11" s="24" t="s">
        <v>167</v>
      </c>
      <c r="B11" s="20" t="s">
        <v>168</v>
      </c>
      <c r="C11" s="21" t="s">
        <v>169</v>
      </c>
      <c r="D11" s="24" t="s">
        <v>170</v>
      </c>
      <c r="E11" s="24" t="s">
        <v>171</v>
      </c>
      <c r="F11" s="24" t="s">
        <v>172</v>
      </c>
      <c r="G11" s="8" t="s">
        <v>141</v>
      </c>
      <c r="H11" s="8"/>
      <c r="I11" s="8"/>
      <c r="J11" s="19" t="str">
        <f aca="true">IF(I11="","",I11-TODAY())</f>
        <v/>
      </c>
      <c r="K11" s="8"/>
      <c r="L11" s="8"/>
      <c r="M11" s="8" t="s">
        <v>173</v>
      </c>
      <c r="N11" s="26" t="s">
        <v>174</v>
      </c>
    </row>
    <row r="12" customFormat="false" ht="30" hidden="false" customHeight="true" outlineLevel="0" collapsed="false">
      <c r="A12" s="24" t="s">
        <v>167</v>
      </c>
      <c r="B12" s="20" t="s">
        <v>175</v>
      </c>
      <c r="C12" s="21" t="s">
        <v>176</v>
      </c>
      <c r="D12" s="24" t="s">
        <v>170</v>
      </c>
      <c r="E12" s="24" t="s">
        <v>177</v>
      </c>
      <c r="F12" s="24" t="s">
        <v>172</v>
      </c>
      <c r="G12" s="8" t="s">
        <v>141</v>
      </c>
      <c r="H12" s="8"/>
      <c r="I12" s="8"/>
      <c r="J12" s="19" t="str">
        <f aca="true">IF(I12="","",I12-TODAY())</f>
        <v/>
      </c>
      <c r="K12" s="8"/>
      <c r="L12" s="8"/>
      <c r="M12" s="8"/>
      <c r="N12" s="26"/>
    </row>
    <row r="13" customFormat="false" ht="30" hidden="false" customHeight="true" outlineLevel="0" collapsed="false">
      <c r="A13" s="24" t="s">
        <v>167</v>
      </c>
      <c r="B13" s="21" t="s">
        <v>178</v>
      </c>
      <c r="C13" s="21" t="s">
        <v>179</v>
      </c>
      <c r="D13" s="24" t="s">
        <v>153</v>
      </c>
      <c r="E13" s="24" t="s">
        <v>180</v>
      </c>
      <c r="F13" s="24" t="s">
        <v>181</v>
      </c>
      <c r="G13" s="8" t="s">
        <v>141</v>
      </c>
      <c r="H13" s="8"/>
      <c r="I13" s="8"/>
      <c r="J13" s="19" t="str">
        <f aca="true">IF(I13="","",I13-TODAY())</f>
        <v/>
      </c>
      <c r="K13" s="8"/>
      <c r="L13" s="8"/>
      <c r="M13" s="18" t="s">
        <v>142</v>
      </c>
      <c r="N13" s="26" t="s">
        <v>182</v>
      </c>
    </row>
    <row r="14" customFormat="false" ht="30" hidden="false" customHeight="true" outlineLevel="0" collapsed="false">
      <c r="A14" s="24" t="s">
        <v>183</v>
      </c>
      <c r="B14" s="21" t="s">
        <v>184</v>
      </c>
      <c r="C14" s="21" t="s">
        <v>185</v>
      </c>
      <c r="D14" s="24" t="s">
        <v>138</v>
      </c>
      <c r="E14" s="24" t="s">
        <v>186</v>
      </c>
      <c r="F14" s="25" t="s">
        <v>187</v>
      </c>
      <c r="G14" s="8" t="s">
        <v>141</v>
      </c>
      <c r="H14" s="8"/>
      <c r="I14" s="8"/>
      <c r="J14" s="19" t="str">
        <f aca="true">IF(I14="","",I14-TODAY())</f>
        <v/>
      </c>
      <c r="K14" s="8"/>
      <c r="L14" s="8"/>
      <c r="M14" s="18" t="s">
        <v>188</v>
      </c>
      <c r="N14" s="26" t="s">
        <v>189</v>
      </c>
    </row>
    <row r="15" customFormat="false" ht="30" hidden="false" customHeight="true" outlineLevel="0" collapsed="false">
      <c r="A15" s="24" t="s">
        <v>183</v>
      </c>
      <c r="B15" s="21" t="s">
        <v>190</v>
      </c>
      <c r="C15" s="21" t="s">
        <v>191</v>
      </c>
      <c r="D15" s="24" t="s">
        <v>153</v>
      </c>
      <c r="E15" s="24" t="s">
        <v>192</v>
      </c>
      <c r="F15" s="25" t="s">
        <v>187</v>
      </c>
      <c r="G15" s="8" t="s">
        <v>141</v>
      </c>
      <c r="H15" s="8"/>
      <c r="I15" s="8"/>
      <c r="J15" s="19" t="str">
        <f aca="true">IF(I15="","",I15-TODAY())</f>
        <v/>
      </c>
      <c r="K15" s="8"/>
      <c r="L15" s="8"/>
      <c r="M15" s="18" t="s">
        <v>193</v>
      </c>
      <c r="N15" s="26"/>
    </row>
    <row r="16" customFormat="false" ht="30" hidden="false" customHeight="true" outlineLevel="0" collapsed="false">
      <c r="A16" s="24" t="s">
        <v>194</v>
      </c>
      <c r="B16" s="21" t="s">
        <v>195</v>
      </c>
      <c r="C16" s="21" t="s">
        <v>196</v>
      </c>
      <c r="D16" s="24" t="s">
        <v>138</v>
      </c>
      <c r="E16" s="24" t="s">
        <v>197</v>
      </c>
      <c r="F16" s="25" t="s">
        <v>187</v>
      </c>
      <c r="G16" s="8" t="s">
        <v>141</v>
      </c>
      <c r="H16" s="8"/>
      <c r="I16" s="8"/>
      <c r="J16" s="19" t="str">
        <f aca="true">IF(I16="","",I16-TODAY())</f>
        <v/>
      </c>
      <c r="K16" s="8"/>
      <c r="L16" s="8"/>
      <c r="M16" s="18" t="s">
        <v>198</v>
      </c>
      <c r="N16" s="26" t="s">
        <v>199</v>
      </c>
    </row>
    <row r="17" customFormat="false" ht="30" hidden="false" customHeight="true" outlineLevel="0" collapsed="false">
      <c r="A17" s="24" t="s">
        <v>200</v>
      </c>
      <c r="B17" s="21" t="s">
        <v>201</v>
      </c>
      <c r="C17" s="21" t="s">
        <v>202</v>
      </c>
      <c r="D17" s="24" t="s">
        <v>153</v>
      </c>
      <c r="E17" s="24" t="s">
        <v>145</v>
      </c>
      <c r="F17" s="24" t="s">
        <v>181</v>
      </c>
      <c r="G17" s="8" t="s">
        <v>141</v>
      </c>
      <c r="H17" s="8"/>
      <c r="I17" s="8"/>
      <c r="J17" s="19" t="str">
        <f aca="true">IF(I17="","",I17-TODAY())</f>
        <v/>
      </c>
      <c r="K17" s="8"/>
      <c r="L17" s="8"/>
      <c r="M17" s="18" t="s">
        <v>148</v>
      </c>
      <c r="N17" s="26" t="s">
        <v>203</v>
      </c>
    </row>
    <row r="18" customFormat="false" ht="30" hidden="false" customHeight="true" outlineLevel="0" collapsed="false">
      <c r="A18" s="24" t="s">
        <v>200</v>
      </c>
      <c r="B18" s="21" t="s">
        <v>204</v>
      </c>
      <c r="C18" s="21" t="s">
        <v>205</v>
      </c>
      <c r="D18" s="24" t="s">
        <v>177</v>
      </c>
      <c r="E18" s="24" t="s">
        <v>177</v>
      </c>
      <c r="F18" s="24" t="s">
        <v>177</v>
      </c>
      <c r="G18" s="8" t="s">
        <v>141</v>
      </c>
      <c r="H18" s="8"/>
      <c r="I18" s="8"/>
      <c r="J18" s="19" t="str">
        <f aca="true">IF(I18="","",I18-TODAY())</f>
        <v/>
      </c>
      <c r="K18" s="8"/>
      <c r="L18" s="8"/>
      <c r="M18" s="8" t="s">
        <v>206</v>
      </c>
      <c r="N18" s="26" t="s">
        <v>207</v>
      </c>
    </row>
    <row r="19" customFormat="false" ht="30" hidden="false" customHeight="true" outlineLevel="0" collapsed="false">
      <c r="A19" s="24" t="s">
        <v>208</v>
      </c>
      <c r="B19" s="21" t="s">
        <v>209</v>
      </c>
      <c r="C19" s="21" t="s">
        <v>210</v>
      </c>
      <c r="D19" s="24" t="s">
        <v>211</v>
      </c>
      <c r="E19" s="25" t="s">
        <v>187</v>
      </c>
      <c r="F19" s="25" t="s">
        <v>187</v>
      </c>
      <c r="G19" s="8" t="s">
        <v>141</v>
      </c>
      <c r="H19" s="8"/>
      <c r="I19" s="8"/>
      <c r="J19" s="19" t="str">
        <f aca="true">IF(I19="","",I19-TODAY())</f>
        <v/>
      </c>
      <c r="K19" s="8"/>
      <c r="L19" s="8"/>
      <c r="M19" s="18" t="s">
        <v>212</v>
      </c>
      <c r="N19" s="26" t="s">
        <v>213</v>
      </c>
    </row>
  </sheetData>
  <autoFilter ref="A4:N19"/>
  <conditionalFormatting sqref="J5:J19">
    <cfRule type="cellIs" priority="2" operator="lessThan" aboveAverage="0" equalAverage="0" bottom="0" percent="0" rank="0" text="" dxfId="8">
      <formula>21</formula>
    </cfRule>
  </conditionalFormatting>
  <conditionalFormatting sqref="G5:G19">
    <cfRule type="cellIs" priority="3" operator="equal" aboveAverage="0" equalAverage="0" bottom="0" percent="0" rank="0" text="" dxfId="10">
      <formula>"已備齊"</formula>
    </cfRule>
    <cfRule type="cellIs" priority="4" operator="equal" aboveAverage="0" equalAverage="0" bottom="0" percent="0" rank="0" text="" dxfId="11">
      <formula>"已過期"</formula>
    </cfRule>
  </conditionalFormatting>
  <dataValidations count="2">
    <dataValidation allowBlank="true" errorStyle="stop" operator="between" showDropDown="false" showErrorMessage="false" showInputMessage="false" sqref="D5:D19" type="list">
      <formula1>選單_Lists!$E$2:$E$4</formula1>
      <formula2>0</formula2>
    </dataValidation>
    <dataValidation allowBlank="true" errorStyle="stop" operator="between" showDropDown="false" showErrorMessage="false" showInputMessage="false" sqref="G5:G19" type="list">
      <formula1>選單_Lists!$D$2:$D$5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3" t="s">
        <v>23</v>
      </c>
      <c r="B1" s="3" t="s">
        <v>214</v>
      </c>
      <c r="C1" s="3" t="s">
        <v>215</v>
      </c>
      <c r="D1" s="3" t="s">
        <v>216</v>
      </c>
      <c r="E1" s="3" t="s">
        <v>127</v>
      </c>
    </row>
    <row r="2" customFormat="false" ht="15" hidden="false" customHeight="false" outlineLevel="0" collapsed="false">
      <c r="A2" s="27" t="s">
        <v>217</v>
      </c>
      <c r="B2" s="28" t="s">
        <v>46</v>
      </c>
      <c r="C2" s="28" t="s">
        <v>50</v>
      </c>
      <c r="D2" s="28" t="s">
        <v>141</v>
      </c>
      <c r="E2" s="28" t="s">
        <v>138</v>
      </c>
    </row>
    <row r="3" customFormat="false" ht="15" hidden="false" customHeight="false" outlineLevel="0" collapsed="false">
      <c r="A3" s="27" t="s">
        <v>218</v>
      </c>
      <c r="B3" s="28" t="s">
        <v>219</v>
      </c>
      <c r="C3" s="28" t="s">
        <v>220</v>
      </c>
      <c r="D3" s="28" t="s">
        <v>221</v>
      </c>
      <c r="E3" s="28" t="s">
        <v>170</v>
      </c>
    </row>
    <row r="4" customFormat="false" ht="15" hidden="false" customHeight="false" outlineLevel="0" collapsed="false">
      <c r="A4" s="27" t="s">
        <v>222</v>
      </c>
      <c r="B4" s="28" t="s">
        <v>223</v>
      </c>
      <c r="C4" s="28" t="s">
        <v>224</v>
      </c>
      <c r="D4" s="28" t="s">
        <v>225</v>
      </c>
      <c r="E4" s="28" t="s">
        <v>226</v>
      </c>
    </row>
    <row r="5" customFormat="false" ht="15" hidden="false" customHeight="false" outlineLevel="0" collapsed="false">
      <c r="A5" s="27" t="s">
        <v>227</v>
      </c>
      <c r="B5" s="28" t="s">
        <v>228</v>
      </c>
      <c r="C5" s="28" t="s">
        <v>229</v>
      </c>
      <c r="D5" s="28" t="s">
        <v>230</v>
      </c>
    </row>
    <row r="6" customFormat="false" ht="15" hidden="false" customHeight="false" outlineLevel="0" collapsed="false">
      <c r="A6" s="27" t="s">
        <v>231</v>
      </c>
      <c r="C6" s="28" t="s">
        <v>232</v>
      </c>
    </row>
    <row r="7" customFormat="false" ht="15" hidden="false" customHeight="false" outlineLevel="0" collapsed="false">
      <c r="A7" s="27" t="s">
        <v>233</v>
      </c>
      <c r="C7" s="28" t="s">
        <v>234</v>
      </c>
    </row>
    <row r="8" customFormat="false" ht="15" hidden="false" customHeight="false" outlineLevel="0" collapsed="false">
      <c r="A8" s="27" t="s">
        <v>235</v>
      </c>
    </row>
    <row r="9" customFormat="false" ht="15" hidden="false" customHeight="false" outlineLevel="0" collapsed="false">
      <c r="A9" s="27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2026-08-16T01:59:43Z</dcterms:created>
  <dc:creator>openpyxl</dc:creator>
  <dc:description/>
  <dc:language>en-US</dc:language>
  <cp:lastModifiedBy/>
  <dcterms:modified xsi:type="dcterms:W3CDTF">2026-08-16T01:59:43Z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