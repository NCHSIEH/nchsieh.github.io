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_ReadMe" sheetId="1" state="visible" r:id="rId3"/>
    <sheet name="05_報價與毛利_Pricing" sheetId="2" state="visible" r:id="rId4"/>
    <sheet name="01_專案設定_Setup" sheetId="3" state="visible" r:id="rId5"/>
    <sheet name="02_成本堆疊_CostBuildup" sheetId="4" state="visible" r:id="rId6"/>
    <sheet name="03_在地化檢核_LocalContent" sheetId="5" state="visible" r:id="rId7"/>
    <sheet name="04_付款條件_PaymentTerms" sheetId="6" state="visible" r:id="rId8"/>
    <sheet name="06_敏感度_Sensitivity" sheetId="7" state="visible" r:id="rId9"/>
    <sheet name="07_情境比較_Scenarios" sheetId="8" state="visible" r:id="rId10"/>
    <sheet name="08_假設來源_Assumptions" sheetId="9" state="visible" r:id="rId11"/>
    <sheet name="_選單_Lis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<sst xmlns="http://schemas.openxmlformats.org/spreadsheetml/2006/main" count="437" uniqueCount="310">
  <si>
    <r>
      <rPr>
        <b val="true"/>
        <sz val="15"/>
        <color rgb="FF1F3864"/>
        <rFont val="Arial"/>
        <family val="0"/>
        <charset val="1"/>
      </rPr>
      <t xml:space="preserve">VMH-EcoMap-21 </t>
    </r>
    <r>
      <rPr>
        <b val="true"/>
        <sz val="15"/>
        <color rgb="FF1F3864"/>
        <rFont val="Noto Sans CJK SC"/>
        <family val="2"/>
      </rPr>
      <t xml:space="preserve">投標經濟性試算器｜使用說明</t>
    </r>
  </si>
  <si>
    <r>
      <rPr>
        <sz val="10"/>
        <color rgb="FF6B7280"/>
        <rFont val="Arial"/>
        <family val="0"/>
        <charset val="1"/>
      </rPr>
      <t xml:space="preserve">P1 </t>
    </r>
    <r>
      <rPr>
        <sz val="10"/>
        <color rgb="FF6B7280"/>
        <rFont val="Noto Sans CJK SC"/>
        <family val="2"/>
      </rPr>
      <t xml:space="preserve">推進管理工具・我方視角・搭配 </t>
    </r>
    <r>
      <rPr>
        <sz val="10"/>
        <color rgb="FF6B7280"/>
        <rFont val="Arial"/>
        <family val="0"/>
        <charset val="1"/>
      </rPr>
      <t xml:space="preserve">20 </t>
    </r>
    <r>
      <rPr>
        <sz val="10"/>
        <color rgb="FF6B7280"/>
        <rFont val="Noto Sans CJK SC"/>
        <family val="2"/>
      </rPr>
      <t xml:space="preserve">號商機推進漏斗使用</t>
    </r>
  </si>
  <si>
    <r>
      <rPr>
        <b val="true"/>
        <sz val="10"/>
        <rFont val="Noto Sans CJK SC"/>
        <family val="2"/>
      </rPr>
      <t xml:space="preserve">■ 這個工具跟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號試算器差在哪（很重要，不要用錯）</t>
    </r>
  </si>
  <si>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號專案商模試算器算的是「醫院該不該投資這個案子」——站在業主立場，看 </t>
    </r>
    <r>
      <rPr>
        <sz val="10"/>
        <rFont val="Arial"/>
        <family val="0"/>
        <charset val="1"/>
      </rPr>
      <t xml:space="preserve">NPV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IRR</t>
    </r>
    <r>
      <rPr>
        <sz val="10"/>
        <rFont val="Noto Sans CJK SC"/>
        <family val="2"/>
      </rPr>
      <t xml:space="preserve">、回收年限。
這一份算的是「我們該不該投標、報多少、底價在哪」——站在我方立場，看成本堆疊、毛利率、資金缺口。
兩份都要算：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號用來說服客戶，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號用來保護自己。贏了但賠錢，比沒贏更糟。</t>
    </r>
  </si>
  <si>
    <t xml:space="preserve">■ 使用順序</t>
  </si>
  <si>
    <t xml:space="preserve">① 專案設定：填匯率、關稅率、在地化要求、最低可接受毛利率（這是走人價的依據，要先跟老闆講好）。
② 成本堆疊：把每一筆成本填進去，原幣別填原幣別，系統會自動折算。寧可多列，不要漏列。
③ 付款條件：填里程碑收款比例與月份——這決定資金缺口，很多案子是被現金流拖垮而不是被毛利拖垮。
④ 報價與毛利：填你打算報的價，看毛利率跟走人價。
⑤ 敏感度：看哪個變數最傷，那就是談判時要優先鎖住的條款。</t>
  </si>
  <si>
    <t xml:space="preserve">■ 三個最容易被低估的成本</t>
  </si>
  <si>
    <r>
      <rPr>
        <sz val="10"/>
        <rFont val="Noto Sans CJK SC"/>
        <family val="2"/>
      </rPr>
      <t xml:space="preserve">進口關稅與清關：越南醫療設備關稅級距差異大，同一張報價單裡不同 </t>
    </r>
    <r>
      <rPr>
        <sz val="10"/>
        <rFont val="Arial"/>
        <family val="0"/>
        <charset val="1"/>
      </rPr>
      <t xml:space="preserve">HS Code </t>
    </r>
    <r>
      <rPr>
        <sz val="10"/>
        <rFont val="Noto Sans CJK SC"/>
        <family val="2"/>
      </rPr>
      <t xml:space="preserve">稅率可能差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個百分點以上，開標前要確認過。
在地化要求：越南公立醫院標案常有在地供應比例要求，湊不到會直接失格——這在「在地化檢核」頁單獨看。
保固準備：三年保固的備品、工程師出差、故障重工，通常要抓合約額的 </t>
    </r>
    <r>
      <rPr>
        <sz val="10"/>
        <rFont val="Arial"/>
        <family val="0"/>
        <charset val="1"/>
      </rPr>
      <t xml:space="preserve">2–4%</t>
    </r>
    <r>
      <rPr>
        <sz val="10"/>
        <rFont val="Noto Sans CJK SC"/>
        <family val="2"/>
      </rPr>
      <t xml:space="preserve">，很多人抓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</t>
    </r>
  </si>
  <si>
    <t xml:space="preserve">■ 走人價是什麼、為什麼要先算</t>
  </si>
  <si>
    <t xml:space="preserve">走人價 ＝ 在最低可接受毛利率下，還能接的最低報價。低於這個數字就該退出，不是「再想想」。
議價現場壓力很大，先算好寫在紙上，才不會在會議室裡自己說服自己。
公式已考慮夥伴分潤與保固準備會隨報價等比變動——所以走人價不是「成本加一點」那麼簡單。</t>
  </si>
  <si>
    <t xml:space="preserve">■ 資金缺口為什麼要看</t>
  </si>
  <si>
    <r>
      <rPr>
        <sz val="10"/>
        <rFont val="Noto Sans CJK SC"/>
        <family val="2"/>
      </rPr>
      <t xml:space="preserve">越南公立醫院付款慢是常態。如果設備要先付款出海、驗收後才收得到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，中間那段是我方墊資。
「付款條件」頁會算出最大資金缺口與發生月份——這個數字要拿去跟財務確認調得動再投標。</t>
    </r>
  </si>
  <si>
    <t xml:space="preserve">■ 與其他工具的銜接</t>
  </si>
  <si>
    <r>
      <rPr>
        <sz val="10"/>
        <rFont val="Noto Sans CJK SC"/>
        <family val="2"/>
      </rPr>
      <t xml:space="preserve">案件進到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號漏斗的「</t>
    </r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</rPr>
      <t xml:space="preserve">提案報價」階段前，應該先在這裡算過一輪，把毛利率回填到漏斗的「我方毛利率」欄。
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號標案雷達的資格要求若含在地化比例，填到本檔「專案設定」的在地化要求欄。
結案後（不論輸贏）回來把實際成本填一次——這是下一案估價唯一可靠的基礎。</t>
    </r>
  </si>
  <si>
    <r>
      <rPr>
        <b val="true"/>
        <sz val="15"/>
        <color rgb="FF1F3864"/>
        <rFont val="Noto Sans CJK SC"/>
        <family val="2"/>
      </rPr>
      <t xml:space="preserve">報價與毛利｜</t>
    </r>
    <r>
      <rPr>
        <b val="true"/>
        <sz val="15"/>
        <color rgb="FF1F3864"/>
        <rFont val="Arial"/>
        <family val="0"/>
        <charset val="1"/>
      </rPr>
      <t xml:space="preserve">Pricing &amp; Margin</t>
    </r>
    <r>
      <rPr>
        <b val="true"/>
        <sz val="15"/>
        <color rgb="FF1F3864"/>
        <rFont val="Noto Sans CJK SC"/>
        <family val="2"/>
      </rPr>
      <t xml:space="preserve">（先看走人價，再決定報多少）</t>
    </r>
  </si>
  <si>
    <t xml:space="preserve">❓這頁在回答：報這個價，我們賺不賺得到？底價在哪？　★ 走人價請在議價前印出來帶進會議室</t>
  </si>
  <si>
    <t xml:space="preserve">圖例：</t>
  </si>
  <si>
    <t xml:space="preserve">　要填　</t>
  </si>
  <si>
    <t xml:space="preserve">　自動　</t>
  </si>
  <si>
    <t xml:space="preserve">（範例）數字為示意，請換成你這一案的真實成本</t>
  </si>
  <si>
    <t xml:space="preserve">報價決策</t>
  </si>
  <si>
    <r>
      <rPr>
        <b val="true"/>
        <sz val="10"/>
        <rFont val="Noto Sans CJK SC"/>
        <family val="2"/>
      </rPr>
      <t xml:space="preserve">我方報價（千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Noto Sans CJK SC"/>
        <family val="2"/>
      </rPr>
      <t xml:space="preserve">）</t>
    </r>
  </si>
  <si>
    <t xml:space="preserve">★ 唯一要你決定的數字。改這格，下面全部跟著動</t>
  </si>
  <si>
    <t xml:space="preserve">成本結構</t>
  </si>
  <si>
    <r>
      <rPr>
        <sz val="10"/>
        <rFont val="Noto Sans CJK SC"/>
        <family val="2"/>
      </rPr>
      <t xml:space="preserve">直接成本（千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</si>
  <si>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t xml:space="preserve">來自成本堆疊頁</t>
  </si>
  <si>
    <r>
      <rPr>
        <sz val="10"/>
        <rFont val="Noto Sans CJK SC"/>
        <family val="2"/>
      </rPr>
      <t xml:space="preserve">夥伴分潤（千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</si>
  <si>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t xml:space="preserve">隨報價等比變動</t>
  </si>
  <si>
    <r>
      <rPr>
        <sz val="10"/>
        <rFont val="Noto Sans CJK SC"/>
        <family val="2"/>
      </rPr>
      <t xml:space="preserve">保固準備（千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</si>
  <si>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風險準備（千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</si>
  <si>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t xml:space="preserve">占直接成本</t>
  </si>
  <si>
    <r>
      <rPr>
        <b val="true"/>
        <sz val="10"/>
        <rFont val="Noto Sans CJK SC"/>
        <family val="2"/>
      </rPr>
      <t xml:space="preserve">總成本（千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Noto Sans CJK SC"/>
        <family val="2"/>
      </rPr>
      <t xml:space="preserve">）</t>
    </r>
  </si>
  <si>
    <t xml:space="preserve">毛利</t>
  </si>
  <si>
    <r>
      <rPr>
        <b val="true"/>
        <sz val="10"/>
        <rFont val="Noto Sans CJK SC"/>
        <family val="2"/>
      </rPr>
      <t xml:space="preserve">毛利額（千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Noto Sans CJK SC"/>
        <family val="2"/>
      </rPr>
      <t xml:space="preserve">）</t>
    </r>
  </si>
  <si>
    <t xml:space="preserve">毛利率</t>
  </si>
  <si>
    <r>
      <rPr>
        <sz val="9"/>
        <color rgb="FF6B7280"/>
        <rFont val="Noto Sans CJK SC"/>
        <family val="2"/>
      </rPr>
      <t xml:space="preserve">★ 這個數字要回填到 </t>
    </r>
    <r>
      <rPr>
        <sz val="9"/>
        <color rgb="FF6B7280"/>
        <rFont val="Arial"/>
        <family val="0"/>
        <charset val="1"/>
      </rPr>
      <t xml:space="preserve">20 </t>
    </r>
    <r>
      <rPr>
        <sz val="9"/>
        <color rgb="FF6B7280"/>
        <rFont val="Noto Sans CJK SC"/>
        <family val="2"/>
      </rPr>
      <t xml:space="preserve">號漏斗</t>
    </r>
  </si>
  <si>
    <r>
      <rPr>
        <sz val="10"/>
        <rFont val="Noto Sans CJK SC"/>
        <family val="2"/>
      </rPr>
      <t xml:space="preserve">現金流折現損失（千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</si>
  <si>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t xml:space="preserve">付款條件造成的資金成本</t>
  </si>
  <si>
    <r>
      <rPr>
        <b val="true"/>
        <sz val="10"/>
        <rFont val="Noto Sans CJK SC"/>
        <family val="2"/>
      </rPr>
      <t xml:space="preserve">折現後毛利（千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Noto Sans CJK SC"/>
        <family val="2"/>
      </rPr>
      <t xml:space="preserve">）</t>
    </r>
  </si>
  <si>
    <t xml:space="preserve">這才是真正落袋的數字</t>
  </si>
  <si>
    <t xml:space="preserve">折現後毛利率</t>
  </si>
  <si>
    <t xml:space="preserve">底價與區間</t>
  </si>
  <si>
    <r>
      <rPr>
        <b val="true"/>
        <sz val="10"/>
        <rFont val="Noto Sans CJK SC"/>
        <family val="2"/>
      </rPr>
      <t xml:space="preserve">走人價（千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Noto Sans CJK SC"/>
        <family val="2"/>
      </rPr>
      <t xml:space="preserve">）</t>
    </r>
  </si>
  <si>
    <t xml:space="preserve">★★ 低於此價就退出。已計入分潤與保固會隨報價縮水</t>
  </si>
  <si>
    <r>
      <rPr>
        <sz val="10"/>
        <rFont val="Noto Sans CJK SC"/>
        <family val="2"/>
      </rPr>
      <t xml:space="preserve">目標價（千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</si>
  <si>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t xml:space="preserve">達成目標毛利率所需的報價</t>
  </si>
  <si>
    <r>
      <rPr>
        <b val="true"/>
        <sz val="10"/>
        <rFont val="Noto Sans CJK SC"/>
        <family val="2"/>
      </rPr>
      <t xml:space="preserve">目前報價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走人價</t>
    </r>
  </si>
  <si>
    <r>
      <rPr>
        <sz val="9"/>
        <color rgb="FF6B7280"/>
        <rFont val="Noto Sans CJK SC"/>
        <family val="2"/>
      </rPr>
      <t xml:space="preserve">還有多少讓價空間（千</t>
    </r>
    <r>
      <rPr>
        <sz val="9"/>
        <color rgb="FF6B7280"/>
        <rFont val="Arial"/>
        <family val="0"/>
        <charset val="1"/>
      </rPr>
      <t xml:space="preserve">USD</t>
    </r>
    <r>
      <rPr>
        <sz val="9"/>
        <color rgb="FF6B7280"/>
        <rFont val="Noto Sans CJK SC"/>
        <family val="2"/>
      </rPr>
      <t xml:space="preserve">）</t>
    </r>
  </si>
  <si>
    <t xml:space="preserve">可讓價幅度</t>
  </si>
  <si>
    <t xml:space="preserve">判定</t>
  </si>
  <si>
    <t xml:space="preserve">資金</t>
  </si>
  <si>
    <r>
      <rPr>
        <b val="true"/>
        <sz val="10"/>
        <rFont val="Noto Sans CJK SC"/>
        <family val="2"/>
      </rPr>
      <t xml:space="preserve">最大資金缺口（千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Noto Sans CJK SC"/>
        <family val="2"/>
      </rPr>
      <t xml:space="preserve">）</t>
    </r>
  </si>
  <si>
    <t xml:space="preserve">★ 這筆錢調不動就不要投</t>
  </si>
  <si>
    <t xml:space="preserve">缺口占報價比例</t>
  </si>
  <si>
    <r>
      <rPr>
        <sz val="9"/>
        <color rgb="FF6B7280"/>
        <rFont val="Noto Sans CJK SC"/>
        <family val="2"/>
      </rPr>
      <t xml:space="preserve">走人價公式說明：報價 </t>
    </r>
    <r>
      <rPr>
        <sz val="9"/>
        <color rgb="FF6B7280"/>
        <rFont val="Arial"/>
        <family val="0"/>
        <charset val="1"/>
      </rPr>
      <t xml:space="preserve">×</t>
    </r>
    <r>
      <rPr>
        <sz val="9"/>
        <color rgb="FF6B7280"/>
        <rFont val="Noto Sans CJK SC"/>
        <family val="2"/>
      </rPr>
      <t xml:space="preserve">（</t>
    </r>
    <r>
      <rPr>
        <sz val="9"/>
        <color rgb="FF6B7280"/>
        <rFont val="Arial"/>
        <family val="0"/>
        <charset val="1"/>
      </rPr>
      <t xml:space="preserve">1 − </t>
    </r>
    <r>
      <rPr>
        <sz val="9"/>
        <color rgb="FF6B7280"/>
        <rFont val="Noto Sans CJK SC"/>
        <family val="2"/>
      </rPr>
      <t xml:space="preserve">分潤率 − 保固率 − 最低毛利率）＝ 直接成本 ＋ 風險準備。
因為分潤與保固準備是「占報價的百分比」，報價一降，這兩項也跟著降——所以走人價不是「成本 </t>
    </r>
    <r>
      <rPr>
        <sz val="9"/>
        <color rgb="FF6B7280"/>
        <rFont val="Arial"/>
        <family val="0"/>
        <charset val="1"/>
      </rPr>
      <t xml:space="preserve">÷</t>
    </r>
    <r>
      <rPr>
        <sz val="9"/>
        <color rgb="FF6B7280"/>
        <rFont val="Noto Sans CJK SC"/>
        <family val="2"/>
      </rPr>
      <t xml:space="preserve">（</t>
    </r>
    <r>
      <rPr>
        <sz val="9"/>
        <color rgb="FF6B7280"/>
        <rFont val="Arial"/>
        <family val="0"/>
        <charset val="1"/>
      </rPr>
      <t xml:space="preserve">1−</t>
    </r>
    <r>
      <rPr>
        <sz val="9"/>
        <color rgb="FF6B7280"/>
        <rFont val="Noto Sans CJK SC"/>
        <family val="2"/>
      </rPr>
      <t xml:space="preserve">最低毛利率）」那麼簡單，
直覺算法會把底價算得太高，議價時反而錯失可以接的案子。</t>
    </r>
  </si>
  <si>
    <r>
      <rPr>
        <b val="true"/>
        <sz val="15"/>
        <color rgb="FF1F3864"/>
        <rFont val="Noto Sans CJK SC"/>
        <family val="2"/>
      </rPr>
      <t xml:space="preserve">專案設定｜</t>
    </r>
    <r>
      <rPr>
        <b val="true"/>
        <sz val="15"/>
        <color rgb="FF1F3864"/>
        <rFont val="Arial"/>
        <family val="0"/>
        <charset val="1"/>
      </rPr>
      <t xml:space="preserve">Setup</t>
    </r>
    <r>
      <rPr>
        <b val="true"/>
        <sz val="15"/>
        <color rgb="FF1F3864"/>
        <rFont val="Noto Sans CJK SC"/>
        <family val="2"/>
      </rPr>
      <t xml:space="preserve">（所有參數的唯一來源，其他頁都引用這裡）</t>
    </r>
  </si>
  <si>
    <t xml:space="preserve">❓這頁在回答：這一案的匯率、稅率、在地化要求、最低可接受毛利是多少？　★ 最低毛利率要先跟決策者講好，不是算完再回頭喬</t>
  </si>
  <si>
    <t xml:space="preserve">案件基本資料</t>
  </si>
  <si>
    <r>
      <rPr>
        <sz val="10"/>
        <rFont val="Noto Sans CJK SC"/>
        <family val="2"/>
      </rPr>
      <t xml:space="preserve">案件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（對應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號漏斗）</t>
    </r>
  </si>
  <si>
    <t xml:space="preserve">P-001</t>
  </si>
  <si>
    <t xml:space="preserve">案件名稱</t>
  </si>
  <si>
    <t xml:space="preserve">中央兒童醫院資料中心機房整建</t>
  </si>
  <si>
    <t xml:space="preserve">客戶／醫院</t>
  </si>
  <si>
    <t xml:space="preserve">國家兒童醫院</t>
  </si>
  <si>
    <t xml:space="preserve">試算日期</t>
  </si>
  <si>
    <t xml:space="preserve">2026-08-18</t>
  </si>
  <si>
    <t xml:space="preserve">報價幣別</t>
  </si>
  <si>
    <t xml:space="preserve">USD</t>
  </si>
  <si>
    <r>
      <rPr>
        <sz val="9"/>
        <color rgb="FF6B7280"/>
        <rFont val="Noto Sans CJK SC"/>
        <family val="2"/>
      </rPr>
      <t xml:space="preserve">本檔所有折算後金額一律為「千</t>
    </r>
    <r>
      <rPr>
        <sz val="9"/>
        <color rgb="FF6B7280"/>
        <rFont val="Arial"/>
        <family val="0"/>
        <charset val="1"/>
      </rPr>
      <t xml:space="preserve">USD</t>
    </r>
    <r>
      <rPr>
        <sz val="9"/>
        <color rgb="FF6B7280"/>
        <rFont val="Noto Sans CJK SC"/>
        <family val="2"/>
      </rPr>
      <t xml:space="preserve">」</t>
    </r>
  </si>
  <si>
    <r>
      <rPr>
        <b val="true"/>
        <sz val="11"/>
        <color rgb="FF1F3864"/>
        <rFont val="Noto Sans CJK SC"/>
        <family val="2"/>
      </rPr>
      <t xml:space="preserve">匯率（原幣 → </t>
    </r>
    <r>
      <rPr>
        <b val="true"/>
        <sz val="11"/>
        <color rgb="FF1F3864"/>
        <rFont val="Arial"/>
        <family val="0"/>
        <charset val="1"/>
      </rPr>
      <t xml:space="preserve">1 USD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</si>
  <si>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sz val="9"/>
        <color rgb="FF6B7280"/>
        <rFont val="Noto Sans CJK SC"/>
        <family val="2"/>
      </rPr>
      <t xml:space="preserve">基準幣別，固定為 </t>
    </r>
    <r>
      <rPr>
        <sz val="9"/>
        <color rgb="FF6B7280"/>
        <rFont val="Arial"/>
        <family val="0"/>
        <charset val="1"/>
      </rPr>
      <t xml:space="preserve">1</t>
    </r>
  </si>
  <si>
    <t xml:space="preserve">VND</t>
  </si>
  <si>
    <t xml:space="preserve">越南盾。★ 這是敏感度分析的頭號變數</t>
  </si>
  <si>
    <t xml:space="preserve">TWD</t>
  </si>
  <si>
    <t xml:space="preserve">新台幣</t>
  </si>
  <si>
    <t xml:space="preserve">政策與稅務參數</t>
  </si>
  <si>
    <t xml:space="preserve">進口設備平均關稅率</t>
  </si>
  <si>
    <r>
      <rPr>
        <sz val="9"/>
        <color rgb="FF6B7280"/>
        <rFont val="Noto Sans CJK SC"/>
        <family val="2"/>
      </rPr>
      <t xml:space="preserve">★ 不同 </t>
    </r>
    <r>
      <rPr>
        <sz val="9"/>
        <color rgb="FF6B7280"/>
        <rFont val="Arial"/>
        <family val="0"/>
        <charset val="1"/>
      </rPr>
      <t xml:space="preserve">HS Code </t>
    </r>
    <r>
      <rPr>
        <sz val="9"/>
        <color rgb="FF6B7280"/>
        <rFont val="Noto Sans CJK SC"/>
        <family val="2"/>
      </rPr>
      <t xml:space="preserve">差異大，開標前務必逐項確認</t>
    </r>
  </si>
  <si>
    <r>
      <rPr>
        <sz val="10"/>
        <rFont val="Arial"/>
        <family val="0"/>
        <charset val="1"/>
      </rPr>
      <t xml:space="preserve">VAT</t>
    </r>
    <r>
      <rPr>
        <sz val="10"/>
        <rFont val="Noto Sans CJK SC"/>
        <family val="2"/>
      </rPr>
      <t xml:space="preserve">（可扣抵，不計入成本）</t>
    </r>
  </si>
  <si>
    <t xml:space="preserve">一般可扣抵，此處僅備查</t>
  </si>
  <si>
    <t xml:space="preserve">在地化要求比例</t>
  </si>
  <si>
    <r>
      <rPr>
        <sz val="9"/>
        <color rgb="FF6B7280"/>
        <rFont val="Noto Sans CJK SC"/>
        <family val="2"/>
      </rPr>
      <t xml:space="preserve">標書若有規定填這裡，沒有就填 </t>
    </r>
    <r>
      <rPr>
        <sz val="9"/>
        <color rgb="FF6B7280"/>
        <rFont val="Arial"/>
        <family val="0"/>
        <charset val="1"/>
      </rPr>
      <t xml:space="preserve">0</t>
    </r>
  </si>
  <si>
    <t xml:space="preserve">財務與風險參數</t>
  </si>
  <si>
    <t xml:space="preserve">年化折現率（資金成本）</t>
  </si>
  <si>
    <t xml:space="preserve">用於付款條件的現金流折現</t>
  </si>
  <si>
    <t xml:space="preserve">夥伴分潤率（占報價）</t>
  </si>
  <si>
    <t xml:space="preserve">在地夥伴抽成，隨報價等比變動</t>
  </si>
  <si>
    <t xml:space="preserve">保固準備率（占報價）</t>
  </si>
  <si>
    <r>
      <rPr>
        <sz val="9"/>
        <color rgb="FF6B7280"/>
        <rFont val="Noto Sans CJK SC"/>
        <family val="2"/>
      </rPr>
      <t xml:space="preserve">★ 三年保固建議 </t>
    </r>
    <r>
      <rPr>
        <sz val="9"/>
        <color rgb="FF6B7280"/>
        <rFont val="Arial"/>
        <family val="0"/>
        <charset val="1"/>
      </rPr>
      <t xml:space="preserve">2–4%</t>
    </r>
    <r>
      <rPr>
        <sz val="9"/>
        <color rgb="FF6B7280"/>
        <rFont val="Noto Sans CJK SC"/>
        <family val="2"/>
      </rPr>
      <t xml:space="preserve">，填 </t>
    </r>
    <r>
      <rPr>
        <sz val="9"/>
        <color rgb="FF6B7280"/>
        <rFont val="Arial"/>
        <family val="0"/>
        <charset val="1"/>
      </rPr>
      <t xml:space="preserve">0 </t>
    </r>
    <r>
      <rPr>
        <sz val="9"/>
        <color rgb="FF6B7280"/>
        <rFont val="Noto Sans CJK SC"/>
        <family val="2"/>
      </rPr>
      <t xml:space="preserve">是自欺欺人</t>
    </r>
  </si>
  <si>
    <t xml:space="preserve">風險準備率（占直接成本）</t>
  </si>
  <si>
    <r>
      <rPr>
        <sz val="9"/>
        <color rgb="FF6B7280"/>
        <rFont val="Noto Sans CJK SC"/>
        <family val="2"/>
      </rPr>
      <t xml:space="preserve">未知的未知。首次進入的市場建議 </t>
    </r>
    <r>
      <rPr>
        <sz val="9"/>
        <color rgb="FF6B7280"/>
        <rFont val="Arial"/>
        <family val="0"/>
        <charset val="1"/>
      </rPr>
      <t xml:space="preserve">5–8%</t>
    </r>
  </si>
  <si>
    <t xml:space="preserve">履約保證金比例</t>
  </si>
  <si>
    <t xml:space="preserve">占合約額</t>
  </si>
  <si>
    <t xml:space="preserve">保證金年費率</t>
  </si>
  <si>
    <t xml:space="preserve">銀行開立保函的年費</t>
  </si>
  <si>
    <t xml:space="preserve">保證金存續年數</t>
  </si>
  <si>
    <t xml:space="preserve">通常＝保固期</t>
  </si>
  <si>
    <t xml:space="preserve">決策門檻</t>
  </si>
  <si>
    <t xml:space="preserve">最低可接受毛利率</t>
  </si>
  <si>
    <t xml:space="preserve">★★ 走人價的依據。低於這個數字就退出——請先跟決策者確認後填入</t>
  </si>
  <si>
    <t xml:space="preserve">目標毛利率</t>
  </si>
  <si>
    <t xml:space="preserve">正常情況希望達到的水準</t>
  </si>
  <si>
    <r>
      <rPr>
        <sz val="9"/>
        <color rgb="FF6B7280"/>
        <rFont val="Noto Sans CJK SC"/>
        <family val="2"/>
      </rPr>
      <t xml:space="preserve">填寫提醒：百分比欄位請直接輸入如 </t>
    </r>
    <r>
      <rPr>
        <sz val="9"/>
        <color rgb="FF6B7280"/>
        <rFont val="Arial"/>
        <family val="0"/>
        <charset val="1"/>
      </rPr>
      <t xml:space="preserve">8% </t>
    </r>
    <r>
      <rPr>
        <sz val="9"/>
        <color rgb="FF6B7280"/>
        <rFont val="Noto Sans CJK SC"/>
        <family val="2"/>
      </rPr>
      <t xml:space="preserve">或 </t>
    </r>
    <r>
      <rPr>
        <sz val="9"/>
        <color rgb="FF6B7280"/>
        <rFont val="Arial"/>
        <family val="0"/>
        <charset val="1"/>
      </rPr>
      <t xml:space="preserve">0.08</t>
    </r>
    <r>
      <rPr>
        <sz val="9"/>
        <color rgb="FF6B7280"/>
        <rFont val="Noto Sans CJK SC"/>
        <family val="2"/>
      </rPr>
      <t xml:space="preserve">，不要輸入 </t>
    </r>
    <r>
      <rPr>
        <sz val="9"/>
        <color rgb="FF6B7280"/>
        <rFont val="Arial"/>
        <family val="0"/>
        <charset val="1"/>
      </rPr>
      <t xml:space="preserve">8</t>
    </r>
    <r>
      <rPr>
        <sz val="9"/>
        <color rgb="FF6B7280"/>
        <rFont val="Noto Sans CJK SC"/>
        <family val="2"/>
      </rPr>
      <t xml:space="preserve">（會變成 </t>
    </r>
    <r>
      <rPr>
        <sz val="9"/>
        <color rgb="FF6B7280"/>
        <rFont val="Arial"/>
        <family val="0"/>
        <charset val="1"/>
      </rPr>
      <t xml:space="preserve">800%</t>
    </r>
    <r>
      <rPr>
        <sz val="9"/>
        <color rgb="FF6B7280"/>
        <rFont val="Noto Sans CJK SC"/>
        <family val="2"/>
      </rPr>
      <t xml:space="preserve">）。
匯率請填「</t>
    </r>
    <r>
      <rPr>
        <sz val="9"/>
        <color rgb="FF6B7280"/>
        <rFont val="Arial"/>
        <family val="0"/>
        <charset val="1"/>
      </rPr>
      <t xml:space="preserve">1 </t>
    </r>
    <r>
      <rPr>
        <sz val="9"/>
        <color rgb="FF6B7280"/>
        <rFont val="Noto Sans CJK SC"/>
        <family val="2"/>
      </rPr>
      <t xml:space="preserve">美元換多少原幣」，例如 </t>
    </r>
    <r>
      <rPr>
        <sz val="9"/>
        <color rgb="FF6B7280"/>
        <rFont val="Arial"/>
        <family val="0"/>
        <charset val="1"/>
      </rPr>
      <t xml:space="preserve">VND </t>
    </r>
    <r>
      <rPr>
        <sz val="9"/>
        <color rgb="FF6B7280"/>
        <rFont val="Noto Sans CJK SC"/>
        <family val="2"/>
      </rPr>
      <t xml:space="preserve">填 </t>
    </r>
    <r>
      <rPr>
        <sz val="9"/>
        <color rgb="FF6B7280"/>
        <rFont val="Arial"/>
        <family val="0"/>
        <charset val="1"/>
      </rPr>
      <t xml:space="preserve">25400</t>
    </r>
    <r>
      <rPr>
        <sz val="9"/>
        <color rgb="FF6B7280"/>
        <rFont val="Noto Sans CJK SC"/>
        <family val="2"/>
      </rPr>
      <t xml:space="preserve">。所有折算後金額全檔統一為「千</t>
    </r>
    <r>
      <rPr>
        <sz val="9"/>
        <color rgb="FF6B7280"/>
        <rFont val="Arial"/>
        <family val="0"/>
        <charset val="1"/>
      </rPr>
      <t xml:space="preserve">USD</t>
    </r>
    <r>
      <rPr>
        <sz val="9"/>
        <color rgb="FF6B7280"/>
        <rFont val="Noto Sans CJK SC"/>
        <family val="2"/>
      </rPr>
      <t xml:space="preserve">」。</t>
    </r>
  </si>
  <si>
    <r>
      <rPr>
        <b val="true"/>
        <sz val="15"/>
        <color rgb="FF1F3864"/>
        <rFont val="Noto Sans CJK SC"/>
        <family val="2"/>
      </rPr>
      <t xml:space="preserve">成本堆疊｜</t>
    </r>
    <r>
      <rPr>
        <b val="true"/>
        <sz val="15"/>
        <color rgb="FF1F3864"/>
        <rFont val="Arial"/>
        <family val="0"/>
        <charset val="1"/>
      </rPr>
      <t xml:space="preserve">Cost Buildup</t>
    </r>
    <r>
      <rPr>
        <b val="true"/>
        <sz val="15"/>
        <color rgb="FF1F3864"/>
        <rFont val="Noto Sans CJK SC"/>
        <family val="2"/>
      </rPr>
      <t xml:space="preserve">（我方要花的每一塊錢，寧可多列不要漏列）</t>
    </r>
  </si>
  <si>
    <t xml:space="preserve">❓這頁在回答：這一案我方的直接成本是多少、其中多少是進口、多少落在越南當地？</t>
  </si>
  <si>
    <t xml:space="preserve">項次</t>
  </si>
  <si>
    <t xml:space="preserve">成本項目</t>
  </si>
  <si>
    <t xml:space="preserve">類別</t>
  </si>
  <si>
    <t xml:space="preserve">來源</t>
  </si>
  <si>
    <t xml:space="preserve">原幣別</t>
  </si>
  <si>
    <t xml:space="preserve">原幣金額</t>
  </si>
  <si>
    <t xml:space="preserve">匯率</t>
  </si>
  <si>
    <r>
      <rPr>
        <b val="true"/>
        <sz val="10"/>
        <color rgb="FFFFFFFF"/>
        <rFont val="Noto Sans CJK SC"/>
        <family val="2"/>
      </rPr>
      <t xml:space="preserve">折算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</si>
  <si>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t xml:space="preserve">風險等級</t>
  </si>
  <si>
    <t xml:space="preserve">備註／依據</t>
  </si>
  <si>
    <t xml:space="preserve">主機櫃、配電盤與匯流排</t>
  </si>
  <si>
    <t xml:space="preserve">設備</t>
  </si>
  <si>
    <t xml:space="preserve">進口</t>
  </si>
  <si>
    <t xml:space="preserve">高</t>
  </si>
  <si>
    <r>
      <rPr>
        <sz val="10"/>
        <rFont val="Noto Sans CJK SC"/>
        <family val="2"/>
      </rPr>
      <t xml:space="preserve">原廠報價 </t>
    </r>
    <r>
      <rPr>
        <sz val="10"/>
        <rFont val="Arial"/>
        <family val="0"/>
        <charset val="1"/>
      </rPr>
      <t xml:space="preserve">2026-07</t>
    </r>
    <r>
      <rPr>
        <sz val="10"/>
        <rFont val="Noto Sans CJK SC"/>
        <family val="2"/>
      </rPr>
      <t xml:space="preserve">，含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年零件保固</t>
    </r>
  </si>
  <si>
    <r>
      <rPr>
        <sz val="10"/>
        <rFont val="Arial"/>
        <family val="0"/>
        <charset val="1"/>
      </rPr>
      <t xml:space="preserve">UPS </t>
    </r>
    <r>
      <rPr>
        <sz val="10"/>
        <rFont val="Noto Sans CJK SC"/>
        <family val="2"/>
      </rPr>
      <t xml:space="preserve">不斷電系統（含電池）</t>
    </r>
  </si>
  <si>
    <r>
      <rPr>
        <sz val="10"/>
        <rFont val="Noto Sans CJK SC"/>
        <family val="2"/>
      </rPr>
      <t xml:space="preserve">電池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年更換，已列在保固準備</t>
    </r>
  </si>
  <si>
    <t xml:space="preserve">精密空調與冷卻系統</t>
  </si>
  <si>
    <t xml:space="preserve">含冷凍水管路，未含土建</t>
  </si>
  <si>
    <r>
      <rPr>
        <sz val="10"/>
        <rFont val="Arial"/>
        <family val="0"/>
        <charset val="1"/>
      </rPr>
      <t xml:space="preserve">DCIM </t>
    </r>
    <r>
      <rPr>
        <sz val="10"/>
        <rFont val="Noto Sans CJK SC"/>
        <family val="2"/>
      </rPr>
      <t xml:space="preserve">監控軟體與授權</t>
    </r>
  </si>
  <si>
    <t xml:space="preserve">中</t>
  </si>
  <si>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年授權，續約另計</t>
    </r>
  </si>
  <si>
    <r>
      <rPr>
        <sz val="10"/>
        <rFont val="Noto Sans CJK SC"/>
        <family val="2"/>
      </rPr>
      <t xml:space="preserve">消防、門禁與 </t>
    </r>
    <r>
      <rPr>
        <sz val="10"/>
        <rFont val="Arial"/>
        <family val="0"/>
        <charset val="1"/>
      </rPr>
      <t xml:space="preserve">CCTV</t>
    </r>
  </si>
  <si>
    <t xml:space="preserve">在地</t>
  </si>
  <si>
    <t xml:space="preserve">低</t>
  </si>
  <si>
    <t xml:space="preserve">在地夥伴供應，計入在地化比例</t>
  </si>
  <si>
    <t xml:space="preserve">海運、保險與清關</t>
  </si>
  <si>
    <t xml:space="preserve">物流關稅</t>
  </si>
  <si>
    <r>
      <rPr>
        <sz val="10"/>
        <rFont val="Arial"/>
        <family val="0"/>
        <charset val="1"/>
      </rPr>
      <t xml:space="preserve">CIF </t>
    </r>
    <r>
      <rPr>
        <sz val="10"/>
        <rFont val="Noto Sans CJK SC"/>
        <family val="2"/>
      </rPr>
      <t xml:space="preserve">海防港，含保險</t>
    </r>
  </si>
  <si>
    <t xml:space="preserve">進口關稅（自動計算）</t>
  </si>
  <si>
    <r>
      <rPr>
        <sz val="10"/>
        <rFont val="Noto Sans CJK SC"/>
        <family val="2"/>
      </rPr>
      <t xml:space="preserve">＝進口設備合計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關稅率，逐項 </t>
    </r>
    <r>
      <rPr>
        <sz val="10"/>
        <rFont val="Arial"/>
        <family val="0"/>
        <charset val="1"/>
      </rPr>
      <t xml:space="preserve">HS Code </t>
    </r>
    <r>
      <rPr>
        <sz val="10"/>
        <rFont val="Noto Sans CJK SC"/>
        <family val="2"/>
      </rPr>
      <t xml:space="preserve">需複核</t>
    </r>
  </si>
  <si>
    <t xml:space="preserve">內陸運輸與吊裝</t>
  </si>
  <si>
    <t xml:space="preserve">機電安裝工程</t>
  </si>
  <si>
    <t xml:space="preserve">工程安裝</t>
  </si>
  <si>
    <t xml:space="preserve">在地夥伴施工，計入在地化比例</t>
  </si>
  <si>
    <t xml:space="preserve">土建配合與機房裝修</t>
  </si>
  <si>
    <t xml:space="preserve">含防火區劃與架高地板</t>
  </si>
  <si>
    <t xml:space="preserve">測試、試運轉與整合驗證</t>
  </si>
  <si>
    <r>
      <rPr>
        <sz val="10"/>
        <rFont val="Noto Sans CJK SC"/>
        <family val="2"/>
      </rPr>
      <t xml:space="preserve">台籍工程師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× 6 </t>
    </r>
    <r>
      <rPr>
        <sz val="10"/>
        <rFont val="Noto Sans CJK SC"/>
        <family val="2"/>
      </rPr>
      <t xml:space="preserve">週</t>
    </r>
  </si>
  <si>
    <t xml:space="preserve">台籍專案經理駐點</t>
  </si>
  <si>
    <t xml:space="preserve">專案管理</t>
  </si>
  <si>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個月，含住宿</t>
    </r>
  </si>
  <si>
    <t xml:space="preserve">在地專案管理與協調</t>
  </si>
  <si>
    <t xml:space="preserve">差旅與往返機票</t>
  </si>
  <si>
    <t xml:space="preserve">備品庫存（首年）</t>
  </si>
  <si>
    <t xml:space="preserve">售後保固</t>
  </si>
  <si>
    <t xml:space="preserve">關鍵零件在地備料，縮短停機</t>
  </si>
  <si>
    <t xml:space="preserve">教育訓練與操作手冊越文化</t>
  </si>
  <si>
    <t xml:space="preserve">含越文技術文件翻譯</t>
  </si>
  <si>
    <t xml:space="preserve">在地認證、檢驗與測試報告</t>
  </si>
  <si>
    <t xml:space="preserve">認證合規</t>
  </si>
  <si>
    <t xml:space="preserve">★ 時程風險大於金額風險</t>
  </si>
  <si>
    <t xml:space="preserve">投標成本（文件、公證、保證金）</t>
  </si>
  <si>
    <t xml:space="preserve">財務成本</t>
  </si>
  <si>
    <t xml:space="preserve">不論輸贏都會發生</t>
  </si>
  <si>
    <t xml:space="preserve">履約保證金成本（自動計算）</t>
  </si>
  <si>
    <r>
      <rPr>
        <sz val="10"/>
        <rFont val="Noto Sans CJK SC"/>
        <family val="2"/>
      </rPr>
      <t xml:space="preserve">＝報價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保證金比例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年費率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年數</t>
    </r>
  </si>
  <si>
    <t xml:space="preserve">直接成本合計</t>
  </si>
  <si>
    <t xml:space="preserve">　其中：進口部分</t>
  </si>
  <si>
    <t xml:space="preserve">　其中：在地部分</t>
  </si>
  <si>
    <t xml:space="preserve">依類別彙總</t>
  </si>
  <si>
    <r>
      <rPr>
        <b val="true"/>
        <sz val="15"/>
        <color rgb="FF1F3864"/>
        <rFont val="Noto Sans CJK SC"/>
        <family val="2"/>
      </rPr>
      <t xml:space="preserve">在地化檢核｜</t>
    </r>
    <r>
      <rPr>
        <b val="true"/>
        <sz val="15"/>
        <color rgb="FF1F3864"/>
        <rFont val="Arial"/>
        <family val="0"/>
        <charset val="1"/>
      </rPr>
      <t xml:space="preserve">Local Content</t>
    </r>
    <r>
      <rPr>
        <b val="true"/>
        <sz val="15"/>
        <color rgb="FF1F3864"/>
        <rFont val="Noto Sans CJK SC"/>
        <family val="2"/>
      </rPr>
      <t xml:space="preserve">（湊不到比例會直接失格，不是扣分）</t>
    </r>
  </si>
  <si>
    <t xml:space="preserve">❓這頁在回答：我方的在地採購比例達標了嗎？沒達標差多少、怎麼補？</t>
  </si>
  <si>
    <r>
      <rPr>
        <sz val="10"/>
        <rFont val="Noto Sans CJK SC"/>
        <family val="2"/>
      </rPr>
      <t xml:space="preserve">直接成本合計（千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</si>
  <si>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在地採購金額（千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</si>
  <si>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進口金額（千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</si>
  <si>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t xml:space="preserve">目前在地化比例</t>
  </si>
  <si>
    <t xml:space="preserve">標書要求比例</t>
  </si>
  <si>
    <t xml:space="preserve">達標判定</t>
  </si>
  <si>
    <r>
      <rPr>
        <b val="true"/>
        <sz val="10"/>
        <rFont val="Noto Sans CJK SC"/>
        <family val="2"/>
      </rPr>
      <t xml:space="preserve">尚差金額（千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Noto Sans CJK SC"/>
        <family val="2"/>
      </rPr>
      <t xml:space="preserve">）</t>
    </r>
  </si>
  <si>
    <t xml:space="preserve">要再把這麼多金額轉為在地採購才達標</t>
  </si>
  <si>
    <t xml:space="preserve">補救方向（依可行性排序）：
① 把可在地化的工程項目（裝修、管路、線槽）從進口打包中拆出來，改由在地夥伴承作——最快、對品質衝擊最小。
② 教育訓練、技術文件越文化、在地認證測試改由在地單位執行。
③ 與在地夥伴簽組裝協議，部分機櫃在越南組裝——需確認標書對「在地組裝」是否計入。
④ 最後才考慮更換設備品牌為在地可供貨者，這會牽動規格與保固，風險最高。
★ 提醒：多數越南標書認定「在地」的定義寫在資格文件裡，投標前務必確認是以「金額」還是「工項」計算，兩者結果可能差很多。</t>
  </si>
  <si>
    <r>
      <rPr>
        <b val="true"/>
        <sz val="15"/>
        <color rgb="FF1F3864"/>
        <rFont val="Noto Sans CJK SC"/>
        <family val="2"/>
      </rPr>
      <t xml:space="preserve">付款條件與資金缺口｜</t>
    </r>
    <r>
      <rPr>
        <b val="true"/>
        <sz val="15"/>
        <color rgb="FF1F3864"/>
        <rFont val="Arial"/>
        <family val="0"/>
        <charset val="1"/>
      </rPr>
      <t xml:space="preserve">Payment Terms &amp; Funding Gap</t>
    </r>
  </si>
  <si>
    <t xml:space="preserve">❓這頁在回答：錢什麼時候進來、什麼時候出去、中間我方要墊多少？　★ 很多案子是被現金流拖垮，不是被毛利拖垮</t>
  </si>
  <si>
    <t xml:space="preserve">月份</t>
  </si>
  <si>
    <t xml:space="preserve">里程碑</t>
  </si>
  <si>
    <t xml:space="preserve">收款比例</t>
  </si>
  <si>
    <r>
      <rPr>
        <b val="true"/>
        <sz val="10"/>
        <color rgb="FFFFFFFF"/>
        <rFont val="Noto Sans CJK SC"/>
        <family val="2"/>
      </rPr>
      <t xml:space="preserve">收款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</si>
  <si>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t xml:space="preserve">成本支出比例</t>
  </si>
  <si>
    <r>
      <rPr>
        <b val="true"/>
        <sz val="10"/>
        <color rgb="FFFFFFFF"/>
        <rFont val="Noto Sans CJK SC"/>
        <family val="2"/>
      </rPr>
      <t xml:space="preserve">支出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</si>
  <si>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t xml:space="preserve">淨現金流</t>
  </si>
  <si>
    <t xml:space="preserve">累計現金流</t>
  </si>
  <si>
    <t xml:space="preserve">折現因子</t>
  </si>
  <si>
    <t xml:space="preserve">折現淨額</t>
  </si>
  <si>
    <t xml:space="preserve">合約簽訂預付款</t>
  </si>
  <si>
    <t xml:space="preserve">設備開始製造</t>
  </si>
  <si>
    <t xml:space="preserve">設備到港／驗貨</t>
  </si>
  <si>
    <r>
      <rPr>
        <sz val="10"/>
        <rFont val="Noto Sans CJK SC"/>
        <family val="2"/>
      </rPr>
      <t xml:space="preserve">安裝進度 </t>
    </r>
    <r>
      <rPr>
        <sz val="10"/>
        <rFont val="Arial"/>
        <family val="0"/>
        <charset val="1"/>
      </rPr>
      <t xml:space="preserve">50%</t>
    </r>
  </si>
  <si>
    <t xml:space="preserve">安裝完成</t>
  </si>
  <si>
    <t xml:space="preserve">測試與試運轉完成</t>
  </si>
  <si>
    <t xml:space="preserve">正式驗收</t>
  </si>
  <si>
    <t xml:space="preserve">保固期滿尾款</t>
  </si>
  <si>
    <t xml:space="preserve">合計</t>
  </si>
  <si>
    <t xml:space="preserve">★ 累計現金流的最低點。要先確認財務調得動這筆錢再投標</t>
  </si>
  <si>
    <t xml:space="preserve">缺口發生月份</t>
  </si>
  <si>
    <t xml:space="preserve">從簽約起算第幾個月</t>
  </si>
  <si>
    <t xml:space="preserve">收款加權平均月數</t>
  </si>
  <si>
    <t xml:space="preserve">平均要等幾個月才收到錢</t>
  </si>
  <si>
    <r>
      <rPr>
        <b val="true"/>
        <sz val="10"/>
        <rFont val="Noto Sans CJK SC"/>
        <family val="2"/>
      </rPr>
      <t xml:space="preserve">現金流折現損失（千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Noto Sans CJK SC"/>
        <family val="2"/>
      </rPr>
      <t xml:space="preserve">）</t>
    </r>
  </si>
  <si>
    <t xml:space="preserve">名目毛利與折現後毛利的差額——這是付款條件的隱形代價</t>
  </si>
  <si>
    <r>
      <rPr>
        <b val="true"/>
        <sz val="15"/>
        <color rgb="FF1F3864"/>
        <rFont val="Noto Sans CJK SC"/>
        <family val="2"/>
      </rPr>
      <t xml:space="preserve">敏感度｜</t>
    </r>
    <r>
      <rPr>
        <b val="true"/>
        <sz val="15"/>
        <color rgb="FF1F3864"/>
        <rFont val="Arial"/>
        <family val="0"/>
        <charset val="1"/>
      </rPr>
      <t xml:space="preserve">Tornado</t>
    </r>
    <r>
      <rPr>
        <b val="true"/>
        <sz val="15"/>
        <color rgb="FF1F3864"/>
        <rFont val="Noto Sans CJK SC"/>
        <family val="2"/>
      </rPr>
      <t xml:space="preserve">（哪個變數最傷？那就是談判要優先鎖住的條款）</t>
    </r>
  </si>
  <si>
    <t xml:space="preserve">❓這頁在回答：如果事情不如預期，毛利率會掉到哪？　★ 影響幅度最大的前三項，就是合約裡最該寫清楚的三件事</t>
  </si>
  <si>
    <t xml:space="preserve">變數</t>
  </si>
  <si>
    <t xml:space="preserve">不利情境</t>
  </si>
  <si>
    <t xml:space="preserve">有利情境</t>
  </si>
  <si>
    <t xml:space="preserve">不利時毛利率</t>
  </si>
  <si>
    <t xml:space="preserve">有利時毛利率</t>
  </si>
  <si>
    <r>
      <rPr>
        <b val="true"/>
        <sz val="10"/>
        <color rgb="FFFFFFFF"/>
        <rFont val="Noto Sans CJK SC"/>
        <family val="2"/>
      </rPr>
      <t xml:space="preserve">影響幅度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百分點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</si>
  <si>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應對方向</t>
  </si>
  <si>
    <r>
      <rPr>
        <sz val="10"/>
        <rFont val="Arial"/>
        <family val="0"/>
        <charset val="1"/>
      </rPr>
      <t xml:space="preserve">VND </t>
    </r>
    <r>
      <rPr>
        <sz val="10"/>
        <rFont val="Noto Sans CJK SC"/>
        <family val="2"/>
      </rPr>
      <t xml:space="preserve">匯率 </t>
    </r>
    <r>
      <rPr>
        <sz val="10"/>
        <rFont val="Arial"/>
        <family val="0"/>
        <charset val="1"/>
      </rPr>
      <t xml:space="preserve">±10%</t>
    </r>
  </si>
  <si>
    <r>
      <rPr>
        <sz val="10"/>
        <rFont val="Noto Sans CJK SC"/>
        <family val="2"/>
      </rPr>
      <t xml:space="preserve">越南盾貶值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（在地成本以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計變貴）</t>
    </r>
  </si>
  <si>
    <r>
      <rPr>
        <sz val="10"/>
        <rFont val="Noto Sans CJK SC"/>
        <family val="2"/>
      </rPr>
      <t xml:space="preserve">越南盾升值 </t>
    </r>
    <r>
      <rPr>
        <sz val="10"/>
        <rFont val="Arial"/>
        <family val="0"/>
        <charset val="1"/>
      </rPr>
      <t xml:space="preserve">10%</t>
    </r>
  </si>
  <si>
    <r>
      <rPr>
        <sz val="10"/>
        <rFont val="Noto Sans CJK SC"/>
        <family val="2"/>
      </rPr>
      <t xml:space="preserve">在地採購合約盡量以 </t>
    </r>
    <r>
      <rPr>
        <sz val="10"/>
        <rFont val="Arial"/>
        <family val="0"/>
        <charset val="1"/>
      </rPr>
      <t xml:space="preserve">VND </t>
    </r>
    <r>
      <rPr>
        <sz val="10"/>
        <rFont val="Noto Sans CJK SC"/>
        <family val="2"/>
      </rPr>
      <t xml:space="preserve">計價並鎖定總價，把匯率風險留在對方</t>
    </r>
  </si>
  <si>
    <r>
      <rPr>
        <sz val="10"/>
        <rFont val="Noto Sans CJK SC"/>
        <family val="2"/>
      </rPr>
      <t xml:space="preserve">進口設備成本 </t>
    </r>
    <r>
      <rPr>
        <sz val="10"/>
        <rFont val="Arial"/>
        <family val="0"/>
        <charset val="1"/>
      </rPr>
      <t xml:space="preserve">±15%</t>
    </r>
  </si>
  <si>
    <r>
      <rPr>
        <sz val="10"/>
        <rFont val="Noto Sans CJK SC"/>
        <family val="2"/>
      </rPr>
      <t xml:space="preserve">原廠漲價或規格加嚴 </t>
    </r>
    <r>
      <rPr>
        <sz val="10"/>
        <rFont val="Arial"/>
        <family val="0"/>
        <charset val="1"/>
      </rPr>
      <t xml:space="preserve">+15%</t>
    </r>
  </si>
  <si>
    <r>
      <rPr>
        <sz val="10"/>
        <rFont val="Noto Sans CJK SC"/>
        <family val="2"/>
      </rPr>
      <t xml:space="preserve">議價成功 −</t>
    </r>
    <r>
      <rPr>
        <sz val="10"/>
        <rFont val="Arial"/>
        <family val="0"/>
        <charset val="1"/>
      </rPr>
      <t xml:space="preserve">15%</t>
    </r>
  </si>
  <si>
    <t xml:space="preserve">投標前取得原廠有效期涵蓋決標日的報價，並約定漲價分攤條款</t>
  </si>
  <si>
    <r>
      <rPr>
        <sz val="10"/>
        <rFont val="Noto Sans CJK SC"/>
        <family val="2"/>
      </rPr>
      <t xml:space="preserve">進口關稅 </t>
    </r>
    <r>
      <rPr>
        <sz val="10"/>
        <rFont val="Arial"/>
        <family val="0"/>
        <charset val="1"/>
      </rPr>
      <t xml:space="preserve">±5 </t>
    </r>
    <r>
      <rPr>
        <sz val="10"/>
        <rFont val="Noto Sans CJK SC"/>
        <family val="2"/>
      </rPr>
      <t xml:space="preserve">個百分點</t>
    </r>
  </si>
  <si>
    <r>
      <rPr>
        <sz val="10"/>
        <rFont val="Arial"/>
        <family val="0"/>
        <charset val="1"/>
      </rPr>
      <t xml:space="preserve">HS Code </t>
    </r>
    <r>
      <rPr>
        <sz val="10"/>
        <rFont val="Noto Sans CJK SC"/>
        <family val="2"/>
      </rPr>
      <t xml:space="preserve">認定不利 </t>
    </r>
    <r>
      <rPr>
        <sz val="10"/>
        <rFont val="Arial"/>
        <family val="0"/>
        <charset val="1"/>
      </rPr>
      <t xml:space="preserve">+5pp</t>
    </r>
  </si>
  <si>
    <r>
      <rPr>
        <sz val="10"/>
        <rFont val="Noto Sans CJK SC"/>
        <family val="2"/>
      </rPr>
      <t xml:space="preserve">認定有利 −</t>
    </r>
    <r>
      <rPr>
        <sz val="10"/>
        <rFont val="Arial"/>
        <family val="0"/>
        <charset val="1"/>
      </rPr>
      <t xml:space="preserve">5pp</t>
    </r>
  </si>
  <si>
    <r>
      <rPr>
        <sz val="10"/>
        <rFont val="Noto Sans CJK SC"/>
        <family val="2"/>
      </rPr>
      <t xml:space="preserve">★ 開標前向海關取得預先歸類（</t>
    </r>
    <r>
      <rPr>
        <sz val="10"/>
        <rFont val="Arial"/>
        <family val="0"/>
        <charset val="1"/>
      </rPr>
      <t xml:space="preserve">advance ruling</t>
    </r>
    <r>
      <rPr>
        <sz val="10"/>
        <rFont val="Noto Sans CJK SC"/>
        <family val="2"/>
      </rPr>
      <t xml:space="preserve">），不要用猜的</t>
    </r>
  </si>
  <si>
    <r>
      <rPr>
        <sz val="10"/>
        <rFont val="Noto Sans CJK SC"/>
        <family val="2"/>
      </rPr>
      <t xml:space="preserve">工程延誤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個月</t>
    </r>
  </si>
  <si>
    <r>
      <rPr>
        <sz val="10"/>
        <rFont val="Noto Sans CJK SC"/>
        <family val="2"/>
      </rPr>
      <t xml:space="preserve">工地交付延遲，</t>
    </r>
    <r>
      <rPr>
        <sz val="10"/>
        <rFont val="Arial"/>
        <family val="0"/>
        <charset val="1"/>
      </rPr>
      <t xml:space="preserve">PM </t>
    </r>
    <r>
      <rPr>
        <sz val="10"/>
        <rFont val="Noto Sans CJK SC"/>
        <family val="2"/>
      </rPr>
      <t xml:space="preserve">與駐點成本增加</t>
    </r>
  </si>
  <si>
    <t xml:space="preserve">如期完工</t>
  </si>
  <si>
    <t xml:space="preserve">合約中明訂工地交付前置條件與延誤責任歸屬，逾期由對方吸收</t>
  </si>
  <si>
    <t xml:space="preserve">保固索賠超支</t>
  </si>
  <si>
    <r>
      <rPr>
        <sz val="10"/>
        <rFont val="Noto Sans CJK SC"/>
        <family val="2"/>
      </rPr>
      <t xml:space="preserve">保固期實際支出達合約額 </t>
    </r>
    <r>
      <rPr>
        <sz val="10"/>
        <rFont val="Arial"/>
        <family val="0"/>
        <charset val="1"/>
      </rPr>
      <t xml:space="preserve">6%</t>
    </r>
    <r>
      <rPr>
        <sz val="10"/>
        <rFont val="Noto Sans CJK SC"/>
        <family val="2"/>
      </rPr>
      <t xml:space="preserve">（預估 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</si>
  <si>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保固支出僅 </t>
    </r>
    <r>
      <rPr>
        <sz val="10"/>
        <rFont val="Arial"/>
        <family val="0"/>
        <charset val="1"/>
      </rPr>
      <t xml:space="preserve">1.5%</t>
    </r>
  </si>
  <si>
    <t xml:space="preserve">備品在地化、遠端診斷、明確排除人為損壞與電網品質問題</t>
  </si>
  <si>
    <r>
      <rPr>
        <sz val="10"/>
        <rFont val="Noto Sans CJK SC"/>
        <family val="2"/>
      </rPr>
      <t xml:space="preserve">夥伴分潤上調 </t>
    </r>
    <r>
      <rPr>
        <sz val="10"/>
        <rFont val="Arial"/>
        <family val="0"/>
        <charset val="1"/>
      </rPr>
      <t xml:space="preserve">3pp</t>
    </r>
  </si>
  <si>
    <t xml:space="preserve">在地夥伴議價力提高</t>
  </si>
  <si>
    <t xml:space="preserve">維持原分潤</t>
  </si>
  <si>
    <t xml:space="preserve">提早簽定分潤上限條款，避免決標後被回頭加碼</t>
  </si>
  <si>
    <t xml:space="preserve">基準毛利率</t>
  </si>
  <si>
    <t xml:space="preserve">← 全部變數維持預設時的毛利率，上表所有情境都跟這個比</t>
  </si>
  <si>
    <t xml:space="preserve">讀法：「影響幅度」欄由大到小排，就是你的風險排序。前三名請逐條對應到合約條款或投標前的查核動作——
敏感度分析的價值不在算出數字，而在把「該去確認什麼」變成一張具體的待辦清單。
注意：各變數獨立計算，未考慮同時發生。真要看最壞情況，請到「情境比較」頁看保守情境。</t>
  </si>
  <si>
    <r>
      <rPr>
        <b val="true"/>
        <sz val="15"/>
        <color rgb="FF1F3864"/>
        <rFont val="Noto Sans CJK SC"/>
        <family val="2"/>
      </rPr>
      <t xml:space="preserve">情境比較｜</t>
    </r>
    <r>
      <rPr>
        <b val="true"/>
        <sz val="15"/>
        <color rgb="FF1F3864"/>
        <rFont val="Arial"/>
        <family val="0"/>
        <charset val="1"/>
      </rPr>
      <t xml:space="preserve">Scenarios</t>
    </r>
    <r>
      <rPr>
        <b val="true"/>
        <sz val="15"/>
        <color rgb="FF1F3864"/>
        <rFont val="Noto Sans CJK SC"/>
        <family val="2"/>
      </rPr>
      <t xml:space="preserve">（同時出錯的時候，還撐得住嗎）</t>
    </r>
  </si>
  <si>
    <t xml:space="preserve">❓這頁在回答：保守情境下毛利率剩多少？還在走人價之上嗎？</t>
  </si>
  <si>
    <t xml:space="preserve">項目</t>
  </si>
  <si>
    <t xml:space="preserve">保守情境</t>
  </si>
  <si>
    <t xml:space="preserve">基準情境</t>
  </si>
  <si>
    <t xml:space="preserve">樂觀情境</t>
  </si>
  <si>
    <t xml:space="preserve">說明</t>
  </si>
  <si>
    <t xml:space="preserve">進口設備成本變動</t>
  </si>
  <si>
    <t xml:space="preserve">原廠報價與規格變更的幅度</t>
  </si>
  <si>
    <t xml:space="preserve">在地成本變動（含匯率）</t>
  </si>
  <si>
    <r>
      <rPr>
        <sz val="9"/>
        <color rgb="FF6B7280"/>
        <rFont val="Noto Sans CJK SC"/>
        <family val="2"/>
      </rPr>
      <t xml:space="preserve">越南盾貶值會推高以</t>
    </r>
    <r>
      <rPr>
        <sz val="9"/>
        <color rgb="FF6B7280"/>
        <rFont val="Arial"/>
        <family val="0"/>
        <charset val="1"/>
      </rPr>
      <t xml:space="preserve">USD</t>
    </r>
    <r>
      <rPr>
        <sz val="9"/>
        <color rgb="FF6B7280"/>
        <rFont val="Noto Sans CJK SC"/>
        <family val="2"/>
      </rPr>
      <t xml:space="preserve">計的在地成本</t>
    </r>
  </si>
  <si>
    <t xml:space="preserve">額外保固／延誤成本（占報價）</t>
  </si>
  <si>
    <t xml:space="preserve">工期延誤與保固索賠的合計衝擊</t>
  </si>
  <si>
    <r>
      <rPr>
        <sz val="10"/>
        <rFont val="Noto Sans CJK SC"/>
        <family val="2"/>
      </rPr>
      <t xml:space="preserve">調整後直接成本（千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</si>
  <si>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毛利額（千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</si>
  <si>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該情境下的走人價（千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</si>
  <si>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r>
      <rPr>
        <sz val="9"/>
        <color rgb="FF6B7280"/>
        <rFont val="Noto Sans CJK SC"/>
        <family val="2"/>
      </rPr>
      <t xml:space="preserve">怎麼用：先看「保守情境」那一欄的判定。如果保守情境就已經是「✗ 應退出」，代表這個報價沒有容錯空間——
要嘛提高報價，要嘛把風險透過合約條款移轉出去，要嘛就不要投。
保守情境的假設不是悲觀，是「合理會發生的壞事都發生」：原廠漲價 </t>
    </r>
    <r>
      <rPr>
        <sz val="9"/>
        <color rgb="FF6B7280"/>
        <rFont val="Arial"/>
        <family val="0"/>
        <charset val="1"/>
      </rPr>
      <t xml:space="preserve">10%</t>
    </r>
    <r>
      <rPr>
        <sz val="9"/>
        <color rgb="FF6B7280"/>
        <rFont val="Noto Sans CJK SC"/>
        <family val="2"/>
      </rPr>
      <t xml:space="preserve">、越南盾貶 </t>
    </r>
    <r>
      <rPr>
        <sz val="9"/>
        <color rgb="FF6B7280"/>
        <rFont val="Arial"/>
        <family val="0"/>
        <charset val="1"/>
      </rPr>
      <t xml:space="preserve">5%</t>
    </r>
    <r>
      <rPr>
        <sz val="9"/>
        <color rgb="FF6B7280"/>
        <rFont val="Noto Sans CJK SC"/>
        <family val="2"/>
      </rPr>
      <t xml:space="preserve">、工程延誤加保固超支 </t>
    </r>
    <r>
      <rPr>
        <sz val="9"/>
        <color rgb="FF6B7280"/>
        <rFont val="Arial"/>
        <family val="0"/>
        <charset val="1"/>
      </rPr>
      <t xml:space="preserve">6%</t>
    </r>
    <r>
      <rPr>
        <sz val="9"/>
        <color rgb="FF6B7280"/>
        <rFont val="Noto Sans CJK SC"/>
        <family val="2"/>
      </rPr>
      <t xml:space="preserve">。
首次進入越南市場的案子，建議直接用保守情境當決策依據，基準情境當內部目標。</t>
    </r>
  </si>
  <si>
    <r>
      <rPr>
        <b val="true"/>
        <sz val="15"/>
        <color rgb="FF1F3864"/>
        <rFont val="Noto Sans CJK SC"/>
        <family val="2"/>
      </rPr>
      <t xml:space="preserve">假設來源｜</t>
    </r>
    <r>
      <rPr>
        <b val="true"/>
        <sz val="15"/>
        <color rgb="FF1F3864"/>
        <rFont val="Arial"/>
        <family val="0"/>
        <charset val="1"/>
      </rPr>
      <t xml:space="preserve">Assumptions</t>
    </r>
    <r>
      <rPr>
        <b val="true"/>
        <sz val="15"/>
        <color rgb="FF1F3864"/>
        <rFont val="Noto Sans CJK SC"/>
        <family val="2"/>
      </rPr>
      <t xml:space="preserve">（每個數字從哪來、誰說的、什麼時候會過期）</t>
    </r>
  </si>
  <si>
    <t xml:space="preserve">❓這頁在回答：這份試算可信嗎？哪些數字已經該重新確認了？　★ 情報有半衰期，過期的假設比沒有假設更危險</t>
  </si>
  <si>
    <t xml:space="preserve">採用值</t>
  </si>
  <si>
    <t xml:space="preserve">來源／依據</t>
  </si>
  <si>
    <t xml:space="preserve">取得日</t>
  </si>
  <si>
    <t xml:space="preserve">有效期限</t>
  </si>
  <si>
    <t xml:space="preserve">信心</t>
  </si>
  <si>
    <t xml:space="preserve">複核負責人</t>
  </si>
  <si>
    <t xml:space="preserve">備註</t>
  </si>
  <si>
    <t xml:space="preserve">進口關稅率</t>
  </si>
  <si>
    <t xml:space="preserve">8%</t>
  </si>
  <si>
    <r>
      <rPr>
        <sz val="10"/>
        <rFont val="Noto Sans CJK SC"/>
        <family val="2"/>
      </rPr>
      <t xml:space="preserve">越南海關稅則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版，同類設備級距</t>
    </r>
  </si>
  <si>
    <t xml:space="preserve">2026-07-20</t>
  </si>
  <si>
    <t xml:space="preserve">2026-12-31</t>
  </si>
  <si>
    <t xml:space="preserve">B</t>
  </si>
  <si>
    <t xml:space="preserve">—</t>
  </si>
  <si>
    <r>
      <rPr>
        <sz val="10"/>
        <rFont val="Noto Sans CJK SC"/>
        <family val="2"/>
      </rPr>
      <t xml:space="preserve">★ 需逐項 </t>
    </r>
    <r>
      <rPr>
        <sz val="10"/>
        <rFont val="Arial"/>
        <family val="0"/>
        <charset val="1"/>
      </rPr>
      <t xml:space="preserve">HS Code </t>
    </r>
    <r>
      <rPr>
        <sz val="10"/>
        <rFont val="Noto Sans CJK SC"/>
        <family val="2"/>
      </rPr>
      <t xml:space="preserve">取得預先歸類確認</t>
    </r>
  </si>
  <si>
    <r>
      <rPr>
        <sz val="10"/>
        <rFont val="Arial"/>
        <family val="0"/>
        <charset val="1"/>
      </rPr>
      <t xml:space="preserve">VND/USD </t>
    </r>
    <r>
      <rPr>
        <sz val="10"/>
        <rFont val="Noto Sans CJK SC"/>
        <family val="2"/>
      </rPr>
      <t xml:space="preserve">匯率</t>
    </r>
  </si>
  <si>
    <t xml:space="preserve">25,400</t>
  </si>
  <si>
    <t xml:space="preserve">越南國家銀行中心匯率</t>
  </si>
  <si>
    <t xml:space="preserve">2026-08-15</t>
  </si>
  <si>
    <t xml:space="preserve">2026-09-15</t>
  </si>
  <si>
    <t xml:space="preserve">A</t>
  </si>
  <si>
    <t xml:space="preserve">匯率頁面每日更新，投標前重取</t>
  </si>
  <si>
    <t xml:space="preserve">原廠設備報價</t>
  </si>
  <si>
    <t xml:space="preserve">見成本堆疊</t>
  </si>
  <si>
    <t xml:space="preserve">原廠正式報價單</t>
  </si>
  <si>
    <t xml:space="preserve">2026-07-15</t>
  </si>
  <si>
    <t xml:space="preserve">2026-10-15</t>
  </si>
  <si>
    <t xml:space="preserve">★ 報價有效期須涵蓋決標日，否則要求展延</t>
  </si>
  <si>
    <t xml:space="preserve">在地工程單價</t>
  </si>
  <si>
    <r>
      <rPr>
        <sz val="10"/>
        <rFont val="Noto Sans CJK SC"/>
        <family val="2"/>
      </rPr>
      <t xml:space="preserve">在地夥伴 </t>
    </r>
    <r>
      <rPr>
        <sz val="10"/>
        <rFont val="Arial"/>
        <family val="0"/>
        <charset val="1"/>
      </rPr>
      <t xml:space="preserve">P-07 </t>
    </r>
    <r>
      <rPr>
        <sz val="10"/>
        <rFont val="Noto Sans CJK SC"/>
        <family val="2"/>
      </rPr>
      <t xml:space="preserve">口頭估算</t>
    </r>
  </si>
  <si>
    <t xml:space="preserve">2026-08-01</t>
  </si>
  <si>
    <t xml:space="preserve">2026-10-01</t>
  </si>
  <si>
    <t xml:space="preserve">C</t>
  </si>
  <si>
    <t xml:space="preserve">★ 信心低——需取得書面報價後更新</t>
  </si>
  <si>
    <t xml:space="preserve">保固準備率</t>
  </si>
  <si>
    <t xml:space="preserve">3%</t>
  </si>
  <si>
    <t xml:space="preserve">過往東南亞專案經驗值</t>
  </si>
  <si>
    <t xml:space="preserve">越南電網品質較差，建議偏保守</t>
  </si>
  <si>
    <t xml:space="preserve">30%</t>
  </si>
  <si>
    <t xml:space="preserve">標書資格文件</t>
  </si>
  <si>
    <t xml:space="preserve">2026-08-10</t>
  </si>
  <si>
    <t xml:space="preserve">依標書</t>
  </si>
  <si>
    <t xml:space="preserve">須確認以金額或工項計算</t>
  </si>
  <si>
    <t xml:space="preserve">付款條件</t>
  </si>
  <si>
    <t xml:space="preserve">見付款條件頁</t>
  </si>
  <si>
    <t xml:space="preserve">標書草案付款辦法</t>
  </si>
  <si>
    <t xml:space="preserve">正式標書可能調整，決標前複核</t>
  </si>
  <si>
    <r>
      <rPr>
        <sz val="9"/>
        <color rgb="FF6B7280"/>
        <rFont val="Noto Sans CJK SC"/>
        <family val="2"/>
      </rPr>
      <t xml:space="preserve">信心等級：</t>
    </r>
    <r>
      <rPr>
        <sz val="9"/>
        <color rgb="FF6B7280"/>
        <rFont val="Arial"/>
        <family val="0"/>
        <charset val="1"/>
      </rPr>
      <t xml:space="preserve">A</t>
    </r>
    <r>
      <rPr>
        <sz val="9"/>
        <color rgb="FF6B7280"/>
        <rFont val="Noto Sans CJK SC"/>
        <family val="2"/>
      </rPr>
      <t xml:space="preserve">＝有書面正式來源　</t>
    </r>
    <r>
      <rPr>
        <sz val="9"/>
        <color rgb="FF6B7280"/>
        <rFont val="Arial"/>
        <family val="0"/>
        <charset val="1"/>
      </rPr>
      <t xml:space="preserve">B</t>
    </r>
    <r>
      <rPr>
        <sz val="9"/>
        <color rgb="FF6B7280"/>
        <rFont val="Noto Sans CJK SC"/>
        <family val="2"/>
      </rPr>
      <t xml:space="preserve">＝有依據但需複核　</t>
    </r>
    <r>
      <rPr>
        <sz val="9"/>
        <color rgb="FF6B7280"/>
        <rFont val="Arial"/>
        <family val="0"/>
        <charset val="1"/>
      </rPr>
      <t xml:space="preserve">C</t>
    </r>
    <r>
      <rPr>
        <sz val="9"/>
        <color rgb="FF6B7280"/>
        <rFont val="Noto Sans CJK SC"/>
        <family val="2"/>
      </rPr>
      <t xml:space="preserve">＝估算值，尚未證實（</t>
    </r>
    <r>
      <rPr>
        <sz val="9"/>
        <color rgb="FF6B7280"/>
        <rFont val="Arial"/>
        <family val="0"/>
        <charset val="1"/>
      </rPr>
      <t xml:space="preserve">C </t>
    </r>
    <r>
      <rPr>
        <sz val="9"/>
        <color rgb="FF6B7280"/>
        <rFont val="Noto Sans CJK SC"/>
        <family val="2"/>
      </rPr>
      <t xml:space="preserve">級項目若金額占比高，投標前必須升級為 </t>
    </r>
    <r>
      <rPr>
        <sz val="9"/>
        <color rgb="FF6B7280"/>
        <rFont val="Arial"/>
        <family val="0"/>
        <charset val="1"/>
      </rPr>
      <t xml:space="preserve">A </t>
    </r>
    <r>
      <rPr>
        <sz val="9"/>
        <color rgb="FF6B7280"/>
        <rFont val="Noto Sans CJK SC"/>
        <family val="2"/>
      </rPr>
      <t xml:space="preserve">或 </t>
    </r>
    <r>
      <rPr>
        <sz val="9"/>
        <color rgb="FF6B7280"/>
        <rFont val="Arial"/>
        <family val="0"/>
        <charset val="1"/>
      </rPr>
      <t xml:space="preserve">B</t>
    </r>
    <r>
      <rPr>
        <sz val="9"/>
        <color rgb="FF6B7280"/>
        <rFont val="Noto Sans CJK SC"/>
        <family val="2"/>
      </rPr>
      <t xml:space="preserve">）</t>
    </r>
  </si>
  <si>
    <t xml:space="preserve">成本類別</t>
  </si>
  <si>
    <t xml:space="preserve">幣別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</si>
</sst>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.0%"/>
    <numFmt numFmtId="167" formatCode="@"/>
    <numFmt numFmtId="168" formatCode="#,##0.00"/>
    <numFmt numFmtId="169" formatCode="#,##0"/>
    <numFmt numFmtId="170" formatCode="0%"/>
    <numFmt numFmtId="171" formatCode="0.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sz val="10"/>
      <color rgb="FF6B7280"/>
      <name val="Arial"/>
      <family val="0"/>
      <charset val="1"/>
    </font>
    <font>
      <sz val="10"/>
      <color rgb="FF6B728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9"/>
      <name val="Noto Sans CJK SC"/>
      <family val="2"/>
    </font>
    <font>
      <sz val="9"/>
      <color rgb="FF55607A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9"/>
      <color rgb="FF6B7280"/>
      <name val="Noto Sans CJK SC"/>
      <family val="2"/>
    </font>
    <font>
      <sz val="10"/>
      <color rgb="FF000000"/>
      <name val="Arial"/>
      <family val="0"/>
      <charset val="1"/>
    </font>
    <font>
      <sz val="9"/>
      <color rgb="FF6B7280"/>
      <name val="Arial"/>
      <family val="0"/>
      <charset val="1"/>
    </font>
    <font>
      <sz val="10"/>
      <color rgb="FF000000"/>
      <name val="Noto Sans CJK SC"/>
      <family val="2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9E3"/>
        <bgColor rgb="FFFFFFFF"/>
      </patternFill>
    </fill>
    <fill>
      <patternFill patternType="solid">
        <fgColor rgb="FFF1F4F9"/>
        <bgColor rgb="FFE8F0E3"/>
      </patternFill>
    </fill>
    <fill>
      <patternFill patternType="solid">
        <fgColor rgb="FFE8F0E3"/>
        <bgColor rgb="FFF1F4F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5607A"/>
      <rgbColor rgb="FF9999FF"/>
      <rgbColor rgb="FF993366"/>
      <rgbColor rgb="FFFFF9E3"/>
      <rgbColor rgb="FFF1F4F9"/>
      <rgbColor rgb="FF660066"/>
      <rgbColor rgb="FFFF8080"/>
      <rgbColor rgb="FF0066CC"/>
      <rgbColor rgb="FFD9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60" hidden="false" customHeight="true" outlineLevel="0" collapsed="false">
      <c r="B5" s="4" t="s">
        <v>3</v>
      </c>
    </row>
    <row r="7" customFormat="false" ht="15" hidden="false" customHeight="false" outlineLevel="0" collapsed="false">
      <c r="B7" s="3" t="s">
        <v>4</v>
      </c>
    </row>
    <row r="8" customFormat="false" ht="90" hidden="false" customHeight="true" outlineLevel="0" collapsed="false">
      <c r="B8" s="5" t="s">
        <v>5</v>
      </c>
    </row>
    <row r="10" customFormat="false" ht="15" hidden="false" customHeight="false" outlineLevel="0" collapsed="false">
      <c r="B10" s="3" t="s">
        <v>6</v>
      </c>
    </row>
    <row r="11" customFormat="false" ht="60" hidden="false" customHeight="true" outlineLevel="0" collapsed="false">
      <c r="B11" s="5" t="s">
        <v>7</v>
      </c>
    </row>
    <row r="13" customFormat="false" ht="15" hidden="false" customHeight="false" outlineLevel="0" collapsed="false">
      <c r="B13" s="3" t="s">
        <v>8</v>
      </c>
    </row>
    <row r="14" customFormat="false" ht="60" hidden="false" customHeight="true" outlineLevel="0" collapsed="false">
      <c r="B14" s="5" t="s">
        <v>9</v>
      </c>
    </row>
    <row r="16" customFormat="false" ht="15" hidden="false" customHeight="false" outlineLevel="0" collapsed="false">
      <c r="B16" s="3" t="s">
        <v>10</v>
      </c>
    </row>
    <row r="17" customFormat="false" ht="45" hidden="false" customHeight="true" outlineLevel="0" collapsed="false">
      <c r="B17" s="5" t="s">
        <v>11</v>
      </c>
    </row>
    <row r="19" customFormat="false" ht="15" hidden="false" customHeight="false" outlineLevel="0" collapsed="false">
      <c r="B19" s="3" t="s">
        <v>12</v>
      </c>
    </row>
    <row r="20" customFormat="false" ht="60" hidden="false" customHeight="true" outlineLevel="0" collapsed="false">
      <c r="B20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8" min="4" style="0" width="13"/>
  </cols>
  <sheetData>
    <row r="1" customFormat="false" ht="23.1" hidden="false" customHeight="false" outlineLevel="0" collapsed="false">
      <c r="A1" s="6" t="s">
        <v>14</v>
      </c>
    </row>
    <row r="2" customFormat="false" ht="15" hidden="false" customHeight="false" outlineLevel="0" collapsed="false">
      <c r="A2" s="7" t="s">
        <v>15</v>
      </c>
    </row>
    <row r="3" customFormat="false" ht="15" hidden="false" customHeight="false" outlineLevel="0" collapsed="false">
      <c r="A3" s="3" t="s">
        <v>16</v>
      </c>
      <c r="B3" s="8" t="s">
        <v>17</v>
      </c>
      <c r="C3" s="9" t="s">
        <v>18</v>
      </c>
      <c r="D3" s="10" t="s">
        <v>19</v>
      </c>
    </row>
    <row r="5" customFormat="false" ht="15" hidden="false" customHeight="false" outlineLevel="0" collapsed="false">
      <c r="B5" s="11" t="s">
        <v>20</v>
      </c>
    </row>
    <row r="6" customFormat="false" ht="15" hidden="false" customHeight="false" outlineLevel="0" collapsed="false">
      <c r="B6" s="3" t="s">
        <v>21</v>
      </c>
      <c r="C6" s="12" t="n">
        <v>3680</v>
      </c>
      <c r="D6" s="13" t="s">
        <v>22</v>
      </c>
      <c r="E6" s="13"/>
      <c r="F6" s="13"/>
      <c r="G6" s="13"/>
      <c r="H6" s="13"/>
    </row>
    <row r="8" customFormat="false" ht="15" hidden="false" customHeight="false" outlineLevel="0" collapsed="false">
      <c r="B8" s="11" t="s">
        <v>23</v>
      </c>
    </row>
    <row r="9" customFormat="false" ht="15" hidden="false" customHeight="false" outlineLevel="0" collapsed="false">
      <c r="B9" s="14" t="s">
        <v>24</v>
      </c>
      <c r="C9" s="15" t="n">
        <f aca="false">02_成本堆疊_CostBuildup!$H$45</f>
        <v>2440.58267716535</v>
      </c>
      <c r="D9" s="13" t="s">
        <v>25</v>
      </c>
      <c r="E9" s="13"/>
      <c r="F9" s="13"/>
      <c r="G9" s="13"/>
      <c r="H9" s="13"/>
    </row>
    <row r="10" customFormat="false" ht="15" hidden="false" customHeight="false" outlineLevel="0" collapsed="false">
      <c r="B10" s="14" t="s">
        <v>26</v>
      </c>
      <c r="C10" s="15" t="n">
        <f aca="false">$C$6*01_專案設定_Setup!$C$24</f>
        <v>220.8</v>
      </c>
      <c r="D10" s="13" t="s">
        <v>27</v>
      </c>
      <c r="E10" s="13"/>
      <c r="F10" s="13"/>
      <c r="G10" s="13"/>
      <c r="H10" s="13"/>
    </row>
    <row r="11" customFormat="false" ht="15" hidden="false" customHeight="false" outlineLevel="0" collapsed="false">
      <c r="B11" s="14" t="s">
        <v>28</v>
      </c>
      <c r="C11" s="15" t="n">
        <f aca="false">$C$6*01_專案設定_Setup!$C$25</f>
        <v>110.4</v>
      </c>
      <c r="D11" s="13" t="s">
        <v>27</v>
      </c>
      <c r="E11" s="13"/>
      <c r="F11" s="13"/>
      <c r="G11" s="13"/>
      <c r="H11" s="13"/>
    </row>
    <row r="12" customFormat="false" ht="15" hidden="false" customHeight="false" outlineLevel="0" collapsed="false">
      <c r="B12" s="14" t="s">
        <v>29</v>
      </c>
      <c r="C12" s="15" t="n">
        <f aca="false">02_成本堆疊_CostBuildup!$H$45*01_專案設定_Setup!$C$26</f>
        <v>122.029133858268</v>
      </c>
      <c r="D12" s="13" t="s">
        <v>30</v>
      </c>
      <c r="E12" s="13"/>
      <c r="F12" s="13"/>
      <c r="G12" s="13"/>
      <c r="H12" s="13"/>
    </row>
    <row r="13" customFormat="false" ht="15" hidden="false" customHeight="false" outlineLevel="0" collapsed="false">
      <c r="B13" s="3" t="s">
        <v>31</v>
      </c>
      <c r="C13" s="16" t="n">
        <f aca="false">$C$9+$C$10+$C$11+$C$12</f>
        <v>2893.81181102362</v>
      </c>
    </row>
    <row r="15" customFormat="false" ht="15" hidden="false" customHeight="false" outlineLevel="0" collapsed="false">
      <c r="B15" s="11" t="s">
        <v>32</v>
      </c>
    </row>
    <row r="16" customFormat="false" ht="15" hidden="false" customHeight="false" outlineLevel="0" collapsed="false">
      <c r="B16" s="3" t="s">
        <v>33</v>
      </c>
      <c r="C16" s="16" t="n">
        <f aca="false">$C$6-$C$13</f>
        <v>786.188188976378</v>
      </c>
    </row>
    <row r="17" customFormat="false" ht="15" hidden="false" customHeight="false" outlineLevel="0" collapsed="false">
      <c r="B17" s="3" t="s">
        <v>34</v>
      </c>
      <c r="C17" s="17" t="n">
        <f aca="false">IFERROR($C$16/$C$6,"")</f>
        <v>0.213638094830537</v>
      </c>
      <c r="D17" s="13" t="s">
        <v>35</v>
      </c>
      <c r="E17" s="13"/>
      <c r="F17" s="13"/>
      <c r="G17" s="13"/>
      <c r="H17" s="13"/>
    </row>
    <row r="18" customFormat="false" ht="15" hidden="false" customHeight="false" outlineLevel="0" collapsed="false">
      <c r="B18" s="14" t="s">
        <v>36</v>
      </c>
      <c r="C18" s="15" t="n">
        <f aca="false">04_付款條件_PaymentTerms!$D$34</f>
        <v>98.469897954016</v>
      </c>
      <c r="D18" s="13" t="s">
        <v>37</v>
      </c>
      <c r="E18" s="13"/>
      <c r="F18" s="13"/>
      <c r="G18" s="13"/>
      <c r="H18" s="13"/>
    </row>
    <row r="19" customFormat="false" ht="15" hidden="false" customHeight="false" outlineLevel="0" collapsed="false">
      <c r="B19" s="3" t="s">
        <v>38</v>
      </c>
      <c r="C19" s="16" t="n">
        <f aca="false">$C$16-$C$18</f>
        <v>687.718291022362</v>
      </c>
      <c r="D19" s="13" t="s">
        <v>39</v>
      </c>
      <c r="E19" s="13"/>
      <c r="F19" s="13"/>
      <c r="G19" s="13"/>
      <c r="H19" s="13"/>
    </row>
    <row r="20" customFormat="false" ht="15" hidden="false" customHeight="false" outlineLevel="0" collapsed="false">
      <c r="B20" s="3" t="s">
        <v>40</v>
      </c>
      <c r="C20" s="18" t="n">
        <f aca="false">IFERROR($C$19/$C$6,"")</f>
        <v>0.186879970386511</v>
      </c>
    </row>
    <row r="22" customFormat="false" ht="15" hidden="false" customHeight="false" outlineLevel="0" collapsed="false">
      <c r="B22" s="11" t="s">
        <v>41</v>
      </c>
    </row>
    <row r="23" customFormat="false" ht="15" hidden="false" customHeight="false" outlineLevel="0" collapsed="false">
      <c r="B23" s="3" t="s">
        <v>42</v>
      </c>
      <c r="C23" s="12" t="n">
        <f aca="false">IFERROR(($C$9+$C$12)/(1-01_專案設定_Setup!$C$24-01_專案設定_Setup!$C$25-01_專案設定_Setup!$C$32),"")</f>
        <v>3243.81241901724</v>
      </c>
      <c r="D23" s="13" t="s">
        <v>43</v>
      </c>
      <c r="E23" s="13"/>
      <c r="F23" s="13"/>
      <c r="G23" s="13"/>
      <c r="H23" s="13"/>
    </row>
    <row r="24" customFormat="false" ht="15" hidden="false" customHeight="false" outlineLevel="0" collapsed="false">
      <c r="B24" s="14" t="s">
        <v>44</v>
      </c>
      <c r="C24" s="15" t="n">
        <f aca="false">IFERROR(($C$9+$C$12)/(1-01_專案設定_Setup!$C$24-01_專案設定_Setup!$C$25-01_專案設定_Setup!$C$33),"")</f>
        <v>3713.9301609038</v>
      </c>
      <c r="D24" s="13" t="s">
        <v>45</v>
      </c>
      <c r="E24" s="13"/>
      <c r="F24" s="13"/>
      <c r="G24" s="13"/>
      <c r="H24" s="13"/>
    </row>
    <row r="25" customFormat="false" ht="15" hidden="false" customHeight="false" outlineLevel="0" collapsed="false">
      <c r="B25" s="3" t="s">
        <v>46</v>
      </c>
      <c r="C25" s="16" t="n">
        <f aca="false">IFERROR($C$6-$C$23,"")</f>
        <v>436.187580982757</v>
      </c>
      <c r="D25" s="13" t="s">
        <v>47</v>
      </c>
      <c r="E25" s="13"/>
      <c r="F25" s="13"/>
      <c r="G25" s="13"/>
      <c r="H25" s="13"/>
    </row>
    <row r="26" customFormat="false" ht="15" hidden="false" customHeight="false" outlineLevel="0" collapsed="false">
      <c r="B26" s="3" t="s">
        <v>48</v>
      </c>
      <c r="C26" s="18" t="n">
        <f aca="false">IFERROR(($C$6-$C$23)/$C$6,"")</f>
        <v>0.118529233962706</v>
      </c>
    </row>
    <row r="27" customFormat="false" ht="15" hidden="false" customHeight="false" outlineLevel="0" collapsed="false">
      <c r="B27" s="3" t="s">
        <v>49</v>
      </c>
      <c r="C27" s="19" t="str">
        <f aca="false">IF($C$6="","",IF($C$6&lt;$C$23,"✗ 低於走人價，應退出",IF($C$17&lt;01_專案設定_Setup!$C$33,"△ 可接但低於目標毛利","✓ 達目標毛利")))</f>
        <v>△ 可接但低於目標毛利</v>
      </c>
    </row>
    <row r="29" customFormat="false" ht="15" hidden="false" customHeight="false" outlineLevel="0" collapsed="false">
      <c r="B29" s="11" t="s">
        <v>50</v>
      </c>
    </row>
    <row r="30" customFormat="false" ht="15" hidden="false" customHeight="false" outlineLevel="0" collapsed="false">
      <c r="B30" s="3" t="s">
        <v>51</v>
      </c>
      <c r="C30" s="16" t="n">
        <f aca="false">04_付款條件_PaymentTerms!$D$31</f>
        <v>668.291338582677</v>
      </c>
      <c r="D30" s="13" t="s">
        <v>52</v>
      </c>
      <c r="E30" s="13"/>
      <c r="F30" s="13"/>
      <c r="G30" s="13"/>
      <c r="H30" s="13"/>
    </row>
    <row r="31" customFormat="false" ht="15" hidden="false" customHeight="false" outlineLevel="0" collapsed="false">
      <c r="B31" s="14" t="s">
        <v>53</v>
      </c>
      <c r="C31" s="20" t="n">
        <f aca="false">IFERROR($C$30/$C$6,"")</f>
        <v>0.181600907223554</v>
      </c>
    </row>
    <row r="33" customFormat="false" ht="15" hidden="false" customHeight="true" outlineLevel="0" collapsed="false">
      <c r="B33" s="21" t="s">
        <v>54</v>
      </c>
      <c r="C33" s="21"/>
      <c r="D33" s="21"/>
      <c r="E33" s="21"/>
      <c r="F33" s="21"/>
      <c r="G33" s="21"/>
      <c r="H33" s="21"/>
    </row>
    <row r="34" customFormat="false" ht="15" hidden="false" customHeight="false" outlineLevel="0" collapsed="false">
      <c r="B34" s="21"/>
      <c r="C34" s="21"/>
      <c r="D34" s="21"/>
      <c r="E34" s="21"/>
      <c r="F34" s="21"/>
      <c r="G34" s="21"/>
      <c r="H34" s="21"/>
    </row>
    <row r="35" customFormat="false" ht="15" hidden="false" customHeight="false" outlineLevel="0" collapsed="false">
      <c r="B35" s="21"/>
      <c r="C35" s="21"/>
      <c r="D35" s="21"/>
      <c r="E35" s="21"/>
      <c r="F35" s="21"/>
      <c r="G35" s="21"/>
      <c r="H35" s="21"/>
    </row>
  </sheetData>
  <mergeCells count="13">
    <mergeCell ref="D6:H6"/>
    <mergeCell ref="D9:H9"/>
    <mergeCell ref="D10:H10"/>
    <mergeCell ref="D11:H11"/>
    <mergeCell ref="D12:H12"/>
    <mergeCell ref="D17:H17"/>
    <mergeCell ref="D18:H18"/>
    <mergeCell ref="D19:H19"/>
    <mergeCell ref="D23:H23"/>
    <mergeCell ref="D24:H24"/>
    <mergeCell ref="D25:H25"/>
    <mergeCell ref="D30:H30"/>
    <mergeCell ref="B33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8" min="4" style="0" width="13"/>
  </cols>
  <sheetData>
    <row r="1" customFormat="false" ht="23.1" hidden="false" customHeight="false" outlineLevel="0" collapsed="false">
      <c r="A1" s="6" t="s">
        <v>55</v>
      </c>
    </row>
    <row r="2" customFormat="false" ht="15" hidden="false" customHeight="false" outlineLevel="0" collapsed="false">
      <c r="A2" s="7" t="s">
        <v>56</v>
      </c>
    </row>
    <row r="3" customFormat="false" ht="15" hidden="false" customHeight="false" outlineLevel="0" collapsed="false">
      <c r="A3" s="3" t="s">
        <v>16</v>
      </c>
      <c r="B3" s="8" t="s">
        <v>17</v>
      </c>
      <c r="C3" s="9" t="s">
        <v>18</v>
      </c>
      <c r="D3" s="10" t="s">
        <v>19</v>
      </c>
    </row>
    <row r="5" customFormat="false" ht="15" hidden="false" customHeight="false" outlineLevel="0" collapsed="false">
      <c r="B5" s="11" t="s">
        <v>57</v>
      </c>
    </row>
    <row r="6" customFormat="false" ht="15" hidden="false" customHeight="false" outlineLevel="0" collapsed="false">
      <c r="B6" s="14" t="s">
        <v>58</v>
      </c>
      <c r="C6" s="22" t="s">
        <v>59</v>
      </c>
    </row>
    <row r="7" customFormat="false" ht="15" hidden="false" customHeight="false" outlineLevel="0" collapsed="false">
      <c r="B7" s="14" t="s">
        <v>60</v>
      </c>
      <c r="C7" s="23" t="s">
        <v>61</v>
      </c>
    </row>
    <row r="8" customFormat="false" ht="15" hidden="false" customHeight="false" outlineLevel="0" collapsed="false">
      <c r="B8" s="14" t="s">
        <v>62</v>
      </c>
      <c r="C8" s="23" t="s">
        <v>63</v>
      </c>
    </row>
    <row r="9" customFormat="false" ht="15" hidden="false" customHeight="false" outlineLevel="0" collapsed="false">
      <c r="B9" s="14" t="s">
        <v>64</v>
      </c>
      <c r="C9" s="22" t="s">
        <v>65</v>
      </c>
    </row>
    <row r="10" customFormat="false" ht="15" hidden="false" customHeight="false" outlineLevel="0" collapsed="false">
      <c r="B10" s="14" t="s">
        <v>66</v>
      </c>
      <c r="C10" s="22" t="s">
        <v>67</v>
      </c>
      <c r="D10" s="13" t="s">
        <v>68</v>
      </c>
      <c r="E10" s="13"/>
      <c r="F10" s="13"/>
      <c r="G10" s="13"/>
      <c r="H10" s="13"/>
    </row>
    <row r="12" customFormat="false" ht="17.15" hidden="false" customHeight="false" outlineLevel="0" collapsed="false">
      <c r="B12" s="11" t="s">
        <v>69</v>
      </c>
    </row>
    <row r="13" customFormat="false" ht="15" hidden="false" customHeight="false" outlineLevel="0" collapsed="false">
      <c r="B13" s="24" t="s">
        <v>67</v>
      </c>
      <c r="C13" s="25" t="n">
        <v>1</v>
      </c>
      <c r="D13" s="13" t="s">
        <v>70</v>
      </c>
      <c r="E13" s="13"/>
      <c r="F13" s="13"/>
      <c r="G13" s="13"/>
      <c r="H13" s="13"/>
    </row>
    <row r="14" customFormat="false" ht="15" hidden="false" customHeight="false" outlineLevel="0" collapsed="false">
      <c r="B14" s="24" t="s">
        <v>71</v>
      </c>
      <c r="C14" s="26" t="n">
        <v>25400</v>
      </c>
      <c r="D14" s="13" t="s">
        <v>72</v>
      </c>
      <c r="E14" s="13"/>
      <c r="F14" s="13"/>
      <c r="G14" s="13"/>
      <c r="H14" s="13"/>
    </row>
    <row r="15" customFormat="false" ht="15" hidden="false" customHeight="false" outlineLevel="0" collapsed="false">
      <c r="B15" s="24" t="s">
        <v>73</v>
      </c>
      <c r="C15" s="27" t="n">
        <v>32.5</v>
      </c>
      <c r="D15" s="13" t="s">
        <v>74</v>
      </c>
      <c r="E15" s="13"/>
      <c r="F15" s="13"/>
      <c r="G15" s="13"/>
      <c r="H15" s="13"/>
    </row>
    <row r="17" customFormat="false" ht="15" hidden="false" customHeight="false" outlineLevel="0" collapsed="false">
      <c r="B17" s="11" t="s">
        <v>75</v>
      </c>
    </row>
    <row r="18" customFormat="false" ht="15" hidden="false" customHeight="false" outlineLevel="0" collapsed="false">
      <c r="B18" s="14" t="s">
        <v>76</v>
      </c>
      <c r="C18" s="28" t="n">
        <v>0.08</v>
      </c>
      <c r="D18" s="13" t="s">
        <v>77</v>
      </c>
      <c r="E18" s="13"/>
      <c r="F18" s="13"/>
      <c r="G18" s="13"/>
      <c r="H18" s="13"/>
    </row>
    <row r="19" customFormat="false" ht="15" hidden="false" customHeight="false" outlineLevel="0" collapsed="false">
      <c r="B19" s="24" t="s">
        <v>78</v>
      </c>
      <c r="C19" s="28" t="n">
        <v>0.1</v>
      </c>
      <c r="D19" s="13" t="s">
        <v>79</v>
      </c>
      <c r="E19" s="13"/>
      <c r="F19" s="13"/>
      <c r="G19" s="13"/>
      <c r="H19" s="13"/>
    </row>
    <row r="20" customFormat="false" ht="15" hidden="false" customHeight="false" outlineLevel="0" collapsed="false">
      <c r="B20" s="14" t="s">
        <v>80</v>
      </c>
      <c r="C20" s="28" t="n">
        <v>0.3</v>
      </c>
      <c r="D20" s="13" t="s">
        <v>81</v>
      </c>
      <c r="E20" s="13"/>
      <c r="F20" s="13"/>
      <c r="G20" s="13"/>
      <c r="H20" s="13"/>
    </row>
    <row r="22" customFormat="false" ht="15" hidden="false" customHeight="false" outlineLevel="0" collapsed="false">
      <c r="B22" s="11" t="s">
        <v>82</v>
      </c>
    </row>
    <row r="23" customFormat="false" ht="15" hidden="false" customHeight="false" outlineLevel="0" collapsed="false">
      <c r="B23" s="14" t="s">
        <v>83</v>
      </c>
      <c r="C23" s="28" t="n">
        <v>0.09</v>
      </c>
      <c r="D23" s="13" t="s">
        <v>84</v>
      </c>
      <c r="E23" s="13"/>
      <c r="F23" s="13"/>
      <c r="G23" s="13"/>
      <c r="H23" s="13"/>
    </row>
    <row r="24" customFormat="false" ht="15" hidden="false" customHeight="false" outlineLevel="0" collapsed="false">
      <c r="B24" s="14" t="s">
        <v>85</v>
      </c>
      <c r="C24" s="28" t="n">
        <v>0.06</v>
      </c>
      <c r="D24" s="13" t="s">
        <v>86</v>
      </c>
      <c r="E24" s="13"/>
      <c r="F24" s="13"/>
      <c r="G24" s="13"/>
      <c r="H24" s="13"/>
    </row>
    <row r="25" customFormat="false" ht="15" hidden="false" customHeight="false" outlineLevel="0" collapsed="false">
      <c r="B25" s="14" t="s">
        <v>87</v>
      </c>
      <c r="C25" s="28" t="n">
        <v>0.03</v>
      </c>
      <c r="D25" s="13" t="s">
        <v>88</v>
      </c>
      <c r="E25" s="13"/>
      <c r="F25" s="13"/>
      <c r="G25" s="13"/>
      <c r="H25" s="13"/>
    </row>
    <row r="26" customFormat="false" ht="15" hidden="false" customHeight="false" outlineLevel="0" collapsed="false">
      <c r="B26" s="14" t="s">
        <v>89</v>
      </c>
      <c r="C26" s="28" t="n">
        <v>0.05</v>
      </c>
      <c r="D26" s="13" t="s">
        <v>90</v>
      </c>
      <c r="E26" s="13"/>
      <c r="F26" s="13"/>
      <c r="G26" s="13"/>
      <c r="H26" s="13"/>
    </row>
    <row r="27" customFormat="false" ht="15" hidden="false" customHeight="false" outlineLevel="0" collapsed="false">
      <c r="B27" s="14" t="s">
        <v>91</v>
      </c>
      <c r="C27" s="28" t="n">
        <v>0.1</v>
      </c>
      <c r="D27" s="13" t="s">
        <v>92</v>
      </c>
      <c r="E27" s="13"/>
      <c r="F27" s="13"/>
      <c r="G27" s="13"/>
      <c r="H27" s="13"/>
    </row>
    <row r="28" customFormat="false" ht="15" hidden="false" customHeight="false" outlineLevel="0" collapsed="false">
      <c r="B28" s="14" t="s">
        <v>93</v>
      </c>
      <c r="C28" s="28" t="n">
        <v>0.025</v>
      </c>
      <c r="D28" s="13" t="s">
        <v>94</v>
      </c>
      <c r="E28" s="13"/>
      <c r="F28" s="13"/>
      <c r="G28" s="13"/>
      <c r="H28" s="13"/>
    </row>
    <row r="29" customFormat="false" ht="15" hidden="false" customHeight="false" outlineLevel="0" collapsed="false">
      <c r="B29" s="14" t="s">
        <v>95</v>
      </c>
      <c r="C29" s="29" t="n">
        <v>3</v>
      </c>
      <c r="D29" s="13" t="s">
        <v>96</v>
      </c>
      <c r="E29" s="13"/>
      <c r="F29" s="13"/>
      <c r="G29" s="13"/>
      <c r="H29" s="13"/>
    </row>
    <row r="31" customFormat="false" ht="15" hidden="false" customHeight="false" outlineLevel="0" collapsed="false">
      <c r="B31" s="11" t="s">
        <v>97</v>
      </c>
    </row>
    <row r="32" customFormat="false" ht="15" hidden="false" customHeight="false" outlineLevel="0" collapsed="false">
      <c r="B32" s="3" t="s">
        <v>98</v>
      </c>
      <c r="C32" s="17" t="n">
        <v>0.12</v>
      </c>
      <c r="D32" s="13" t="s">
        <v>99</v>
      </c>
      <c r="E32" s="13"/>
      <c r="F32" s="13"/>
      <c r="G32" s="13"/>
      <c r="H32" s="13"/>
    </row>
    <row r="33" customFormat="false" ht="15" hidden="false" customHeight="false" outlineLevel="0" collapsed="false">
      <c r="B33" s="3" t="s">
        <v>100</v>
      </c>
      <c r="C33" s="17" t="n">
        <v>0.22</v>
      </c>
      <c r="D33" s="13" t="s">
        <v>101</v>
      </c>
      <c r="E33" s="13"/>
      <c r="F33" s="13"/>
      <c r="G33" s="13"/>
      <c r="H33" s="13"/>
    </row>
    <row r="35" customFormat="false" ht="15" hidden="false" customHeight="true" outlineLevel="0" collapsed="false">
      <c r="B35" s="21" t="s">
        <v>102</v>
      </c>
      <c r="C35" s="21"/>
      <c r="D35" s="21"/>
      <c r="E35" s="21"/>
      <c r="F35" s="21"/>
      <c r="G35" s="21"/>
      <c r="H35" s="21"/>
    </row>
    <row r="36" customFormat="false" ht="15" hidden="false" customHeight="false" outlineLevel="0" collapsed="false">
      <c r="B36" s="21"/>
      <c r="C36" s="21"/>
      <c r="D36" s="21"/>
      <c r="E36" s="21"/>
      <c r="F36" s="21"/>
      <c r="G36" s="21"/>
      <c r="H36" s="21"/>
    </row>
  </sheetData>
  <mergeCells count="17">
    <mergeCell ref="D10:H10"/>
    <mergeCell ref="D13:H13"/>
    <mergeCell ref="D14:H14"/>
    <mergeCell ref="D15:H15"/>
    <mergeCell ref="D18:H18"/>
    <mergeCell ref="D19:H19"/>
    <mergeCell ref="D20:H20"/>
    <mergeCell ref="D23:H23"/>
    <mergeCell ref="D24:H24"/>
    <mergeCell ref="D25:H25"/>
    <mergeCell ref="D26:H26"/>
    <mergeCell ref="D27:H27"/>
    <mergeCell ref="D28:H28"/>
    <mergeCell ref="D29:H29"/>
    <mergeCell ref="D32:H32"/>
    <mergeCell ref="D33:H33"/>
    <mergeCell ref="B35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34"/>
  </cols>
  <sheetData>
    <row r="1" customFormat="false" ht="23.1" hidden="false" customHeight="false" outlineLevel="0" collapsed="false">
      <c r="A1" s="6" t="s">
        <v>103</v>
      </c>
    </row>
    <row r="2" customFormat="false" ht="15" hidden="false" customHeight="false" outlineLevel="0" collapsed="false">
      <c r="A2" s="7" t="s">
        <v>104</v>
      </c>
    </row>
    <row r="3" customFormat="false" ht="15" hidden="false" customHeight="false" outlineLevel="0" collapsed="false">
      <c r="A3" s="3" t="s">
        <v>16</v>
      </c>
      <c r="B3" s="8" t="s">
        <v>17</v>
      </c>
      <c r="C3" s="9" t="s">
        <v>18</v>
      </c>
      <c r="D3" s="10" t="s">
        <v>19</v>
      </c>
    </row>
    <row r="4" customFormat="false" ht="30" hidden="false" customHeight="true" outlineLevel="0" collapsed="false">
      <c r="A4" s="30" t="s">
        <v>105</v>
      </c>
      <c r="B4" s="30" t="s">
        <v>106</v>
      </c>
      <c r="C4" s="30" t="s">
        <v>107</v>
      </c>
      <c r="D4" s="30" t="s">
        <v>108</v>
      </c>
      <c r="E4" s="30" t="s">
        <v>109</v>
      </c>
      <c r="F4" s="30" t="s">
        <v>110</v>
      </c>
      <c r="G4" s="30" t="s">
        <v>111</v>
      </c>
      <c r="H4" s="30" t="s">
        <v>112</v>
      </c>
      <c r="I4" s="30" t="s">
        <v>30</v>
      </c>
      <c r="J4" s="30" t="s">
        <v>113</v>
      </c>
      <c r="K4" s="30" t="s">
        <v>114</v>
      </c>
    </row>
    <row r="5" customFormat="false" ht="15" hidden="false" customHeight="false" outlineLevel="0" collapsed="false">
      <c r="A5" s="31" t="n">
        <v>1</v>
      </c>
      <c r="B5" s="32" t="s">
        <v>115</v>
      </c>
      <c r="C5" s="33" t="s">
        <v>116</v>
      </c>
      <c r="D5" s="33" t="s">
        <v>117</v>
      </c>
      <c r="E5" s="31" t="s">
        <v>67</v>
      </c>
      <c r="F5" s="34" t="n">
        <v>420000</v>
      </c>
      <c r="G5" s="35" t="n">
        <f aca="false">IF($E5="","",IFERROR(INDEX(01_專案設定_Setup!$C$13:$C$15,MATCH($E5,01_專案設定_Setup!$B$13:$B$15,0)),""))</f>
        <v>1</v>
      </c>
      <c r="H5" s="36" t="n">
        <f aca="false">IF(OR($F5="",$G5="",$G5=0),"",$F5/$G5/1000)</f>
        <v>420</v>
      </c>
      <c r="I5" s="37" t="n">
        <f aca="false">IF($H5="","",IFERROR($H5/$H$45,""))</f>
        <v>0.172090052072243</v>
      </c>
      <c r="J5" s="33" t="s">
        <v>118</v>
      </c>
      <c r="K5" s="32" t="s">
        <v>119</v>
      </c>
    </row>
    <row r="6" customFormat="false" ht="15" hidden="false" customHeight="false" outlineLevel="0" collapsed="false">
      <c r="A6" s="31" t="n">
        <v>2</v>
      </c>
      <c r="B6" s="38" t="s">
        <v>120</v>
      </c>
      <c r="C6" s="33" t="s">
        <v>116</v>
      </c>
      <c r="D6" s="33" t="s">
        <v>117</v>
      </c>
      <c r="E6" s="31" t="s">
        <v>67</v>
      </c>
      <c r="F6" s="34" t="n">
        <v>380000</v>
      </c>
      <c r="G6" s="35" t="n">
        <f aca="false">IF($E6="","",IFERROR(INDEX(01_專案設定_Setup!$C$13:$C$15,MATCH($E6,01_專案設定_Setup!$B$13:$B$15,0)),""))</f>
        <v>1</v>
      </c>
      <c r="H6" s="36" t="n">
        <f aca="false">IF(OR($F6="",$G6="",$G6=0),"",$F6/$G6/1000)</f>
        <v>380</v>
      </c>
      <c r="I6" s="37" t="n">
        <f aca="false">IF($H6="","",IFERROR($H6/$H$45,""))</f>
        <v>0.155700523303458</v>
      </c>
      <c r="J6" s="33" t="s">
        <v>118</v>
      </c>
      <c r="K6" s="32" t="s">
        <v>121</v>
      </c>
    </row>
    <row r="7" customFormat="false" ht="15" hidden="false" customHeight="false" outlineLevel="0" collapsed="false">
      <c r="A7" s="31" t="n">
        <v>3</v>
      </c>
      <c r="B7" s="32" t="s">
        <v>122</v>
      </c>
      <c r="C7" s="33" t="s">
        <v>116</v>
      </c>
      <c r="D7" s="33" t="s">
        <v>117</v>
      </c>
      <c r="E7" s="31" t="s">
        <v>67</v>
      </c>
      <c r="F7" s="34" t="n">
        <v>310000</v>
      </c>
      <c r="G7" s="35" t="n">
        <f aca="false">IF($E7="","",IFERROR(INDEX(01_專案設定_Setup!$C$13:$C$15,MATCH($E7,01_專案設定_Setup!$B$13:$B$15,0)),""))</f>
        <v>1</v>
      </c>
      <c r="H7" s="36" t="n">
        <f aca="false">IF(OR($F7="",$G7="",$G7=0),"",$F7/$G7/1000)</f>
        <v>310</v>
      </c>
      <c r="I7" s="37" t="n">
        <f aca="false">IF($H7="","",IFERROR($H7/$H$45,""))</f>
        <v>0.127018847958084</v>
      </c>
      <c r="J7" s="33" t="s">
        <v>118</v>
      </c>
      <c r="K7" s="32" t="s">
        <v>123</v>
      </c>
    </row>
    <row r="8" customFormat="false" ht="15" hidden="false" customHeight="false" outlineLevel="0" collapsed="false">
      <c r="A8" s="31" t="n">
        <v>4</v>
      </c>
      <c r="B8" s="38" t="s">
        <v>124</v>
      </c>
      <c r="C8" s="33" t="s">
        <v>116</v>
      </c>
      <c r="D8" s="33" t="s">
        <v>117</v>
      </c>
      <c r="E8" s="31" t="s">
        <v>67</v>
      </c>
      <c r="F8" s="34" t="n">
        <v>95000</v>
      </c>
      <c r="G8" s="35" t="n">
        <f aca="false">IF($E8="","",IFERROR(INDEX(01_專案設定_Setup!$C$13:$C$15,MATCH($E8,01_專案設定_Setup!$B$13:$B$15,0)),""))</f>
        <v>1</v>
      </c>
      <c r="H8" s="36" t="n">
        <f aca="false">IF(OR($F8="",$G8="",$G8=0),"",$F8/$G8/1000)</f>
        <v>95</v>
      </c>
      <c r="I8" s="37" t="n">
        <f aca="false">IF($H8="","",IFERROR($H8/$H$45,""))</f>
        <v>0.0389251308258645</v>
      </c>
      <c r="J8" s="33" t="s">
        <v>125</v>
      </c>
      <c r="K8" s="38" t="s">
        <v>126</v>
      </c>
    </row>
    <row r="9" customFormat="false" ht="15" hidden="false" customHeight="false" outlineLevel="0" collapsed="false">
      <c r="A9" s="31" t="n">
        <v>5</v>
      </c>
      <c r="B9" s="32" t="s">
        <v>127</v>
      </c>
      <c r="C9" s="33" t="s">
        <v>116</v>
      </c>
      <c r="D9" s="33" t="s">
        <v>128</v>
      </c>
      <c r="E9" s="31" t="s">
        <v>71</v>
      </c>
      <c r="F9" s="34" t="n">
        <v>3800000000</v>
      </c>
      <c r="G9" s="35" t="n">
        <f aca="false">IF($E9="","",IFERROR(INDEX(01_專案設定_Setup!$C$13:$C$15,MATCH($E9,01_專案設定_Setup!$B$13:$B$15,0)),""))</f>
        <v>25400</v>
      </c>
      <c r="H9" s="36" t="n">
        <f aca="false">IF(OR($F9="",$G9="",$G9=0),"",$F9/$G9/1000)</f>
        <v>149.606299212598</v>
      </c>
      <c r="I9" s="37" t="n">
        <f aca="false">IF($H9="","",IFERROR($H9/$H$45,""))</f>
        <v>0.0612994186234086</v>
      </c>
      <c r="J9" s="33" t="s">
        <v>129</v>
      </c>
      <c r="K9" s="32" t="s">
        <v>130</v>
      </c>
    </row>
    <row r="10" customFormat="false" ht="15" hidden="false" customHeight="false" outlineLevel="0" collapsed="false">
      <c r="A10" s="31" t="n">
        <v>6</v>
      </c>
      <c r="B10" s="32" t="s">
        <v>131</v>
      </c>
      <c r="C10" s="33" t="s">
        <v>132</v>
      </c>
      <c r="D10" s="33" t="s">
        <v>117</v>
      </c>
      <c r="E10" s="31" t="s">
        <v>67</v>
      </c>
      <c r="F10" s="34" t="n">
        <v>68000</v>
      </c>
      <c r="G10" s="35" t="n">
        <f aca="false">IF($E10="","",IFERROR(INDEX(01_專案設定_Setup!$C$13:$C$15,MATCH($E10,01_專案設定_Setup!$B$13:$B$15,0)),""))</f>
        <v>1</v>
      </c>
      <c r="H10" s="36" t="n">
        <f aca="false">IF(OR($F10="",$G10="",$G10=0),"",$F10/$G10/1000)</f>
        <v>68</v>
      </c>
      <c r="I10" s="37" t="n">
        <f aca="false">IF($H10="","",IFERROR($H10/$H$45,""))</f>
        <v>0.0278621989069346</v>
      </c>
      <c r="J10" s="33" t="s">
        <v>125</v>
      </c>
      <c r="K10" s="38" t="s">
        <v>133</v>
      </c>
    </row>
    <row r="11" customFormat="false" ht="29.85" hidden="false" customHeight="false" outlineLevel="0" collapsed="false">
      <c r="A11" s="31" t="n">
        <v>7</v>
      </c>
      <c r="B11" s="32" t="s">
        <v>134</v>
      </c>
      <c r="C11" s="33" t="s">
        <v>132</v>
      </c>
      <c r="D11" s="33" t="s">
        <v>117</v>
      </c>
      <c r="E11" s="31" t="s">
        <v>67</v>
      </c>
      <c r="F11" s="34" t="n">
        <f aca="false">ROUND(SUMIFS($F$5:$F$44,$D$5:$D$44,"進口",$E$5:$E$44,"USD",$C$5:$C$44,"設備")*01_專案設定_Setup!$C$18,0)</f>
        <v>96400</v>
      </c>
      <c r="G11" s="35" t="n">
        <f aca="false">IF($E11="","",IFERROR(INDEX(01_專案設定_Setup!$C$13:$C$15,MATCH($E11,01_專案設定_Setup!$B$13:$B$15,0)),""))</f>
        <v>1</v>
      </c>
      <c r="H11" s="36" t="n">
        <f aca="false">IF(OR($F11="",$G11="",$G11=0),"",$F11/$G11/1000)</f>
        <v>96.4</v>
      </c>
      <c r="I11" s="37" t="n">
        <f aca="false">IF($H11="","",IFERROR($H11/$H$45,""))</f>
        <v>0.039498764332772</v>
      </c>
      <c r="J11" s="33" t="s">
        <v>118</v>
      </c>
      <c r="K11" s="32" t="s">
        <v>135</v>
      </c>
    </row>
    <row r="12" customFormat="false" ht="15" hidden="false" customHeight="false" outlineLevel="0" collapsed="false">
      <c r="A12" s="31" t="n">
        <v>8</v>
      </c>
      <c r="B12" s="32" t="s">
        <v>136</v>
      </c>
      <c r="C12" s="33" t="s">
        <v>132</v>
      </c>
      <c r="D12" s="33" t="s">
        <v>128</v>
      </c>
      <c r="E12" s="31" t="s">
        <v>71</v>
      </c>
      <c r="F12" s="34" t="n">
        <v>1450000000</v>
      </c>
      <c r="G12" s="35" t="n">
        <f aca="false">IF($E12="","",IFERROR(INDEX(01_專案設定_Setup!$C$13:$C$15,MATCH($E12,01_專案設定_Setup!$B$13:$B$15,0)),""))</f>
        <v>25400</v>
      </c>
      <c r="H12" s="36" t="n">
        <f aca="false">IF(OR($F12="",$G12="",$G12=0),"",$F12/$G12/1000)</f>
        <v>57.0866141732283</v>
      </c>
      <c r="I12" s="37" t="n">
        <f aca="false">IF($H12="","",IFERROR($H12/$H$45,""))</f>
        <v>0.0233905676326165</v>
      </c>
      <c r="J12" s="33" t="s">
        <v>129</v>
      </c>
      <c r="K12" s="38"/>
    </row>
    <row r="13" customFormat="false" ht="15" hidden="false" customHeight="false" outlineLevel="0" collapsed="false">
      <c r="A13" s="31" t="n">
        <v>9</v>
      </c>
      <c r="B13" s="32" t="s">
        <v>137</v>
      </c>
      <c r="C13" s="33" t="s">
        <v>138</v>
      </c>
      <c r="D13" s="33" t="s">
        <v>128</v>
      </c>
      <c r="E13" s="31" t="s">
        <v>71</v>
      </c>
      <c r="F13" s="34" t="n">
        <v>6200000000</v>
      </c>
      <c r="G13" s="35" t="n">
        <f aca="false">IF($E13="","",IFERROR(INDEX(01_專案設定_Setup!$C$13:$C$15,MATCH($E13,01_專案設定_Setup!$B$13:$B$15,0)),""))</f>
        <v>25400</v>
      </c>
      <c r="H13" s="36" t="n">
        <f aca="false">IF(OR($F13="",$G13="",$G13=0),"",$F13/$G13/1000)</f>
        <v>244.094488188976</v>
      </c>
      <c r="I13" s="37" t="n">
        <f aca="false">IF($H13="","",IFERROR($H13/$H$45,""))</f>
        <v>0.100014840911877</v>
      </c>
      <c r="J13" s="33" t="s">
        <v>125</v>
      </c>
      <c r="K13" s="32" t="s">
        <v>139</v>
      </c>
    </row>
    <row r="14" customFormat="false" ht="15" hidden="false" customHeight="false" outlineLevel="0" collapsed="false">
      <c r="A14" s="31" t="n">
        <v>10</v>
      </c>
      <c r="B14" s="32" t="s">
        <v>140</v>
      </c>
      <c r="C14" s="33" t="s">
        <v>138</v>
      </c>
      <c r="D14" s="33" t="s">
        <v>128</v>
      </c>
      <c r="E14" s="31" t="s">
        <v>71</v>
      </c>
      <c r="F14" s="34" t="n">
        <v>4100000000</v>
      </c>
      <c r="G14" s="35" t="n">
        <f aca="false">IF($E14="","",IFERROR(INDEX(01_專案設定_Setup!$C$13:$C$15,MATCH($E14,01_專案設定_Setup!$B$13:$B$15,0)),""))</f>
        <v>25400</v>
      </c>
      <c r="H14" s="36" t="n">
        <f aca="false">IF(OR($F14="",$G14="",$G14=0),"",$F14/$G14/1000)</f>
        <v>161.417322834646</v>
      </c>
      <c r="I14" s="37" t="n">
        <f aca="false">IF($H14="","",IFERROR($H14/$H$45,""))</f>
        <v>0.0661388464094672</v>
      </c>
      <c r="J14" s="33" t="s">
        <v>125</v>
      </c>
      <c r="K14" s="32" t="s">
        <v>141</v>
      </c>
    </row>
    <row r="15" customFormat="false" ht="15" hidden="false" customHeight="false" outlineLevel="0" collapsed="false">
      <c r="A15" s="31" t="n">
        <v>11</v>
      </c>
      <c r="B15" s="32" t="s">
        <v>142</v>
      </c>
      <c r="C15" s="33" t="s">
        <v>138</v>
      </c>
      <c r="D15" s="33" t="s">
        <v>117</v>
      </c>
      <c r="E15" s="31" t="s">
        <v>67</v>
      </c>
      <c r="F15" s="34" t="n">
        <v>72000</v>
      </c>
      <c r="G15" s="35" t="n">
        <f aca="false">IF($E15="","",IFERROR(INDEX(01_專案設定_Setup!$C$13:$C$15,MATCH($E15,01_專案設定_Setup!$B$13:$B$15,0)),""))</f>
        <v>1</v>
      </c>
      <c r="H15" s="36" t="n">
        <f aca="false">IF(OR($F15="",$G15="",$G15=0),"",$F15/$G15/1000)</f>
        <v>72</v>
      </c>
      <c r="I15" s="37" t="n">
        <f aca="false">IF($H15="","",IFERROR($H15/$H$45,""))</f>
        <v>0.0295011517838131</v>
      </c>
      <c r="J15" s="33" t="s">
        <v>125</v>
      </c>
      <c r="K15" s="32" t="s">
        <v>143</v>
      </c>
    </row>
    <row r="16" customFormat="false" ht="15" hidden="false" customHeight="false" outlineLevel="0" collapsed="false">
      <c r="A16" s="31" t="n">
        <v>12</v>
      </c>
      <c r="B16" s="32" t="s">
        <v>144</v>
      </c>
      <c r="C16" s="33" t="s">
        <v>145</v>
      </c>
      <c r="D16" s="33" t="s">
        <v>117</v>
      </c>
      <c r="E16" s="31" t="s">
        <v>67</v>
      </c>
      <c r="F16" s="34" t="n">
        <v>86000</v>
      </c>
      <c r="G16" s="35" t="n">
        <f aca="false">IF($E16="","",IFERROR(INDEX(01_專案設定_Setup!$C$13:$C$15,MATCH($E16,01_專案設定_Setup!$B$13:$B$15,0)),""))</f>
        <v>1</v>
      </c>
      <c r="H16" s="36" t="n">
        <f aca="false">IF(OR($F16="",$G16="",$G16=0),"",$F16/$G16/1000)</f>
        <v>86</v>
      </c>
      <c r="I16" s="37" t="n">
        <f aca="false">IF($H16="","",IFERROR($H16/$H$45,""))</f>
        <v>0.0352374868528879</v>
      </c>
      <c r="J16" s="33" t="s">
        <v>125</v>
      </c>
      <c r="K16" s="38" t="s">
        <v>146</v>
      </c>
    </row>
    <row r="17" customFormat="false" ht="15" hidden="false" customHeight="false" outlineLevel="0" collapsed="false">
      <c r="A17" s="31" t="n">
        <v>13</v>
      </c>
      <c r="B17" s="32" t="s">
        <v>147</v>
      </c>
      <c r="C17" s="33" t="s">
        <v>145</v>
      </c>
      <c r="D17" s="33" t="s">
        <v>128</v>
      </c>
      <c r="E17" s="31" t="s">
        <v>71</v>
      </c>
      <c r="F17" s="34" t="n">
        <v>2300000000</v>
      </c>
      <c r="G17" s="35" t="n">
        <f aca="false">IF($E17="","",IFERROR(INDEX(01_專案設定_Setup!$C$13:$C$15,MATCH($E17,01_專案設定_Setup!$B$13:$B$15,0)),""))</f>
        <v>25400</v>
      </c>
      <c r="H17" s="36" t="n">
        <f aca="false">IF(OR($F17="",$G17="",$G17=0),"",$F17/$G17/1000)</f>
        <v>90.5511811023622</v>
      </c>
      <c r="I17" s="37" t="n">
        <f aca="false">IF($H17="","",IFERROR($H17/$H$45,""))</f>
        <v>0.0371022796931158</v>
      </c>
      <c r="J17" s="33" t="s">
        <v>129</v>
      </c>
      <c r="K17" s="38"/>
    </row>
    <row r="18" customFormat="false" ht="15" hidden="false" customHeight="false" outlineLevel="0" collapsed="false">
      <c r="A18" s="31" t="n">
        <v>14</v>
      </c>
      <c r="B18" s="32" t="s">
        <v>148</v>
      </c>
      <c r="C18" s="33" t="s">
        <v>145</v>
      </c>
      <c r="D18" s="33" t="s">
        <v>117</v>
      </c>
      <c r="E18" s="31" t="s">
        <v>67</v>
      </c>
      <c r="F18" s="34" t="n">
        <v>24000</v>
      </c>
      <c r="G18" s="35" t="n">
        <f aca="false">IF($E18="","",IFERROR(INDEX(01_專案設定_Setup!$C$13:$C$15,MATCH($E18,01_專案設定_Setup!$B$13:$B$15,0)),""))</f>
        <v>1</v>
      </c>
      <c r="H18" s="36" t="n">
        <f aca="false">IF(OR($F18="",$G18="",$G18=0),"",$F18/$G18/1000)</f>
        <v>24</v>
      </c>
      <c r="I18" s="37" t="n">
        <f aca="false">IF($H18="","",IFERROR($H18/$H$45,""))</f>
        <v>0.00983371726127103</v>
      </c>
      <c r="J18" s="33" t="s">
        <v>129</v>
      </c>
      <c r="K18" s="38"/>
    </row>
    <row r="19" customFormat="false" ht="15" hidden="false" customHeight="false" outlineLevel="0" collapsed="false">
      <c r="A19" s="31" t="n">
        <v>15</v>
      </c>
      <c r="B19" s="32" t="s">
        <v>149</v>
      </c>
      <c r="C19" s="33" t="s">
        <v>150</v>
      </c>
      <c r="D19" s="33" t="s">
        <v>117</v>
      </c>
      <c r="E19" s="31" t="s">
        <v>67</v>
      </c>
      <c r="F19" s="34" t="n">
        <v>55000</v>
      </c>
      <c r="G19" s="35" t="n">
        <f aca="false">IF($E19="","",IFERROR(INDEX(01_專案設定_Setup!$C$13:$C$15,MATCH($E19,01_專案設定_Setup!$B$13:$B$15,0)),""))</f>
        <v>1</v>
      </c>
      <c r="H19" s="36" t="n">
        <f aca="false">IF(OR($F19="",$G19="",$G19=0),"",$F19/$G19/1000)</f>
        <v>55</v>
      </c>
      <c r="I19" s="37" t="n">
        <f aca="false">IF($H19="","",IFERROR($H19/$H$45,""))</f>
        <v>0.0225356020570794</v>
      </c>
      <c r="J19" s="33" t="s">
        <v>125</v>
      </c>
      <c r="K19" s="32" t="s">
        <v>151</v>
      </c>
    </row>
    <row r="20" customFormat="false" ht="15" hidden="false" customHeight="false" outlineLevel="0" collapsed="false">
      <c r="A20" s="31" t="n">
        <v>16</v>
      </c>
      <c r="B20" s="32" t="s">
        <v>152</v>
      </c>
      <c r="C20" s="33" t="s">
        <v>150</v>
      </c>
      <c r="D20" s="33" t="s">
        <v>128</v>
      </c>
      <c r="E20" s="31" t="s">
        <v>71</v>
      </c>
      <c r="F20" s="34" t="n">
        <v>980000000</v>
      </c>
      <c r="G20" s="35" t="n">
        <f aca="false">IF($E20="","",IFERROR(INDEX(01_專案設定_Setup!$C$13:$C$15,MATCH($E20,01_專案設定_Setup!$B$13:$B$15,0)),""))</f>
        <v>25400</v>
      </c>
      <c r="H20" s="36" t="n">
        <f aca="false">IF(OR($F20="",$G20="",$G20=0),"",$F20/$G20/1000)</f>
        <v>38.5826771653543</v>
      </c>
      <c r="I20" s="37" t="n">
        <f aca="false">IF($H20="","",IFERROR($H20/$H$45,""))</f>
        <v>0.015808797434458</v>
      </c>
      <c r="J20" s="33" t="s">
        <v>129</v>
      </c>
      <c r="K20" s="32" t="s">
        <v>153</v>
      </c>
    </row>
    <row r="21" customFormat="false" ht="15" hidden="false" customHeight="false" outlineLevel="0" collapsed="false">
      <c r="A21" s="31" t="n">
        <v>17</v>
      </c>
      <c r="B21" s="32" t="s">
        <v>154</v>
      </c>
      <c r="C21" s="33" t="s">
        <v>155</v>
      </c>
      <c r="D21" s="33" t="s">
        <v>128</v>
      </c>
      <c r="E21" s="31" t="s">
        <v>71</v>
      </c>
      <c r="F21" s="34" t="n">
        <v>1200000000</v>
      </c>
      <c r="G21" s="35" t="n">
        <f aca="false">IF($E21="","",IFERROR(INDEX(01_專案設定_Setup!$C$13:$C$15,MATCH($E21,01_專案設定_Setup!$B$13:$B$15,0)),""))</f>
        <v>25400</v>
      </c>
      <c r="H21" s="36" t="n">
        <f aca="false">IF(OR($F21="",$G21="",$G21=0),"",$F21/$G21/1000)</f>
        <v>47.244094488189</v>
      </c>
      <c r="I21" s="37" t="n">
        <f aca="false">IF($H21="","",IFERROR($H21/$H$45,""))</f>
        <v>0.0193577111442343</v>
      </c>
      <c r="J21" s="33" t="s">
        <v>125</v>
      </c>
      <c r="K21" s="32" t="s">
        <v>156</v>
      </c>
    </row>
    <row r="22" customFormat="false" ht="15" hidden="false" customHeight="false" outlineLevel="0" collapsed="false">
      <c r="A22" s="31" t="n">
        <v>18</v>
      </c>
      <c r="B22" s="32" t="s">
        <v>157</v>
      </c>
      <c r="C22" s="33" t="s">
        <v>158</v>
      </c>
      <c r="D22" s="33" t="s">
        <v>117</v>
      </c>
      <c r="E22" s="31" t="s">
        <v>67</v>
      </c>
      <c r="F22" s="34" t="n">
        <v>18000</v>
      </c>
      <c r="G22" s="35" t="n">
        <f aca="false">IF($E22="","",IFERROR(INDEX(01_專案設定_Setup!$C$13:$C$15,MATCH($E22,01_專案設定_Setup!$B$13:$B$15,0)),""))</f>
        <v>1</v>
      </c>
      <c r="H22" s="36" t="n">
        <f aca="false">IF(OR($F22="",$G22="",$G22=0),"",$F22/$G22/1000)</f>
        <v>18</v>
      </c>
      <c r="I22" s="37" t="n">
        <f aca="false">IF($H22="","",IFERROR($H22/$H$45,""))</f>
        <v>0.00737528794595327</v>
      </c>
      <c r="J22" s="33" t="s">
        <v>129</v>
      </c>
      <c r="K22" s="32" t="s">
        <v>159</v>
      </c>
    </row>
    <row r="23" customFormat="false" ht="15" hidden="false" customHeight="false" outlineLevel="0" collapsed="false">
      <c r="A23" s="31" t="n">
        <v>19</v>
      </c>
      <c r="B23" s="32" t="s">
        <v>160</v>
      </c>
      <c r="C23" s="33" t="s">
        <v>158</v>
      </c>
      <c r="D23" s="33" t="s">
        <v>117</v>
      </c>
      <c r="E23" s="31" t="s">
        <v>67</v>
      </c>
      <c r="F23" s="34" t="n">
        <f aca="false">ROUND(05_報價與毛利_Pricing!$C$6*1000*01_專案設定_Setup!$C$27*01_專案設定_Setup!$C$28*01_專案設定_Setup!$C$29,0)</f>
        <v>27600</v>
      </c>
      <c r="G23" s="35" t="n">
        <f aca="false">IF($E23="","",IFERROR(INDEX(01_專案設定_Setup!$C$13:$C$15,MATCH($E23,01_專案設定_Setup!$B$13:$B$15,0)),""))</f>
        <v>1</v>
      </c>
      <c r="H23" s="36" t="n">
        <f aca="false">IF(OR($F23="",$G23="",$G23=0),"",$F23/$G23/1000)</f>
        <v>27.6</v>
      </c>
      <c r="I23" s="37" t="n">
        <f aca="false">IF($H23="","",IFERROR($H23/$H$45,""))</f>
        <v>0.0113087748504617</v>
      </c>
      <c r="J23" s="33" t="s">
        <v>129</v>
      </c>
      <c r="K23" s="32" t="s">
        <v>161</v>
      </c>
    </row>
    <row r="24" customFormat="false" ht="15" hidden="false" customHeight="false" outlineLevel="0" collapsed="false">
      <c r="A24" s="31"/>
      <c r="B24" s="38"/>
      <c r="C24" s="33"/>
      <c r="D24" s="33"/>
      <c r="E24" s="31"/>
      <c r="F24" s="34"/>
      <c r="G24" s="35" t="str">
        <f aca="false">IF($E24="","",IFERROR(INDEX(01_專案設定_Setup!$C$13:$C$15,MATCH($E24,01_專案設定_Setup!$B$13:$B$15,0)),""))</f>
        <v/>
      </c>
      <c r="H24" s="36" t="str">
        <f aca="false">IF(OR($F24="",$G24="",$G24=0),"",$F24/$G24/1000)</f>
        <v/>
      </c>
      <c r="I24" s="37" t="str">
        <f aca="false">IF($H24="","",IFERROR($H24/$H$45,""))</f>
        <v/>
      </c>
      <c r="J24" s="33"/>
      <c r="K24" s="38"/>
    </row>
    <row r="25" customFormat="false" ht="15" hidden="false" customHeight="false" outlineLevel="0" collapsed="false">
      <c r="A25" s="31"/>
      <c r="B25" s="38"/>
      <c r="C25" s="33"/>
      <c r="D25" s="33"/>
      <c r="E25" s="31"/>
      <c r="F25" s="34"/>
      <c r="G25" s="35" t="str">
        <f aca="false">IF($E25="","",IFERROR(INDEX(01_專案設定_Setup!$C$13:$C$15,MATCH($E25,01_專案設定_Setup!$B$13:$B$15,0)),""))</f>
        <v/>
      </c>
      <c r="H25" s="36" t="str">
        <f aca="false">IF(OR($F25="",$G25="",$G25=0),"",$F25/$G25/1000)</f>
        <v/>
      </c>
      <c r="I25" s="37" t="str">
        <f aca="false">IF($H25="","",IFERROR($H25/$H$45,""))</f>
        <v/>
      </c>
      <c r="J25" s="33"/>
      <c r="K25" s="38"/>
    </row>
    <row r="26" customFormat="false" ht="15" hidden="false" customHeight="false" outlineLevel="0" collapsed="false">
      <c r="A26" s="31"/>
      <c r="B26" s="38"/>
      <c r="C26" s="33"/>
      <c r="D26" s="33"/>
      <c r="E26" s="31"/>
      <c r="F26" s="34"/>
      <c r="G26" s="35" t="str">
        <f aca="false">IF($E26="","",IFERROR(INDEX(01_專案設定_Setup!$C$13:$C$15,MATCH($E26,01_專案設定_Setup!$B$13:$B$15,0)),""))</f>
        <v/>
      </c>
      <c r="H26" s="36" t="str">
        <f aca="false">IF(OR($F26="",$G26="",$G26=0),"",$F26/$G26/1000)</f>
        <v/>
      </c>
      <c r="I26" s="37" t="str">
        <f aca="false">IF($H26="","",IFERROR($H26/$H$45,""))</f>
        <v/>
      </c>
      <c r="J26" s="33"/>
      <c r="K26" s="38"/>
    </row>
    <row r="27" customFormat="false" ht="15" hidden="false" customHeight="false" outlineLevel="0" collapsed="false">
      <c r="A27" s="31"/>
      <c r="B27" s="38"/>
      <c r="C27" s="33"/>
      <c r="D27" s="33"/>
      <c r="E27" s="31"/>
      <c r="F27" s="34"/>
      <c r="G27" s="35" t="str">
        <f aca="false">IF($E27="","",IFERROR(INDEX(01_專案設定_Setup!$C$13:$C$15,MATCH($E27,01_專案設定_Setup!$B$13:$B$15,0)),""))</f>
        <v/>
      </c>
      <c r="H27" s="36" t="str">
        <f aca="false">IF(OR($F27="",$G27="",$G27=0),"",$F27/$G27/1000)</f>
        <v/>
      </c>
      <c r="I27" s="37" t="str">
        <f aca="false">IF($H27="","",IFERROR($H27/$H$45,""))</f>
        <v/>
      </c>
      <c r="J27" s="33"/>
      <c r="K27" s="38"/>
    </row>
    <row r="28" customFormat="false" ht="15" hidden="false" customHeight="false" outlineLevel="0" collapsed="false">
      <c r="A28" s="31"/>
      <c r="B28" s="38"/>
      <c r="C28" s="33"/>
      <c r="D28" s="33"/>
      <c r="E28" s="31"/>
      <c r="F28" s="34"/>
      <c r="G28" s="35" t="str">
        <f aca="false">IF($E28="","",IFERROR(INDEX(01_專案設定_Setup!$C$13:$C$15,MATCH($E28,01_專案設定_Setup!$B$13:$B$15,0)),""))</f>
        <v/>
      </c>
      <c r="H28" s="36" t="str">
        <f aca="false">IF(OR($F28="",$G28="",$G28=0),"",$F28/$G28/1000)</f>
        <v/>
      </c>
      <c r="I28" s="37" t="str">
        <f aca="false">IF($H28="","",IFERROR($H28/$H$45,""))</f>
        <v/>
      </c>
      <c r="J28" s="33"/>
      <c r="K28" s="38"/>
    </row>
    <row r="29" customFormat="false" ht="15" hidden="false" customHeight="false" outlineLevel="0" collapsed="false">
      <c r="A29" s="31"/>
      <c r="B29" s="38"/>
      <c r="C29" s="33"/>
      <c r="D29" s="33"/>
      <c r="E29" s="31"/>
      <c r="F29" s="34"/>
      <c r="G29" s="35" t="str">
        <f aca="false">IF($E29="","",IFERROR(INDEX(01_專案設定_Setup!$C$13:$C$15,MATCH($E29,01_專案設定_Setup!$B$13:$B$15,0)),""))</f>
        <v/>
      </c>
      <c r="H29" s="36" t="str">
        <f aca="false">IF(OR($F29="",$G29="",$G29=0),"",$F29/$G29/1000)</f>
        <v/>
      </c>
      <c r="I29" s="37" t="str">
        <f aca="false">IF($H29="","",IFERROR($H29/$H$45,""))</f>
        <v/>
      </c>
      <c r="J29" s="33"/>
      <c r="K29" s="38"/>
    </row>
    <row r="30" customFormat="false" ht="15" hidden="false" customHeight="false" outlineLevel="0" collapsed="false">
      <c r="A30" s="31"/>
      <c r="B30" s="38"/>
      <c r="C30" s="33"/>
      <c r="D30" s="33"/>
      <c r="E30" s="31"/>
      <c r="F30" s="34"/>
      <c r="G30" s="35" t="str">
        <f aca="false">IF($E30="","",IFERROR(INDEX(01_專案設定_Setup!$C$13:$C$15,MATCH($E30,01_專案設定_Setup!$B$13:$B$15,0)),""))</f>
        <v/>
      </c>
      <c r="H30" s="36" t="str">
        <f aca="false">IF(OR($F30="",$G30="",$G30=0),"",$F30/$G30/1000)</f>
        <v/>
      </c>
      <c r="I30" s="37" t="str">
        <f aca="false">IF($H30="","",IFERROR($H30/$H$45,""))</f>
        <v/>
      </c>
      <c r="J30" s="33"/>
      <c r="K30" s="38"/>
    </row>
    <row r="31" customFormat="false" ht="15" hidden="false" customHeight="false" outlineLevel="0" collapsed="false">
      <c r="A31" s="31"/>
      <c r="B31" s="38"/>
      <c r="C31" s="33"/>
      <c r="D31" s="33"/>
      <c r="E31" s="31"/>
      <c r="F31" s="34"/>
      <c r="G31" s="35" t="str">
        <f aca="false">IF($E31="","",IFERROR(INDEX(01_專案設定_Setup!$C$13:$C$15,MATCH($E31,01_專案設定_Setup!$B$13:$B$15,0)),""))</f>
        <v/>
      </c>
      <c r="H31" s="36" t="str">
        <f aca="false">IF(OR($F31="",$G31="",$G31=0),"",$F31/$G31/1000)</f>
        <v/>
      </c>
      <c r="I31" s="37" t="str">
        <f aca="false">IF($H31="","",IFERROR($H31/$H$45,""))</f>
        <v/>
      </c>
      <c r="J31" s="33"/>
      <c r="K31" s="38"/>
    </row>
    <row r="32" customFormat="false" ht="15" hidden="false" customHeight="false" outlineLevel="0" collapsed="false">
      <c r="A32" s="31"/>
      <c r="B32" s="38"/>
      <c r="C32" s="33"/>
      <c r="D32" s="33"/>
      <c r="E32" s="31"/>
      <c r="F32" s="34"/>
      <c r="G32" s="35" t="str">
        <f aca="false">IF($E32="","",IFERROR(INDEX(01_專案設定_Setup!$C$13:$C$15,MATCH($E32,01_專案設定_Setup!$B$13:$B$15,0)),""))</f>
        <v/>
      </c>
      <c r="H32" s="36" t="str">
        <f aca="false">IF(OR($F32="",$G32="",$G32=0),"",$F32/$G32/1000)</f>
        <v/>
      </c>
      <c r="I32" s="37" t="str">
        <f aca="false">IF($H32="","",IFERROR($H32/$H$45,""))</f>
        <v/>
      </c>
      <c r="J32" s="33"/>
      <c r="K32" s="38"/>
    </row>
    <row r="33" customFormat="false" ht="15" hidden="false" customHeight="false" outlineLevel="0" collapsed="false">
      <c r="A33" s="31"/>
      <c r="B33" s="38"/>
      <c r="C33" s="33"/>
      <c r="D33" s="33"/>
      <c r="E33" s="31"/>
      <c r="F33" s="34"/>
      <c r="G33" s="35" t="str">
        <f aca="false">IF($E33="","",IFERROR(INDEX(01_專案設定_Setup!$C$13:$C$15,MATCH($E33,01_專案設定_Setup!$B$13:$B$15,0)),""))</f>
        <v/>
      </c>
      <c r="H33" s="36" t="str">
        <f aca="false">IF(OR($F33="",$G33="",$G33=0),"",$F33/$G33/1000)</f>
        <v/>
      </c>
      <c r="I33" s="37" t="str">
        <f aca="false">IF($H33="","",IFERROR($H33/$H$45,""))</f>
        <v/>
      </c>
      <c r="J33" s="33"/>
      <c r="K33" s="38"/>
    </row>
    <row r="34" customFormat="false" ht="15" hidden="false" customHeight="false" outlineLevel="0" collapsed="false">
      <c r="A34" s="31"/>
      <c r="B34" s="38"/>
      <c r="C34" s="33"/>
      <c r="D34" s="33"/>
      <c r="E34" s="31"/>
      <c r="F34" s="34"/>
      <c r="G34" s="35" t="str">
        <f aca="false">IF($E34="","",IFERROR(INDEX(01_專案設定_Setup!$C$13:$C$15,MATCH($E34,01_專案設定_Setup!$B$13:$B$15,0)),""))</f>
        <v/>
      </c>
      <c r="H34" s="36" t="str">
        <f aca="false">IF(OR($F34="",$G34="",$G34=0),"",$F34/$G34/1000)</f>
        <v/>
      </c>
      <c r="I34" s="37" t="str">
        <f aca="false">IF($H34="","",IFERROR($H34/$H$45,""))</f>
        <v/>
      </c>
      <c r="J34" s="33"/>
      <c r="K34" s="38"/>
    </row>
    <row r="35" customFormat="false" ht="15" hidden="false" customHeight="false" outlineLevel="0" collapsed="false">
      <c r="A35" s="31"/>
      <c r="B35" s="38"/>
      <c r="C35" s="33"/>
      <c r="D35" s="33"/>
      <c r="E35" s="31"/>
      <c r="F35" s="34"/>
      <c r="G35" s="35" t="str">
        <f aca="false">IF($E35="","",IFERROR(INDEX(01_專案設定_Setup!$C$13:$C$15,MATCH($E35,01_專案設定_Setup!$B$13:$B$15,0)),""))</f>
        <v/>
      </c>
      <c r="H35" s="36" t="str">
        <f aca="false">IF(OR($F35="",$G35="",$G35=0),"",$F35/$G35/1000)</f>
        <v/>
      </c>
      <c r="I35" s="37" t="str">
        <f aca="false">IF($H35="","",IFERROR($H35/$H$45,""))</f>
        <v/>
      </c>
      <c r="J35" s="33"/>
      <c r="K35" s="38"/>
    </row>
    <row r="36" customFormat="false" ht="15" hidden="false" customHeight="false" outlineLevel="0" collapsed="false">
      <c r="A36" s="31"/>
      <c r="B36" s="38"/>
      <c r="C36" s="33"/>
      <c r="D36" s="33"/>
      <c r="E36" s="31"/>
      <c r="F36" s="34"/>
      <c r="G36" s="35" t="str">
        <f aca="false">IF($E36="","",IFERROR(INDEX(01_專案設定_Setup!$C$13:$C$15,MATCH($E36,01_專案設定_Setup!$B$13:$B$15,0)),""))</f>
        <v/>
      </c>
      <c r="H36" s="36" t="str">
        <f aca="false">IF(OR($F36="",$G36="",$G36=0),"",$F36/$G36/1000)</f>
        <v/>
      </c>
      <c r="I36" s="37" t="str">
        <f aca="false">IF($H36="","",IFERROR($H36/$H$45,""))</f>
        <v/>
      </c>
      <c r="J36" s="33"/>
      <c r="K36" s="38"/>
    </row>
    <row r="37" customFormat="false" ht="15" hidden="false" customHeight="false" outlineLevel="0" collapsed="false">
      <c r="A37" s="31"/>
      <c r="B37" s="38"/>
      <c r="C37" s="33"/>
      <c r="D37" s="33"/>
      <c r="E37" s="31"/>
      <c r="F37" s="34"/>
      <c r="G37" s="35" t="str">
        <f aca="false">IF($E37="","",IFERROR(INDEX(01_專案設定_Setup!$C$13:$C$15,MATCH($E37,01_專案設定_Setup!$B$13:$B$15,0)),""))</f>
        <v/>
      </c>
      <c r="H37" s="36" t="str">
        <f aca="false">IF(OR($F37="",$G37="",$G37=0),"",$F37/$G37/1000)</f>
        <v/>
      </c>
      <c r="I37" s="37" t="str">
        <f aca="false">IF($H37="","",IFERROR($H37/$H$45,""))</f>
        <v/>
      </c>
      <c r="J37" s="33"/>
      <c r="K37" s="38"/>
    </row>
    <row r="38" customFormat="false" ht="15" hidden="false" customHeight="false" outlineLevel="0" collapsed="false">
      <c r="A38" s="31"/>
      <c r="B38" s="38"/>
      <c r="C38" s="33"/>
      <c r="D38" s="33"/>
      <c r="E38" s="31"/>
      <c r="F38" s="34"/>
      <c r="G38" s="35" t="str">
        <f aca="false">IF($E38="","",IFERROR(INDEX(01_專案設定_Setup!$C$13:$C$15,MATCH($E38,01_專案設定_Setup!$B$13:$B$15,0)),""))</f>
        <v/>
      </c>
      <c r="H38" s="36" t="str">
        <f aca="false">IF(OR($F38="",$G38="",$G38=0),"",$F38/$G38/1000)</f>
        <v/>
      </c>
      <c r="I38" s="37" t="str">
        <f aca="false">IF($H38="","",IFERROR($H38/$H$45,""))</f>
        <v/>
      </c>
      <c r="J38" s="33"/>
      <c r="K38" s="38"/>
    </row>
    <row r="39" customFormat="false" ht="15" hidden="false" customHeight="false" outlineLevel="0" collapsed="false">
      <c r="A39" s="31"/>
      <c r="B39" s="38"/>
      <c r="C39" s="33"/>
      <c r="D39" s="33"/>
      <c r="E39" s="31"/>
      <c r="F39" s="34"/>
      <c r="G39" s="35" t="str">
        <f aca="false">IF($E39="","",IFERROR(INDEX(01_專案設定_Setup!$C$13:$C$15,MATCH($E39,01_專案設定_Setup!$B$13:$B$15,0)),""))</f>
        <v/>
      </c>
      <c r="H39" s="36" t="str">
        <f aca="false">IF(OR($F39="",$G39="",$G39=0),"",$F39/$G39/1000)</f>
        <v/>
      </c>
      <c r="I39" s="37" t="str">
        <f aca="false">IF($H39="","",IFERROR($H39/$H$45,""))</f>
        <v/>
      </c>
      <c r="J39" s="33"/>
      <c r="K39" s="38"/>
    </row>
    <row r="40" customFormat="false" ht="15" hidden="false" customHeight="false" outlineLevel="0" collapsed="false">
      <c r="A40" s="31"/>
      <c r="B40" s="38"/>
      <c r="C40" s="33"/>
      <c r="D40" s="33"/>
      <c r="E40" s="31"/>
      <c r="F40" s="34"/>
      <c r="G40" s="35" t="str">
        <f aca="false">IF($E40="","",IFERROR(INDEX(01_專案設定_Setup!$C$13:$C$15,MATCH($E40,01_專案設定_Setup!$B$13:$B$15,0)),""))</f>
        <v/>
      </c>
      <c r="H40" s="36" t="str">
        <f aca="false">IF(OR($F40="",$G40="",$G40=0),"",$F40/$G40/1000)</f>
        <v/>
      </c>
      <c r="I40" s="37" t="str">
        <f aca="false">IF($H40="","",IFERROR($H40/$H$45,""))</f>
        <v/>
      </c>
      <c r="J40" s="33"/>
      <c r="K40" s="38"/>
    </row>
    <row r="41" customFormat="false" ht="15" hidden="false" customHeight="false" outlineLevel="0" collapsed="false">
      <c r="A41" s="31"/>
      <c r="B41" s="38"/>
      <c r="C41" s="33"/>
      <c r="D41" s="33"/>
      <c r="E41" s="31"/>
      <c r="F41" s="34"/>
      <c r="G41" s="35" t="str">
        <f aca="false">IF($E41="","",IFERROR(INDEX(01_專案設定_Setup!$C$13:$C$15,MATCH($E41,01_專案設定_Setup!$B$13:$B$15,0)),""))</f>
        <v/>
      </c>
      <c r="H41" s="36" t="str">
        <f aca="false">IF(OR($F41="",$G41="",$G41=0),"",$F41/$G41/1000)</f>
        <v/>
      </c>
      <c r="I41" s="37" t="str">
        <f aca="false">IF($H41="","",IFERROR($H41/$H$45,""))</f>
        <v/>
      </c>
      <c r="J41" s="33"/>
      <c r="K41" s="38"/>
    </row>
    <row r="42" customFormat="false" ht="15" hidden="false" customHeight="false" outlineLevel="0" collapsed="false">
      <c r="A42" s="31"/>
      <c r="B42" s="38"/>
      <c r="C42" s="33"/>
      <c r="D42" s="33"/>
      <c r="E42" s="31"/>
      <c r="F42" s="34"/>
      <c r="G42" s="35" t="str">
        <f aca="false">IF($E42="","",IFERROR(INDEX(01_專案設定_Setup!$C$13:$C$15,MATCH($E42,01_專案設定_Setup!$B$13:$B$15,0)),""))</f>
        <v/>
      </c>
      <c r="H42" s="36" t="str">
        <f aca="false">IF(OR($F42="",$G42="",$G42=0),"",$F42/$G42/1000)</f>
        <v/>
      </c>
      <c r="I42" s="37" t="str">
        <f aca="false">IF($H42="","",IFERROR($H42/$H$45,""))</f>
        <v/>
      </c>
      <c r="J42" s="33"/>
      <c r="K42" s="38"/>
    </row>
    <row r="43" customFormat="false" ht="15" hidden="false" customHeight="false" outlineLevel="0" collapsed="false">
      <c r="A43" s="31"/>
      <c r="B43" s="38"/>
      <c r="C43" s="33"/>
      <c r="D43" s="33"/>
      <c r="E43" s="31"/>
      <c r="F43" s="34"/>
      <c r="G43" s="35" t="str">
        <f aca="false">IF($E43="","",IFERROR(INDEX(01_專案設定_Setup!$C$13:$C$15,MATCH($E43,01_專案設定_Setup!$B$13:$B$15,0)),""))</f>
        <v/>
      </c>
      <c r="H43" s="36" t="str">
        <f aca="false">IF(OR($F43="",$G43="",$G43=0),"",$F43/$G43/1000)</f>
        <v/>
      </c>
      <c r="I43" s="37" t="str">
        <f aca="false">IF($H43="","",IFERROR($H43/$H$45,""))</f>
        <v/>
      </c>
      <c r="J43" s="33"/>
      <c r="K43" s="38"/>
    </row>
    <row r="44" customFormat="false" ht="15" hidden="false" customHeight="false" outlineLevel="0" collapsed="false">
      <c r="A44" s="31"/>
      <c r="B44" s="38"/>
      <c r="C44" s="33"/>
      <c r="D44" s="33"/>
      <c r="E44" s="31"/>
      <c r="F44" s="34"/>
      <c r="G44" s="35" t="str">
        <f aca="false">IF($E44="","",IFERROR(INDEX(01_專案設定_Setup!$C$13:$C$15,MATCH($E44,01_專案設定_Setup!$B$13:$B$15,0)),""))</f>
        <v/>
      </c>
      <c r="H44" s="36" t="str">
        <f aca="false">IF(OR($F44="",$G44="",$G44=0),"",$F44/$G44/1000)</f>
        <v/>
      </c>
      <c r="I44" s="37" t="str">
        <f aca="false">IF($H44="","",IFERROR($H44/$H$45,""))</f>
        <v/>
      </c>
      <c r="J44" s="33"/>
      <c r="K44" s="38"/>
    </row>
    <row r="45" customFormat="false" ht="15" hidden="false" customHeight="false" outlineLevel="0" collapsed="false">
      <c r="B45" s="39" t="s">
        <v>162</v>
      </c>
      <c r="H45" s="40" t="n">
        <f aca="false">SUM($H$5:$H$44)</f>
        <v>2440.58267716535</v>
      </c>
    </row>
    <row r="46" customFormat="false" ht="15" hidden="false" customHeight="false" outlineLevel="0" collapsed="false">
      <c r="B46" s="14" t="s">
        <v>163</v>
      </c>
      <c r="H46" s="41" t="n">
        <f aca="false">SUMIFS($H$5:$H$44,$D$5:$D$44,"進口")</f>
        <v>1652</v>
      </c>
    </row>
    <row r="47" customFormat="false" ht="15" hidden="false" customHeight="false" outlineLevel="0" collapsed="false">
      <c r="B47" s="14" t="s">
        <v>164</v>
      </c>
      <c r="H47" s="41" t="n">
        <f aca="false">SUMIFS($H$5:$H$44,$D$5:$D$44,"在地")</f>
        <v>788.582677165354</v>
      </c>
    </row>
    <row r="49" customFormat="false" ht="15" hidden="false" customHeight="false" outlineLevel="0" collapsed="false">
      <c r="B49" s="11" t="s">
        <v>165</v>
      </c>
    </row>
    <row r="50" customFormat="false" ht="15" hidden="false" customHeight="false" outlineLevel="0" collapsed="false">
      <c r="B50" s="14" t="s">
        <v>116</v>
      </c>
      <c r="H50" s="41" t="n">
        <f aca="false">SUMIFS($H$5:$H$44,$C$5:$C$44,"設備")</f>
        <v>1354.6062992126</v>
      </c>
      <c r="I50" s="42" t="n">
        <f aca="false">IFERROR($H50/$H$45,"")</f>
        <v>0.555033972783058</v>
      </c>
    </row>
    <row r="51" customFormat="false" ht="15" hidden="false" customHeight="false" outlineLevel="0" collapsed="false">
      <c r="B51" s="14" t="s">
        <v>132</v>
      </c>
      <c r="H51" s="41" t="n">
        <f aca="false">SUMIFS($H$5:$H$44,$C$5:$C$44,"物流關稅")</f>
        <v>221.486614173228</v>
      </c>
      <c r="I51" s="42" t="n">
        <f aca="false">IFERROR($H51/$H$45,"")</f>
        <v>0.090751530872323</v>
      </c>
    </row>
    <row r="52" customFormat="false" ht="15" hidden="false" customHeight="false" outlineLevel="0" collapsed="false">
      <c r="B52" s="14" t="s">
        <v>138</v>
      </c>
      <c r="H52" s="41" t="n">
        <f aca="false">SUMIFS($H$5:$H$44,$C$5:$C$44,"工程安裝")</f>
        <v>477.511811023622</v>
      </c>
      <c r="I52" s="42" t="n">
        <f aca="false">IFERROR($H52/$H$45,"")</f>
        <v>0.195654839105158</v>
      </c>
    </row>
    <row r="53" customFormat="false" ht="15" hidden="false" customHeight="false" outlineLevel="0" collapsed="false">
      <c r="B53" s="14" t="s">
        <v>145</v>
      </c>
      <c r="H53" s="41" t="n">
        <f aca="false">SUMIFS($H$5:$H$44,$C$5:$C$44,"專案管理")</f>
        <v>200.551181102362</v>
      </c>
      <c r="I53" s="42" t="n">
        <f aca="false">IFERROR($H53/$H$45,"")</f>
        <v>0.0821734838072746</v>
      </c>
    </row>
    <row r="54" customFormat="false" ht="15" hidden="false" customHeight="false" outlineLevel="0" collapsed="false">
      <c r="B54" s="14" t="s">
        <v>150</v>
      </c>
      <c r="H54" s="41" t="n">
        <f aca="false">SUMIFS($H$5:$H$44,$C$5:$C$44,"售後保固")</f>
        <v>93.5826771653543</v>
      </c>
      <c r="I54" s="42" t="n">
        <f aca="false">IFERROR($H54/$H$45,"")</f>
        <v>0.0383443994915375</v>
      </c>
    </row>
    <row r="55" customFormat="false" ht="15" hidden="false" customHeight="false" outlineLevel="0" collapsed="false">
      <c r="B55" s="14" t="s">
        <v>155</v>
      </c>
      <c r="H55" s="41" t="n">
        <f aca="false">SUMIFS($H$5:$H$44,$C$5:$C$44,"認證合規")</f>
        <v>47.244094488189</v>
      </c>
      <c r="I55" s="42" t="n">
        <f aca="false">IFERROR($H55/$H$45,"")</f>
        <v>0.0193577111442343</v>
      </c>
    </row>
    <row r="56" customFormat="false" ht="15" hidden="false" customHeight="false" outlineLevel="0" collapsed="false">
      <c r="B56" s="14" t="s">
        <v>158</v>
      </c>
      <c r="H56" s="41" t="n">
        <f aca="false">SUMIFS($H$5:$H$44,$C$5:$C$44,"財務成本")</f>
        <v>45.6</v>
      </c>
      <c r="I56" s="42" t="n">
        <f aca="false">IFERROR($H56/$H$45,"")</f>
        <v>0.018684062796415</v>
      </c>
    </row>
  </sheetData>
  <dataValidations count="4">
    <dataValidation allowBlank="true" errorStyle="stop" operator="between" showDropDown="false" showErrorMessage="false" showInputMessage="false" sqref="C5:C44" type="list">
      <formula1>_選單_Lists!$A$2:$A$8</formula1>
      <formula2>0</formula2>
    </dataValidation>
    <dataValidation allowBlank="true" errorStyle="stop" operator="between" showDropDown="false" showErrorMessage="false" showInputMessage="false" sqref="D5:D44" type="list">
      <formula1>_選單_Lists!$B$2:$B$3</formula1>
      <formula2>0</formula2>
    </dataValidation>
    <dataValidation allowBlank="true" errorStyle="stop" operator="between" showDropDown="false" showErrorMessage="false" showInputMessage="false" sqref="E5:E44" type="list">
      <formula1>_選單_Lists!$C$2:$C$4</formula1>
      <formula2>0</formula2>
    </dataValidation>
    <dataValidation allowBlank="true" errorStyle="stop" operator="between" showDropDown="false" showErrorMessage="false" showInputMessage="false" sqref="J5:J44" type="list">
      <formula1>_選單_Lists!$D$2:$D$4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8" min="4" style="0" width="13"/>
  </cols>
  <sheetData>
    <row r="1" customFormat="false" ht="23.1" hidden="false" customHeight="false" outlineLevel="0" collapsed="false">
      <c r="A1" s="6" t="s">
        <v>166</v>
      </c>
    </row>
    <row r="2" customFormat="false" ht="15" hidden="false" customHeight="false" outlineLevel="0" collapsed="false">
      <c r="A2" s="7" t="s">
        <v>167</v>
      </c>
    </row>
    <row r="5" customFormat="false" ht="15" hidden="false" customHeight="false" outlineLevel="0" collapsed="false">
      <c r="B5" s="14" t="s">
        <v>168</v>
      </c>
      <c r="C5" s="43" t="n">
        <f aca="false">02_成本堆疊_CostBuildup!$H$45</f>
        <v>2440.58267716535</v>
      </c>
    </row>
    <row r="6" customFormat="false" ht="15" hidden="false" customHeight="false" outlineLevel="0" collapsed="false">
      <c r="B6" s="14" t="s">
        <v>169</v>
      </c>
      <c r="C6" s="43" t="n">
        <f aca="false">02_成本堆疊_CostBuildup!$H$47</f>
        <v>788.582677165354</v>
      </c>
    </row>
    <row r="7" customFormat="false" ht="15" hidden="false" customHeight="false" outlineLevel="0" collapsed="false">
      <c r="B7" s="14" t="s">
        <v>170</v>
      </c>
      <c r="C7" s="43" t="n">
        <f aca="false">02_成本堆疊_CostBuildup!$H$46</f>
        <v>1652</v>
      </c>
    </row>
    <row r="8" customFormat="false" ht="15" hidden="false" customHeight="false" outlineLevel="0" collapsed="false">
      <c r="B8" s="3" t="s">
        <v>171</v>
      </c>
      <c r="C8" s="18" t="n">
        <f aca="false">IFERROR(02_成本堆疊_CostBuildup!$H$47/02_成本堆疊_CostBuildup!$H$45,"")</f>
        <v>0.323112461849178</v>
      </c>
    </row>
    <row r="9" customFormat="false" ht="15" hidden="false" customHeight="false" outlineLevel="0" collapsed="false">
      <c r="B9" s="14" t="s">
        <v>172</v>
      </c>
      <c r="C9" s="20" t="n">
        <f aca="false">01_專案設定_Setup!$C$20</f>
        <v>0.3</v>
      </c>
    </row>
    <row r="10" customFormat="false" ht="15" hidden="false" customHeight="false" outlineLevel="0" collapsed="false">
      <c r="B10" s="3" t="s">
        <v>173</v>
      </c>
      <c r="C10" s="19" t="str">
        <f aca="false">IF(01_專案設定_Setup!$C$20=0,"標書無要求",IF(IFERROR(02_成本堆疊_CostBuildup!$H$47/02_成本堆疊_CostBuildup!$H$45,0)&gt;=01_專案設定_Setup!$C$20,"✓ 達標","✗ 未達標"))</f>
        <v>✓ 達標</v>
      </c>
    </row>
    <row r="11" customFormat="false" ht="15" hidden="false" customHeight="false" outlineLevel="0" collapsed="false">
      <c r="B11" s="3" t="s">
        <v>174</v>
      </c>
      <c r="C11" s="44" t="n">
        <f aca="false">IF(01_專案設定_Setup!$C$20=0,0,MAX(0,01_專案設定_Setup!$C$20*02_成本堆疊_CostBuildup!$H$45-02_成本堆疊_CostBuildup!$H$47))</f>
        <v>0</v>
      </c>
      <c r="D11" s="13" t="s">
        <v>175</v>
      </c>
      <c r="E11" s="13"/>
      <c r="F11" s="13"/>
      <c r="G11" s="13"/>
      <c r="H11" s="13"/>
    </row>
    <row r="13" customFormat="false" ht="15" hidden="false" customHeight="true" outlineLevel="0" collapsed="false">
      <c r="B13" s="45" t="s">
        <v>176</v>
      </c>
      <c r="C13" s="45"/>
      <c r="D13" s="45"/>
      <c r="E13" s="45"/>
      <c r="F13" s="45"/>
      <c r="G13" s="45"/>
      <c r="H13" s="45"/>
    </row>
    <row r="14" customFormat="false" ht="15" hidden="false" customHeight="false" outlineLevel="0" collapsed="false">
      <c r="B14" s="45"/>
      <c r="C14" s="45"/>
      <c r="D14" s="45"/>
      <c r="E14" s="45"/>
      <c r="F14" s="45"/>
      <c r="G14" s="45"/>
      <c r="H14" s="45"/>
    </row>
    <row r="15" customFormat="false" ht="15" hidden="false" customHeight="false" outlineLevel="0" collapsed="false">
      <c r="B15" s="45"/>
      <c r="C15" s="45"/>
      <c r="D15" s="45"/>
      <c r="E15" s="45"/>
      <c r="F15" s="45"/>
      <c r="G15" s="45"/>
      <c r="H15" s="45"/>
    </row>
    <row r="16" customFormat="false" ht="15" hidden="false" customHeight="false" outlineLevel="0" collapsed="false">
      <c r="B16" s="45"/>
      <c r="C16" s="45"/>
      <c r="D16" s="45"/>
      <c r="E16" s="45"/>
      <c r="F16" s="45"/>
      <c r="G16" s="45"/>
      <c r="H16" s="45"/>
    </row>
    <row r="17" customFormat="false" ht="15" hidden="false" customHeight="false" outlineLevel="0" collapsed="false">
      <c r="B17" s="45"/>
      <c r="C17" s="45"/>
      <c r="D17" s="45"/>
      <c r="E17" s="45"/>
      <c r="F17" s="45"/>
      <c r="G17" s="45"/>
      <c r="H17" s="45"/>
    </row>
    <row r="18" customFormat="false" ht="15" hidden="false" customHeight="false" outlineLevel="0" collapsed="false">
      <c r="B18" s="45"/>
      <c r="C18" s="45"/>
      <c r="D18" s="45"/>
      <c r="E18" s="45"/>
      <c r="F18" s="45"/>
      <c r="G18" s="45"/>
      <c r="H18" s="45"/>
    </row>
    <row r="19" customFormat="false" ht="15" hidden="false" customHeight="false" outlineLevel="0" collapsed="false">
      <c r="B19" s="45"/>
      <c r="C19" s="45"/>
      <c r="D19" s="45"/>
      <c r="E19" s="45"/>
      <c r="F19" s="45"/>
      <c r="G19" s="45"/>
      <c r="H19" s="45"/>
    </row>
    <row r="20" customFormat="false" ht="15" hidden="false" customHeight="false" outlineLevel="0" collapsed="false">
      <c r="B20" s="45"/>
      <c r="C20" s="45"/>
      <c r="D20" s="45"/>
      <c r="E20" s="45"/>
      <c r="F20" s="45"/>
      <c r="G20" s="45"/>
      <c r="H20" s="45"/>
    </row>
  </sheetData>
  <mergeCells count="2">
    <mergeCell ref="D11:H11"/>
    <mergeCell ref="B13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7" min="4" style="0" width="13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23.1" hidden="false" customHeight="false" outlineLevel="0" collapsed="false">
      <c r="A1" s="6" t="s">
        <v>177</v>
      </c>
    </row>
    <row r="2" customFormat="false" ht="15" hidden="false" customHeight="false" outlineLevel="0" collapsed="false">
      <c r="A2" s="7" t="s">
        <v>178</v>
      </c>
    </row>
    <row r="3" customFormat="false" ht="15" hidden="false" customHeight="false" outlineLevel="0" collapsed="false">
      <c r="A3" s="3" t="s">
        <v>16</v>
      </c>
      <c r="B3" s="8" t="s">
        <v>17</v>
      </c>
      <c r="C3" s="9" t="s">
        <v>18</v>
      </c>
      <c r="D3" s="10" t="s">
        <v>19</v>
      </c>
    </row>
    <row r="4" customFormat="false" ht="30" hidden="false" customHeight="true" outlineLevel="0" collapsed="false">
      <c r="A4" s="30" t="s">
        <v>179</v>
      </c>
      <c r="B4" s="30" t="s">
        <v>180</v>
      </c>
      <c r="C4" s="30" t="s">
        <v>181</v>
      </c>
      <c r="D4" s="30" t="s">
        <v>182</v>
      </c>
      <c r="E4" s="30" t="s">
        <v>183</v>
      </c>
      <c r="F4" s="30" t="s">
        <v>184</v>
      </c>
      <c r="G4" s="30" t="s">
        <v>185</v>
      </c>
      <c r="H4" s="30" t="s">
        <v>186</v>
      </c>
      <c r="I4" s="30" t="s">
        <v>187</v>
      </c>
      <c r="J4" s="30" t="s">
        <v>188</v>
      </c>
    </row>
    <row r="5" customFormat="false" ht="15" hidden="false" customHeight="false" outlineLevel="0" collapsed="false">
      <c r="A5" s="46" t="n">
        <v>0</v>
      </c>
      <c r="B5" s="47" t="s">
        <v>189</v>
      </c>
      <c r="C5" s="48" t="n">
        <v>0.15</v>
      </c>
      <c r="D5" s="41" t="n">
        <f aca="false">IF($C5="","",$C5*05_報價與毛利_Pricing!$C$6)</f>
        <v>552</v>
      </c>
      <c r="E5" s="48" t="n">
        <v>0.05</v>
      </c>
      <c r="F5" s="41" t="n">
        <f aca="false">IF($E5="","",$E5*05_報價與毛利_Pricing!$C$9)</f>
        <v>122.029133858268</v>
      </c>
      <c r="G5" s="41" t="n">
        <f aca="false">IFERROR(N($D5)-N($F5),"")</f>
        <v>429.970866141732</v>
      </c>
      <c r="H5" s="41" t="n">
        <f aca="false">$G5</f>
        <v>429.970866141732</v>
      </c>
      <c r="I5" s="49" t="n">
        <f aca="false">IF($A5="","",1/(1+01_專案設定_Setup!$C$23)^($A5/12))</f>
        <v>1</v>
      </c>
      <c r="J5" s="41" t="n">
        <f aca="false">IFERROR($G5*$I5,"")</f>
        <v>429.970866141732</v>
      </c>
    </row>
    <row r="6" customFormat="false" ht="15" hidden="false" customHeight="false" outlineLevel="0" collapsed="false">
      <c r="A6" s="46" t="n">
        <v>1</v>
      </c>
      <c r="B6" s="46"/>
      <c r="C6" s="48" t="n">
        <v>0</v>
      </c>
      <c r="D6" s="41" t="n">
        <f aca="false">IF($C6="","",$C6*05_報價與毛利_Pricing!$C$6)</f>
        <v>0</v>
      </c>
      <c r="E6" s="48" t="n">
        <v>0.05</v>
      </c>
      <c r="F6" s="41" t="n">
        <f aca="false">IF($E6="","",$E6*05_報價與毛利_Pricing!$C$9)</f>
        <v>122.029133858268</v>
      </c>
      <c r="G6" s="41" t="n">
        <f aca="false">IFERROR(N($D6)-N($F6),"")</f>
        <v>-122.029133858268</v>
      </c>
      <c r="H6" s="41" t="n">
        <f aca="false">IFERROR($H5+$G6,"")</f>
        <v>307.941732283465</v>
      </c>
      <c r="I6" s="49" t="n">
        <f aca="false">IF($A6="","",1/(1+01_專案設定_Setup!$C$23)^($A6/12))</f>
        <v>0.992844250484193</v>
      </c>
      <c r="J6" s="41" t="n">
        <f aca="false">IFERROR($G6*$I6,"")</f>
        <v>-121.155923942747</v>
      </c>
    </row>
    <row r="7" customFormat="false" ht="15" hidden="false" customHeight="false" outlineLevel="0" collapsed="false">
      <c r="A7" s="46" t="n">
        <v>2</v>
      </c>
      <c r="B7" s="47" t="s">
        <v>190</v>
      </c>
      <c r="C7" s="48" t="n">
        <v>0</v>
      </c>
      <c r="D7" s="41" t="n">
        <f aca="false">IF($C7="","",$C7*05_報價與毛利_Pricing!$C$6)</f>
        <v>0</v>
      </c>
      <c r="E7" s="48" t="n">
        <v>0.25</v>
      </c>
      <c r="F7" s="41" t="n">
        <f aca="false">IF($E7="","",$E7*05_報價與毛利_Pricing!$C$9)</f>
        <v>610.145669291339</v>
      </c>
      <c r="G7" s="41" t="n">
        <f aca="false">IFERROR(N($D7)-N($F7),"")</f>
        <v>-610.145669291339</v>
      </c>
      <c r="H7" s="41" t="n">
        <f aca="false">IFERROR($H6+$G7,"")</f>
        <v>-302.203937007874</v>
      </c>
      <c r="I7" s="49" t="n">
        <f aca="false">IF($A7="","",1/(1+01_專案設定_Setup!$C$23)^($A7/12))</f>
        <v>0.985739705719519</v>
      </c>
      <c r="J7" s="41" t="n">
        <f aca="false">IFERROR($G7*$I7,"")</f>
        <v>-601.444812493283</v>
      </c>
    </row>
    <row r="8" customFormat="false" ht="15" hidden="false" customHeight="false" outlineLevel="0" collapsed="false">
      <c r="A8" s="46" t="n">
        <v>3</v>
      </c>
      <c r="B8" s="46"/>
      <c r="C8" s="48" t="n">
        <v>0</v>
      </c>
      <c r="D8" s="41" t="n">
        <f aca="false">IF($C8="","",$C8*05_報價與毛利_Pricing!$C$6)</f>
        <v>0</v>
      </c>
      <c r="E8" s="48" t="n">
        <v>0.15</v>
      </c>
      <c r="F8" s="41" t="n">
        <f aca="false">IF($E8="","",$E8*05_報價與毛利_Pricing!$C$9)</f>
        <v>366.087401574803</v>
      </c>
      <c r="G8" s="41" t="n">
        <f aca="false">IFERROR(N($D8)-N($F8),"")</f>
        <v>-366.087401574803</v>
      </c>
      <c r="H8" s="41" t="n">
        <f aca="false">IFERROR($H7+$G8,"")</f>
        <v>-668.291338582677</v>
      </c>
      <c r="I8" s="49" t="n">
        <f aca="false">IF($A8="","",1/(1+01_專案設定_Setup!$C$23)^($A8/12))</f>
        <v>0.978685999297605</v>
      </c>
      <c r="J8" s="41" t="n">
        <f aca="false">IFERROR($G8*$I8,"")</f>
        <v>-358.2846144405</v>
      </c>
    </row>
    <row r="9" customFormat="false" ht="15" hidden="false" customHeight="false" outlineLevel="0" collapsed="false">
      <c r="A9" s="46" t="n">
        <v>4</v>
      </c>
      <c r="B9" s="47" t="s">
        <v>191</v>
      </c>
      <c r="C9" s="48" t="n">
        <v>0.25</v>
      </c>
      <c r="D9" s="41" t="n">
        <f aca="false">IF($C9="","",$C9*05_報價與毛利_Pricing!$C$6)</f>
        <v>920</v>
      </c>
      <c r="E9" s="48" t="n">
        <v>0.1</v>
      </c>
      <c r="F9" s="41" t="n">
        <f aca="false">IF($E9="","",$E9*05_報價與毛利_Pricing!$C$9)</f>
        <v>244.058267716535</v>
      </c>
      <c r="G9" s="41" t="n">
        <f aca="false">IFERROR(N($D9)-N($F9),"")</f>
        <v>675.941732283465</v>
      </c>
      <c r="H9" s="41" t="n">
        <f aca="false">IFERROR($H8+$G9,"")</f>
        <v>7.6503937007875</v>
      </c>
      <c r="I9" s="49" t="n">
        <f aca="false">IF($A9="","",1/(1+01_專案設定_Setup!$C$23)^($A9/12))</f>
        <v>0.971682767432004</v>
      </c>
      <c r="J9" s="41" t="n">
        <f aca="false">IFERROR($G9*$I9,"")</f>
        <v>656.80093304798</v>
      </c>
    </row>
    <row r="10" customFormat="false" ht="15" hidden="false" customHeight="false" outlineLevel="0" collapsed="false">
      <c r="A10" s="46" t="n">
        <v>5</v>
      </c>
      <c r="B10" s="46"/>
      <c r="C10" s="48" t="n">
        <v>0</v>
      </c>
      <c r="D10" s="41" t="n">
        <f aca="false">IF($C10="","",$C10*05_報價與毛利_Pricing!$C$6)</f>
        <v>0</v>
      </c>
      <c r="E10" s="48" t="n">
        <v>0.08</v>
      </c>
      <c r="F10" s="41" t="n">
        <f aca="false">IF($E10="","",$E10*05_報價與毛利_Pricing!$C$9)</f>
        <v>195.246614173228</v>
      </c>
      <c r="G10" s="41" t="n">
        <f aca="false">IFERROR(N($D10)-N($F10),"")</f>
        <v>-195.246614173228</v>
      </c>
      <c r="H10" s="41" t="n">
        <f aca="false">IFERROR($H9+$G10,"")</f>
        <v>-187.596220472441</v>
      </c>
      <c r="I10" s="49" t="n">
        <f aca="false">IF($A10="","",1/(1+01_專案設定_Setup!$C$23)^($A10/12))</f>
        <v>0.964729648939434</v>
      </c>
      <c r="J10" s="41" t="n">
        <f aca="false">IFERROR($G10*$I10,"")</f>
        <v>-188.360197547952</v>
      </c>
    </row>
    <row r="11" customFormat="false" ht="15" hidden="false" customHeight="false" outlineLevel="0" collapsed="false">
      <c r="A11" s="46" t="n">
        <v>6</v>
      </c>
      <c r="B11" s="47" t="s">
        <v>192</v>
      </c>
      <c r="C11" s="48" t="n">
        <v>0.2</v>
      </c>
      <c r="D11" s="41" t="n">
        <f aca="false">IF($C11="","",$C11*05_報價與毛利_Pricing!$C$6)</f>
        <v>736</v>
      </c>
      <c r="E11" s="48" t="n">
        <v>0.1</v>
      </c>
      <c r="F11" s="41" t="n">
        <f aca="false">IF($E11="","",$E11*05_報價與毛利_Pricing!$C$9)</f>
        <v>244.058267716535</v>
      </c>
      <c r="G11" s="41" t="n">
        <f aca="false">IFERROR(N($D11)-N($F11),"")</f>
        <v>491.941732283465</v>
      </c>
      <c r="H11" s="41" t="n">
        <f aca="false">IFERROR($H10+$G11,"")</f>
        <v>304.345511811024</v>
      </c>
      <c r="I11" s="49" t="n">
        <f aca="false">IF($A11="","",1/(1+01_專案設定_Setup!$C$23)^($A11/12))</f>
        <v>0.957826285221151</v>
      </c>
      <c r="J11" s="41" t="n">
        <f aca="false">IFERROR($G11*$I11,"")</f>
        <v>471.194721978329</v>
      </c>
    </row>
    <row r="12" customFormat="false" ht="15" hidden="false" customHeight="false" outlineLevel="0" collapsed="false">
      <c r="A12" s="46" t="n">
        <v>7</v>
      </c>
      <c r="B12" s="46"/>
      <c r="C12" s="48" t="n">
        <v>0</v>
      </c>
      <c r="D12" s="41" t="n">
        <f aca="false">IF($C12="","",$C12*05_報價與毛利_Pricing!$C$6)</f>
        <v>0</v>
      </c>
      <c r="E12" s="48" t="n">
        <v>0.08</v>
      </c>
      <c r="F12" s="41" t="n">
        <f aca="false">IF($E12="","",$E12*05_報價與毛利_Pricing!$C$9)</f>
        <v>195.246614173228</v>
      </c>
      <c r="G12" s="41" t="n">
        <f aca="false">IFERROR(N($D12)-N($F12),"")</f>
        <v>-195.246614173228</v>
      </c>
      <c r="H12" s="41" t="n">
        <f aca="false">IFERROR($H11+$G12,"")</f>
        <v>109.098897637795</v>
      </c>
      <c r="I12" s="49" t="n">
        <f aca="false">IF($A12="","",1/(1+01_專案設定_Setup!$C$23)^($A12/12))</f>
        <v>0.950972320244453</v>
      </c>
      <c r="J12" s="41" t="n">
        <f aca="false">IFERROR($G12*$I12,"")</f>
        <v>-185.674125700188</v>
      </c>
    </row>
    <row r="13" customFormat="false" ht="15" hidden="false" customHeight="false" outlineLevel="0" collapsed="false">
      <c r="A13" s="46" t="n">
        <v>8</v>
      </c>
      <c r="B13" s="47" t="s">
        <v>193</v>
      </c>
      <c r="C13" s="48" t="n">
        <v>0</v>
      </c>
      <c r="D13" s="41" t="n">
        <f aca="false">IF($C13="","",$C13*05_報價與毛利_Pricing!$C$6)</f>
        <v>0</v>
      </c>
      <c r="E13" s="48" t="n">
        <v>0.06</v>
      </c>
      <c r="F13" s="41" t="n">
        <f aca="false">IF($E13="","",$E13*05_報價與毛利_Pricing!$C$9)</f>
        <v>146.434960629921</v>
      </c>
      <c r="G13" s="41" t="n">
        <f aca="false">IFERROR(N($D13)-N($F13),"")</f>
        <v>-146.434960629921</v>
      </c>
      <c r="H13" s="41" t="n">
        <f aca="false">IFERROR($H12+$G13,"")</f>
        <v>-37.3360629921259</v>
      </c>
      <c r="I13" s="49" t="n">
        <f aca="false">IF($A13="","",1/(1+01_專案設定_Setup!$C$23)^($A13/12))</f>
        <v>0.944167400524318</v>
      </c>
      <c r="J13" s="41" t="n">
        <f aca="false">IFERROR($G13*$I13,"")</f>
        <v>-138.259116123834</v>
      </c>
    </row>
    <row r="14" customFormat="false" ht="15" hidden="false" customHeight="false" outlineLevel="0" collapsed="false">
      <c r="A14" s="46" t="n">
        <v>9</v>
      </c>
      <c r="B14" s="47" t="s">
        <v>194</v>
      </c>
      <c r="C14" s="48" t="n">
        <v>0.2</v>
      </c>
      <c r="D14" s="41" t="n">
        <f aca="false">IF($C14="","",$C14*05_報價與毛利_Pricing!$C$6)</f>
        <v>736</v>
      </c>
      <c r="E14" s="48" t="n">
        <v>0.04</v>
      </c>
      <c r="F14" s="41" t="n">
        <f aca="false">IF($E14="","",$E14*05_報價與毛利_Pricing!$C$9)</f>
        <v>97.6233070866142</v>
      </c>
      <c r="G14" s="41" t="n">
        <f aca="false">IFERROR(N($D14)-N($F14),"")</f>
        <v>638.376692913386</v>
      </c>
      <c r="H14" s="41" t="n">
        <f aca="false">IFERROR($H13+$G14,"")</f>
        <v>601.04062992126</v>
      </c>
      <c r="I14" s="49" t="n">
        <f aca="false">IF($A14="","",1/(1+01_專案設定_Setup!$C$23)^($A14/12))</f>
        <v>0.937411175105175</v>
      </c>
      <c r="J14" s="41" t="n">
        <f aca="false">IFERROR($G14*$I14,"")</f>
        <v>598.421445863693</v>
      </c>
    </row>
    <row r="15" customFormat="false" ht="15" hidden="false" customHeight="false" outlineLevel="0" collapsed="false">
      <c r="A15" s="46" t="n">
        <v>10</v>
      </c>
      <c r="B15" s="46"/>
      <c r="C15" s="48" t="n">
        <v>0</v>
      </c>
      <c r="D15" s="41" t="n">
        <f aca="false">IF($C15="","",$C15*05_報價與毛利_Pricing!$C$6)</f>
        <v>0</v>
      </c>
      <c r="E15" s="48" t="n">
        <v>0.02</v>
      </c>
      <c r="F15" s="41" t="n">
        <f aca="false">IF($E15="","",$E15*05_報價與毛利_Pricing!$C$9)</f>
        <v>48.8116535433071</v>
      </c>
      <c r="G15" s="41" t="n">
        <f aca="false">IFERROR(N($D15)-N($F15),"")</f>
        <v>-48.8116535433071</v>
      </c>
      <c r="H15" s="41" t="n">
        <f aca="false">IFERROR($H14+$G15,"")</f>
        <v>552.228976377953</v>
      </c>
      <c r="I15" s="49" t="n">
        <f aca="false">IF($A15="","",1/(1+01_專案設定_Setup!$C$23)^($A15/12))</f>
        <v>0.930703295542804</v>
      </c>
      <c r="J15" s="41" t="n">
        <f aca="false">IFERROR($G15*$I15,"")</f>
        <v>-45.4291668136495</v>
      </c>
    </row>
    <row r="16" customFormat="false" ht="15" hidden="false" customHeight="false" outlineLevel="0" collapsed="false">
      <c r="A16" s="46" t="n">
        <v>11</v>
      </c>
      <c r="B16" s="46"/>
      <c r="C16" s="48" t="n">
        <v>0</v>
      </c>
      <c r="D16" s="41" t="n">
        <f aca="false">IF($C16="","",$C16*05_報價與毛利_Pricing!$C$6)</f>
        <v>0</v>
      </c>
      <c r="E16" s="48" t="n">
        <v>0.01</v>
      </c>
      <c r="F16" s="41" t="n">
        <f aca="false">IF($E16="","",$E16*05_報價與毛利_Pricing!$C$9)</f>
        <v>24.4058267716535</v>
      </c>
      <c r="G16" s="41" t="n">
        <f aca="false">IFERROR(N($D16)-N($F16),"")</f>
        <v>-24.4058267716535</v>
      </c>
      <c r="H16" s="41" t="n">
        <f aca="false">IFERROR($H15+$G16,"")</f>
        <v>527.823149606299</v>
      </c>
      <c r="I16" s="49" t="n">
        <f aca="false">IF($A16="","",1/(1+01_專案設定_Setup!$C$23)^($A16/12))</f>
        <v>0.924043415886364</v>
      </c>
      <c r="J16" s="41" t="n">
        <f aca="false">IFERROR($G16*$I16,"")</f>
        <v>-22.5520435376096</v>
      </c>
    </row>
    <row r="17" customFormat="false" ht="15" hidden="false" customHeight="false" outlineLevel="0" collapsed="false">
      <c r="A17" s="46" t="n">
        <v>12</v>
      </c>
      <c r="B17" s="47" t="s">
        <v>195</v>
      </c>
      <c r="C17" s="48" t="n">
        <v>0.15</v>
      </c>
      <c r="D17" s="41" t="n">
        <f aca="false">IF($C17="","",$C17*05_報價與毛利_Pricing!$C$6)</f>
        <v>552</v>
      </c>
      <c r="E17" s="48" t="n">
        <v>0.01</v>
      </c>
      <c r="F17" s="41" t="n">
        <f aca="false">IF($E17="","",$E17*05_報價與毛利_Pricing!$C$9)</f>
        <v>24.4058267716535</v>
      </c>
      <c r="G17" s="41" t="n">
        <f aca="false">IFERROR(N($D17)-N($F17),"")</f>
        <v>527.594173228346</v>
      </c>
      <c r="H17" s="41" t="n">
        <f aca="false">IFERROR($H16+$G17,"")</f>
        <v>1055.41732283465</v>
      </c>
      <c r="I17" s="49" t="n">
        <f aca="false">IF($A17="","",1/(1+01_專案設定_Setup!$C$23)^($A17/12))</f>
        <v>0.91743119266055</v>
      </c>
      <c r="J17" s="41" t="n">
        <f aca="false">IFERROR($G17*$I17,"")</f>
        <v>484.031351585639</v>
      </c>
    </row>
    <row r="18" customFormat="false" ht="15" hidden="false" customHeight="false" outlineLevel="0" collapsed="false">
      <c r="A18" s="46" t="n">
        <v>13</v>
      </c>
      <c r="B18" s="46"/>
      <c r="C18" s="48" t="n">
        <v>0</v>
      </c>
      <c r="D18" s="41" t="n">
        <f aca="false">IF($C18="","",$C18*05_報價與毛利_Pricing!$C$6)</f>
        <v>0</v>
      </c>
      <c r="E18" s="48" t="n">
        <v>0</v>
      </c>
      <c r="F18" s="41" t="n">
        <f aca="false">IF($E18="","",$E18*05_報價與毛利_Pricing!$C$9)</f>
        <v>0</v>
      </c>
      <c r="G18" s="41" t="n">
        <f aca="false">IFERROR(N($D18)-N($F18),"")</f>
        <v>0</v>
      </c>
      <c r="H18" s="41" t="n">
        <f aca="false">IFERROR($H17+$G18,"")</f>
        <v>1055.41732283465</v>
      </c>
      <c r="I18" s="49" t="n">
        <f aca="false">IF($A18="","",1/(1+01_專案設定_Setup!$C$23)^($A18/12))</f>
        <v>0.910866284847884</v>
      </c>
      <c r="J18" s="41" t="n">
        <f aca="false">IFERROR($G18*$I18,"")</f>
        <v>0</v>
      </c>
    </row>
    <row r="19" customFormat="false" ht="15" hidden="false" customHeight="false" outlineLevel="0" collapsed="false">
      <c r="A19" s="46" t="n">
        <v>14</v>
      </c>
      <c r="B19" s="46"/>
      <c r="C19" s="48" t="n">
        <v>0</v>
      </c>
      <c r="D19" s="41" t="n">
        <f aca="false">IF($C19="","",$C19*05_報價與毛利_Pricing!$C$6)</f>
        <v>0</v>
      </c>
      <c r="E19" s="48" t="n">
        <v>0</v>
      </c>
      <c r="F19" s="41" t="n">
        <f aca="false">IF($E19="","",$E19*05_報價與毛利_Pricing!$C$9)</f>
        <v>0</v>
      </c>
      <c r="G19" s="41" t="n">
        <f aca="false">IFERROR(N($D19)-N($F19),"")</f>
        <v>0</v>
      </c>
      <c r="H19" s="41" t="n">
        <f aca="false">IFERROR($H18+$G19,"")</f>
        <v>1055.41732283465</v>
      </c>
      <c r="I19" s="49" t="n">
        <f aca="false">IF($A19="","",1/(1+01_專案設定_Setup!$C$23)^($A19/12))</f>
        <v>0.904348353871118</v>
      </c>
      <c r="J19" s="41" t="n">
        <f aca="false">IFERROR($G19*$I19,"")</f>
        <v>0</v>
      </c>
    </row>
    <row r="20" customFormat="false" ht="15" hidden="false" customHeight="false" outlineLevel="0" collapsed="false">
      <c r="A20" s="46" t="n">
        <v>15</v>
      </c>
      <c r="B20" s="46"/>
      <c r="C20" s="48" t="n">
        <v>0</v>
      </c>
      <c r="D20" s="41" t="n">
        <f aca="false">IF($C20="","",$C20*05_報價與毛利_Pricing!$C$6)</f>
        <v>0</v>
      </c>
      <c r="E20" s="48" t="n">
        <v>0</v>
      </c>
      <c r="F20" s="41" t="n">
        <f aca="false">IF($E20="","",$E20*05_報價與毛利_Pricing!$C$9)</f>
        <v>0</v>
      </c>
      <c r="G20" s="41" t="n">
        <f aca="false">IFERROR(N($D20)-N($F20),"")</f>
        <v>0</v>
      </c>
      <c r="H20" s="41" t="n">
        <f aca="false">IFERROR($H19+$G20,"")</f>
        <v>1055.41732283465</v>
      </c>
      <c r="I20" s="49" t="n">
        <f aca="false">IF($A20="","",1/(1+01_專案設定_Setup!$C$23)^($A20/12))</f>
        <v>0.897877063575784</v>
      </c>
      <c r="J20" s="41" t="n">
        <f aca="false">IFERROR($G20*$I20,"")</f>
        <v>0</v>
      </c>
    </row>
    <row r="21" customFormat="false" ht="15" hidden="false" customHeight="false" outlineLevel="0" collapsed="false">
      <c r="A21" s="46" t="n">
        <v>16</v>
      </c>
      <c r="B21" s="46"/>
      <c r="C21" s="48" t="n">
        <v>0</v>
      </c>
      <c r="D21" s="41" t="n">
        <f aca="false">IF($C21="","",$C21*05_報價與毛利_Pricing!$C$6)</f>
        <v>0</v>
      </c>
      <c r="E21" s="48" t="n">
        <v>0</v>
      </c>
      <c r="F21" s="41" t="n">
        <f aca="false">IF($E21="","",$E21*05_報價與毛利_Pricing!$C$9)</f>
        <v>0</v>
      </c>
      <c r="G21" s="41" t="n">
        <f aca="false">IFERROR(N($D21)-N($F21),"")</f>
        <v>0</v>
      </c>
      <c r="H21" s="41" t="n">
        <f aca="false">IFERROR($H20+$G21,"")</f>
        <v>1055.41732283465</v>
      </c>
      <c r="I21" s="49" t="n">
        <f aca="false">IF($A21="","",1/(1+01_專案設定_Setup!$C$23)^($A21/12))</f>
        <v>0.891452080212848</v>
      </c>
      <c r="J21" s="41" t="n">
        <f aca="false">IFERROR($G21*$I21,"")</f>
        <v>0</v>
      </c>
    </row>
    <row r="22" customFormat="false" ht="15" hidden="false" customHeight="false" outlineLevel="0" collapsed="false">
      <c r="A22" s="46" t="n">
        <v>17</v>
      </c>
      <c r="B22" s="46"/>
      <c r="C22" s="48" t="n">
        <v>0</v>
      </c>
      <c r="D22" s="41" t="n">
        <f aca="false">IF($C22="","",$C22*05_報價與毛利_Pricing!$C$6)</f>
        <v>0</v>
      </c>
      <c r="E22" s="48" t="n">
        <v>0</v>
      </c>
      <c r="F22" s="41" t="n">
        <f aca="false">IF($E22="","",$E22*05_報價與毛利_Pricing!$C$9)</f>
        <v>0</v>
      </c>
      <c r="G22" s="41" t="n">
        <f aca="false">IFERROR(N($D22)-N($F22),"")</f>
        <v>0</v>
      </c>
      <c r="H22" s="41" t="n">
        <f aca="false">IFERROR($H21+$G22,"")</f>
        <v>1055.41732283465</v>
      </c>
      <c r="I22" s="49" t="n">
        <f aca="false">IF($A22="","",1/(1+01_專案設定_Setup!$C$23)^($A22/12))</f>
        <v>0.885073072421499</v>
      </c>
      <c r="J22" s="41" t="n">
        <f aca="false">IFERROR($G22*$I22,"")</f>
        <v>0</v>
      </c>
    </row>
    <row r="23" customFormat="false" ht="15" hidden="false" customHeight="false" outlineLevel="0" collapsed="false">
      <c r="A23" s="46" t="n">
        <v>18</v>
      </c>
      <c r="B23" s="47" t="s">
        <v>196</v>
      </c>
      <c r="C23" s="48" t="n">
        <v>0.05</v>
      </c>
      <c r="D23" s="41" t="n">
        <f aca="false">IF($C23="","",$C23*05_報價與毛利_Pricing!$C$6)</f>
        <v>184</v>
      </c>
      <c r="E23" s="48" t="n">
        <v>0</v>
      </c>
      <c r="F23" s="41" t="n">
        <f aca="false">IF($E23="","",$E23*05_報價與毛利_Pricing!$C$9)</f>
        <v>0</v>
      </c>
      <c r="G23" s="41" t="n">
        <f aca="false">IFERROR(N($D23)-N($F23),"")</f>
        <v>184</v>
      </c>
      <c r="H23" s="41" t="n">
        <f aca="false">IFERROR($H22+$G23,"")</f>
        <v>1239.41732283465</v>
      </c>
      <c r="I23" s="49" t="n">
        <f aca="false">IF($A23="","",1/(1+01_專案設定_Setup!$C$23)^($A23/12))</f>
        <v>0.878739711212065</v>
      </c>
      <c r="J23" s="41" t="n">
        <f aca="false">IFERROR($G23*$I23,"")</f>
        <v>161.68810686302</v>
      </c>
    </row>
    <row r="24" customFormat="false" ht="15" hidden="false" customHeight="false" outlineLevel="0" collapsed="false">
      <c r="A24" s="46"/>
      <c r="B24" s="46"/>
      <c r="C24" s="48"/>
      <c r="D24" s="41" t="str">
        <f aca="false">IF($C24="","",$C24*05_報價與毛利_Pricing!$C$6)</f>
        <v/>
      </c>
      <c r="E24" s="48"/>
      <c r="F24" s="41" t="str">
        <f aca="false">IF($E24="","",$E24*05_報價與毛利_Pricing!$C$9)</f>
        <v/>
      </c>
      <c r="G24" s="41" t="n">
        <f aca="false">IFERROR(N($D24)-N($F24),"")</f>
        <v>0</v>
      </c>
      <c r="H24" s="41" t="n">
        <f aca="false">IFERROR($H23+$G24,"")</f>
        <v>1239.41732283465</v>
      </c>
      <c r="I24" s="49" t="str">
        <f aca="false">IF($A24="","",1/(1+01_專案設定_Setup!$C$23)^($A24/12))</f>
        <v/>
      </c>
      <c r="J24" s="41" t="str">
        <f aca="false">IFERROR($G24*$I24,"")</f>
        <v/>
      </c>
    </row>
    <row r="25" customFormat="false" ht="15" hidden="false" customHeight="false" outlineLevel="0" collapsed="false">
      <c r="A25" s="46"/>
      <c r="B25" s="46"/>
      <c r="C25" s="48"/>
      <c r="D25" s="41" t="str">
        <f aca="false">IF($C25="","",$C25*05_報價與毛利_Pricing!$C$6)</f>
        <v/>
      </c>
      <c r="E25" s="48"/>
      <c r="F25" s="41" t="str">
        <f aca="false">IF($E25="","",$E25*05_報價與毛利_Pricing!$C$9)</f>
        <v/>
      </c>
      <c r="G25" s="41" t="n">
        <f aca="false">IFERROR(N($D25)-N($F25),"")</f>
        <v>0</v>
      </c>
      <c r="H25" s="41" t="n">
        <f aca="false">IFERROR($H24+$G25,"")</f>
        <v>1239.41732283465</v>
      </c>
      <c r="I25" s="49" t="str">
        <f aca="false">IF($A25="","",1/(1+01_專案設定_Setup!$C$23)^($A25/12))</f>
        <v/>
      </c>
      <c r="J25" s="41" t="str">
        <f aca="false">IFERROR($G25*$I25,"")</f>
        <v/>
      </c>
    </row>
    <row r="26" customFormat="false" ht="15" hidden="false" customHeight="false" outlineLevel="0" collapsed="false">
      <c r="A26" s="46"/>
      <c r="B26" s="46"/>
      <c r="C26" s="48"/>
      <c r="D26" s="41" t="str">
        <f aca="false">IF($C26="","",$C26*05_報價與毛利_Pricing!$C$6)</f>
        <v/>
      </c>
      <c r="E26" s="48"/>
      <c r="F26" s="41" t="str">
        <f aca="false">IF($E26="","",$E26*05_報價與毛利_Pricing!$C$9)</f>
        <v/>
      </c>
      <c r="G26" s="41" t="n">
        <f aca="false">IFERROR(N($D26)-N($F26),"")</f>
        <v>0</v>
      </c>
      <c r="H26" s="41" t="n">
        <f aca="false">IFERROR($H25+$G26,"")</f>
        <v>1239.41732283465</v>
      </c>
      <c r="I26" s="49" t="str">
        <f aca="false">IF($A26="","",1/(1+01_專案設定_Setup!$C$23)^($A26/12))</f>
        <v/>
      </c>
      <c r="J26" s="41" t="str">
        <f aca="false">IFERROR($G26*$I26,"")</f>
        <v/>
      </c>
    </row>
    <row r="27" customFormat="false" ht="15" hidden="false" customHeight="false" outlineLevel="0" collapsed="false">
      <c r="A27" s="46"/>
      <c r="B27" s="46"/>
      <c r="C27" s="48"/>
      <c r="D27" s="41" t="str">
        <f aca="false">IF($C27="","",$C27*05_報價與毛利_Pricing!$C$6)</f>
        <v/>
      </c>
      <c r="E27" s="48"/>
      <c r="F27" s="41" t="str">
        <f aca="false">IF($E27="","",$E27*05_報價與毛利_Pricing!$C$9)</f>
        <v/>
      </c>
      <c r="G27" s="41" t="n">
        <f aca="false">IFERROR(N($D27)-N($F27),"")</f>
        <v>0</v>
      </c>
      <c r="H27" s="41" t="n">
        <f aca="false">IFERROR($H26+$G27,"")</f>
        <v>1239.41732283465</v>
      </c>
      <c r="I27" s="49" t="str">
        <f aca="false">IF($A27="","",1/(1+01_專案設定_Setup!$C$23)^($A27/12))</f>
        <v/>
      </c>
      <c r="J27" s="41" t="str">
        <f aca="false">IFERROR($G27*$I27,"")</f>
        <v/>
      </c>
    </row>
    <row r="28" customFormat="false" ht="15" hidden="false" customHeight="false" outlineLevel="0" collapsed="false">
      <c r="A28" s="46"/>
      <c r="B28" s="46"/>
      <c r="C28" s="48"/>
      <c r="D28" s="41" t="str">
        <f aca="false">IF($C28="","",$C28*05_報價與毛利_Pricing!$C$6)</f>
        <v/>
      </c>
      <c r="E28" s="48"/>
      <c r="F28" s="41" t="str">
        <f aca="false">IF($E28="","",$E28*05_報價與毛利_Pricing!$C$9)</f>
        <v/>
      </c>
      <c r="G28" s="41" t="n">
        <f aca="false">IFERROR(N($D28)-N($F28),"")</f>
        <v>0</v>
      </c>
      <c r="H28" s="41" t="n">
        <f aca="false">IFERROR($H27+$G28,"")</f>
        <v>1239.41732283465</v>
      </c>
      <c r="I28" s="49" t="str">
        <f aca="false">IF($A28="","",1/(1+01_專案設定_Setup!$C$23)^($A28/12))</f>
        <v/>
      </c>
      <c r="J28" s="41" t="str">
        <f aca="false">IFERROR($G28*$I28,"")</f>
        <v/>
      </c>
    </row>
    <row r="29" customFormat="false" ht="15" hidden="false" customHeight="false" outlineLevel="0" collapsed="false">
      <c r="B29" s="39" t="s">
        <v>197</v>
      </c>
      <c r="C29" s="50" t="n">
        <f aca="false">SUM($C$5:$C$28)</f>
        <v>1</v>
      </c>
      <c r="D29" s="16" t="n">
        <f aca="false">SUM($D$5:$D$28)</f>
        <v>3680</v>
      </c>
      <c r="E29" s="50" t="n">
        <f aca="false">SUM($E$5:$E$28)</f>
        <v>1</v>
      </c>
      <c r="F29" s="16" t="n">
        <f aca="false">SUM($F$5:$F$28)</f>
        <v>2440.58267716535</v>
      </c>
      <c r="J29" s="16" t="n">
        <f aca="false">SUM($J$5:$J$28)</f>
        <v>1140.94742488063</v>
      </c>
    </row>
    <row r="31" customFormat="false" ht="15" hidden="false" customHeight="false" outlineLevel="0" collapsed="false">
      <c r="B31" s="3" t="s">
        <v>51</v>
      </c>
      <c r="D31" s="51" t="n">
        <f aca="false">-MIN($H$5:$H$28,0)</f>
        <v>668.291338582677</v>
      </c>
      <c r="E31" s="13" t="s">
        <v>198</v>
      </c>
      <c r="F31" s="13"/>
      <c r="G31" s="13"/>
      <c r="H31" s="13"/>
      <c r="I31" s="13"/>
      <c r="J31" s="13"/>
    </row>
    <row r="32" customFormat="false" ht="15" hidden="false" customHeight="false" outlineLevel="0" collapsed="false">
      <c r="B32" s="3" t="s">
        <v>199</v>
      </c>
      <c r="D32" s="52" t="n">
        <f aca="false">IFERROR(INDEX($A$5:$A$28,MATCH(MIN($H$5:$H$28),$H$5:$H$28,0)),"")</f>
        <v>3</v>
      </c>
      <c r="E32" s="13" t="s">
        <v>200</v>
      </c>
      <c r="F32" s="13"/>
      <c r="G32" s="13"/>
      <c r="H32" s="13"/>
      <c r="I32" s="13"/>
      <c r="J32" s="13"/>
    </row>
    <row r="33" customFormat="false" ht="15" hidden="false" customHeight="false" outlineLevel="0" collapsed="false">
      <c r="B33" s="3" t="s">
        <v>201</v>
      </c>
      <c r="D33" s="51" t="n">
        <f aca="false">IFERROR(SUMPRODUCT($A$5:$A$28,$C$5:$C$28)/SUM($C$5:$C$28),"")</f>
        <v>6.7</v>
      </c>
      <c r="E33" s="13" t="s">
        <v>202</v>
      </c>
      <c r="F33" s="13"/>
      <c r="G33" s="13"/>
      <c r="H33" s="13"/>
      <c r="I33" s="13"/>
      <c r="J33" s="13"/>
    </row>
    <row r="34" customFormat="false" ht="15" hidden="false" customHeight="false" outlineLevel="0" collapsed="false">
      <c r="B34" s="3" t="s">
        <v>203</v>
      </c>
      <c r="D34" s="51" t="n">
        <f aca="false">IFERROR(SUM($G$5:$G$28)-SUM($J$5:$J$28),"")</f>
        <v>98.469897954016</v>
      </c>
      <c r="E34" s="13" t="s">
        <v>204</v>
      </c>
      <c r="F34" s="13"/>
      <c r="G34" s="13"/>
      <c r="H34" s="13"/>
      <c r="I34" s="13"/>
      <c r="J34" s="13"/>
    </row>
  </sheetData>
  <mergeCells count="4">
    <mergeCell ref="E31:J31"/>
    <mergeCell ref="E32:J32"/>
    <mergeCell ref="E33:J33"/>
    <mergeCell ref="E34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2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40"/>
  </cols>
  <sheetData>
    <row r="1" customFormat="false" ht="23.1" hidden="false" customHeight="false" outlineLevel="0" collapsed="false">
      <c r="A1" s="6" t="s">
        <v>205</v>
      </c>
    </row>
    <row r="2" customFormat="false" ht="15" hidden="false" customHeight="false" outlineLevel="0" collapsed="false">
      <c r="A2" s="7" t="s">
        <v>206</v>
      </c>
    </row>
    <row r="4" customFormat="false" ht="30" hidden="false" customHeight="true" outlineLevel="0" collapsed="false">
      <c r="A4" s="30" t="s">
        <v>207</v>
      </c>
      <c r="B4" s="30" t="s">
        <v>208</v>
      </c>
      <c r="C4" s="30" t="s">
        <v>209</v>
      </c>
      <c r="D4" s="30" t="s">
        <v>210</v>
      </c>
      <c r="E4" s="30" t="s">
        <v>211</v>
      </c>
      <c r="F4" s="30" t="s">
        <v>212</v>
      </c>
      <c r="G4" s="30" t="s">
        <v>213</v>
      </c>
    </row>
    <row r="5" customFormat="false" ht="31.5" hidden="false" customHeight="true" outlineLevel="0" collapsed="false">
      <c r="A5" s="31" t="s">
        <v>214</v>
      </c>
      <c r="B5" s="32" t="s">
        <v>215</v>
      </c>
      <c r="C5" s="32" t="s">
        <v>216</v>
      </c>
      <c r="D5" s="37" t="n">
        <f aca="false">IFERROR((05_報價與毛利_Pricing!$C$6-(02_成本堆疊_CostBuildup!$H$45+02_成本堆疊_CostBuildup!$H$47*0.1111)-05_報價與毛利_Pricing!$C$6*01_專案設定_Setup!$C$24-05_報價與毛利_Pricing!$C$6*01_專案設定_Setup!$C$25-(02_成本堆疊_CostBuildup!$H$45+02_成本堆疊_CostBuildup!$H$47*0.1111)*01_專案設定_Setup!$C$26)/05_報價與毛利_Pricing!$C$6,"")</f>
        <v>0.188640238253167</v>
      </c>
      <c r="E5" s="37" t="n">
        <f aca="false">IFERROR((05_報價與毛利_Pricing!$C$6-(02_成本堆疊_CostBuildup!$H$45-02_成本堆疊_CostBuildup!$H$47*0.0909)-05_報價與毛利_Pricing!$C$6*01_專案設定_Setup!$C$24-05_報價與毛利_Pricing!$C$6*01_專案設定_Setup!$C$25-(02_成本堆疊_CostBuildup!$H$45-02_成本堆疊_CostBuildup!$H$47*0.0909)*01_專案設定_Setup!$C$26)/05_報價與毛利_Pricing!$C$6,"")</f>
        <v>0.234090886575659</v>
      </c>
      <c r="F5" s="36" t="n">
        <f aca="false">IFERROR(($E5-$D5)*100,"")</f>
        <v>4.54506483224923</v>
      </c>
      <c r="G5" s="32" t="s">
        <v>217</v>
      </c>
    </row>
    <row r="6" customFormat="false" ht="31.5" hidden="false" customHeight="true" outlineLevel="0" collapsed="false">
      <c r="A6" s="33" t="s">
        <v>218</v>
      </c>
      <c r="B6" s="32" t="s">
        <v>219</v>
      </c>
      <c r="C6" s="32" t="s">
        <v>220</v>
      </c>
      <c r="D6" s="37" t="n">
        <f aca="false">IFERROR((05_報價與毛利_Pricing!$C$6-(02_成本堆疊_CostBuildup!$H$45+02_成本堆疊_CostBuildup!$H$46*0.15)-05_報價與毛利_Pricing!$C$6*01_專案設定_Setup!$C$24-05_報價與毛利_Pricing!$C$6*01_專案設定_Setup!$C$25-(02_成本堆疊_CostBuildup!$H$45+02_成本堆疊_CostBuildup!$H$46*0.15)*01_專案設定_Setup!$C$26)/05_報價與毛利_Pricing!$C$6,"")</f>
        <v>0.142934290482711</v>
      </c>
      <c r="E6" s="37" t="n">
        <f aca="false">IFERROR((05_報價與毛利_Pricing!$C$6-(02_成本堆疊_CostBuildup!$H$45-02_成本堆疊_CostBuildup!$H$46*0.15)-05_報價與毛利_Pricing!$C$6*01_專案設定_Setup!$C$24-05_報價與毛利_Pricing!$C$6*01_專案設定_Setup!$C$25-(02_成本堆疊_CostBuildup!$H$45-02_成本堆疊_CostBuildup!$H$46*0.15)*01_專案設定_Setup!$C$26)/05_報價與毛利_Pricing!$C$6,"")</f>
        <v>0.284341899178364</v>
      </c>
      <c r="F6" s="36" t="n">
        <f aca="false">IFERROR(($E6-$D6)*100,"")</f>
        <v>14.1407608695652</v>
      </c>
      <c r="G6" s="32" t="s">
        <v>221</v>
      </c>
    </row>
    <row r="7" customFormat="false" ht="31.5" hidden="false" customHeight="true" outlineLevel="0" collapsed="false">
      <c r="A7" s="33" t="s">
        <v>222</v>
      </c>
      <c r="B7" s="38" t="s">
        <v>223</v>
      </c>
      <c r="C7" s="32" t="s">
        <v>224</v>
      </c>
      <c r="D7" s="37" t="n">
        <f aca="false">IFERROR((05_報價與毛利_Pricing!$C$6-(02_成本堆疊_CostBuildup!$H$45+02_成本堆疊_CostBuildup!$H$46*0.05)-05_報價與毛利_Pricing!$C$6*01_專案設定_Setup!$C$24-05_報價與毛利_Pricing!$C$6*01_專案設定_Setup!$C$25-(02_成本堆疊_CostBuildup!$H$45+02_成本堆疊_CostBuildup!$H$46*0.05)*01_專案設定_Setup!$C$26)/05_報價與毛利_Pricing!$C$6,"")</f>
        <v>0.190070160047929</v>
      </c>
      <c r="E7" s="37" t="n">
        <f aca="false">IFERROR((05_報價與毛利_Pricing!$C$6-(02_成本堆疊_CostBuildup!$H$45-02_成本堆疊_CostBuildup!$H$46*0.05)-05_報價與毛利_Pricing!$C$6*01_專案設定_Setup!$C$24-05_報價與毛利_Pricing!$C$6*01_專案設定_Setup!$C$25-(02_成本堆疊_CostBuildup!$H$45-02_成本堆疊_CostBuildup!$H$46*0.05)*01_專案設定_Setup!$C$26)/05_報價與毛利_Pricing!$C$6,"")</f>
        <v>0.237206029613146</v>
      </c>
      <c r="F7" s="36" t="n">
        <f aca="false">IFERROR(($E7-$D7)*100,"")</f>
        <v>4.71358695652173</v>
      </c>
      <c r="G7" s="32" t="s">
        <v>225</v>
      </c>
    </row>
    <row r="8" customFormat="false" ht="31.5" hidden="false" customHeight="true" outlineLevel="0" collapsed="false">
      <c r="A8" s="33" t="s">
        <v>226</v>
      </c>
      <c r="B8" s="32" t="s">
        <v>227</v>
      </c>
      <c r="C8" s="32" t="s">
        <v>228</v>
      </c>
      <c r="D8" s="37" t="n">
        <f aca="false">IFERROR((05_報價與毛利_Pricing!$C$6-(02_成本堆疊_CostBuildup!$H$45*1.06)-05_報價與毛利_Pricing!$C$6*01_專案設定_Setup!$C$24-05_報價與毛利_Pricing!$C$6*01_專案設定_Setup!$C$25-(02_成本堆疊_CostBuildup!$H$45*1.06)*01_專案設定_Setup!$C$26)/05_報價與毛利_Pricing!$C$6,"")</f>
        <v>0.17185638052037</v>
      </c>
      <c r="E8" s="37" t="n">
        <f aca="false">IFERROR((05_報價與毛利_Pricing!$C$6-(02_成本堆疊_CostBuildup!$H$45)-05_報價與毛利_Pricing!$C$6*01_專案設定_Setup!$C$24-05_報價與毛利_Pricing!$C$6*01_專案設定_Setup!$C$25-(02_成本堆疊_CostBuildup!$H$45)*01_專案設定_Setup!$C$26)/05_報價與毛利_Pricing!$C$6,"")</f>
        <v>0.213638094830538</v>
      </c>
      <c r="F8" s="36" t="n">
        <f aca="false">IFERROR(($E8-$D8)*100,"")</f>
        <v>4.17817143101678</v>
      </c>
      <c r="G8" s="32" t="s">
        <v>229</v>
      </c>
    </row>
    <row r="9" customFormat="false" ht="31.5" hidden="false" customHeight="true" outlineLevel="0" collapsed="false">
      <c r="A9" s="33" t="s">
        <v>230</v>
      </c>
      <c r="B9" s="32" t="s">
        <v>231</v>
      </c>
      <c r="C9" s="32" t="s">
        <v>232</v>
      </c>
      <c r="D9" s="37" t="n">
        <f aca="false">IFERROR((05_報價與毛利_Pricing!$C$6-(02_成本堆疊_CostBuildup!$H$45+05_報價與毛利_Pricing!$C$6*0.03)-05_報價與毛利_Pricing!$C$6*01_專案設定_Setup!$C$24-05_報價與毛利_Pricing!$C$6*01_專案設定_Setup!$C$25-(02_成本堆疊_CostBuildup!$H$45+05_報價與毛利_Pricing!$C$6*0.03)*01_專案設定_Setup!$C$26)/05_報價與毛利_Pricing!$C$6,"")</f>
        <v>0.182138094830538</v>
      </c>
      <c r="E9" s="37" t="n">
        <f aca="false">IFERROR((05_報價與毛利_Pricing!$C$6-(02_成本堆疊_CostBuildup!$H$45-05_報價與毛利_Pricing!$C$6*0.015)-05_報價與毛利_Pricing!$C$6*01_專案設定_Setup!$C$24-05_報價與毛利_Pricing!$C$6*01_專案設定_Setup!$C$25-(02_成本堆疊_CostBuildup!$H$45-05_報價與毛利_Pricing!$C$6*0.015)*01_專案設定_Setup!$C$26)/05_報價與毛利_Pricing!$C$6,"")</f>
        <v>0.229388094830538</v>
      </c>
      <c r="F9" s="36" t="n">
        <f aca="false">IFERROR(($E9-$D9)*100,"")</f>
        <v>4.725</v>
      </c>
      <c r="G9" s="32" t="s">
        <v>233</v>
      </c>
    </row>
    <row r="10" customFormat="false" ht="31.5" hidden="false" customHeight="true" outlineLevel="0" collapsed="false">
      <c r="A10" s="33" t="s">
        <v>234</v>
      </c>
      <c r="B10" s="32" t="s">
        <v>235</v>
      </c>
      <c r="C10" s="32" t="s">
        <v>236</v>
      </c>
      <c r="D10" s="37" t="n">
        <f aca="false">IFERROR((05_報價與毛利_Pricing!$C$6-(02_成本堆疊_CostBuildup!$H$45+05_報價與毛利_Pricing!$C$6*0.03)-05_報價與毛利_Pricing!$C$6*01_專案設定_Setup!$C$24-05_報價與毛利_Pricing!$C$6*01_專案設定_Setup!$C$25-(02_成本堆疊_CostBuildup!$H$45+05_報價與毛利_Pricing!$C$6*0.03)*01_專案設定_Setup!$C$26)/05_報價與毛利_Pricing!$C$6,"")</f>
        <v>0.182138094830538</v>
      </c>
      <c r="E10" s="37" t="n">
        <f aca="false">IFERROR((05_報價與毛利_Pricing!$C$6-(02_成本堆疊_CostBuildup!$H$45)-05_報價與毛利_Pricing!$C$6*01_專案設定_Setup!$C$24-05_報價與毛利_Pricing!$C$6*01_專案設定_Setup!$C$25-(02_成本堆疊_CostBuildup!$H$45)*01_專案設定_Setup!$C$26)/05_報價與毛利_Pricing!$C$6,"")</f>
        <v>0.213638094830538</v>
      </c>
      <c r="F10" s="36" t="n">
        <f aca="false">IFERROR(($E10-$D10)*100,"")</f>
        <v>3.15</v>
      </c>
      <c r="G10" s="32" t="s">
        <v>237</v>
      </c>
    </row>
    <row r="12" customFormat="false" ht="15" hidden="false" customHeight="false" outlineLevel="0" collapsed="false">
      <c r="A12" s="39" t="s">
        <v>238</v>
      </c>
      <c r="D12" s="53" t="n">
        <f aca="false">05_報價與毛利_Pricing!$C$17</f>
        <v>0.213638094830537</v>
      </c>
      <c r="E12" s="54" t="s">
        <v>239</v>
      </c>
    </row>
    <row r="14" customFormat="false" ht="15" hidden="false" customHeight="true" outlineLevel="0" collapsed="false">
      <c r="A14" s="21" t="s">
        <v>240</v>
      </c>
      <c r="B14" s="21"/>
      <c r="C14" s="21"/>
      <c r="D14" s="21"/>
      <c r="E14" s="21"/>
      <c r="F14" s="21"/>
      <c r="G14" s="21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1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</row>
  </sheetData>
  <mergeCells count="1">
    <mergeCell ref="A14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5"/>
    <col collapsed="false" customWidth="true" hidden="false" outlineLevel="0" max="5" min="5" style="0" width="46"/>
  </cols>
  <sheetData>
    <row r="1" customFormat="false" ht="23.1" hidden="false" customHeight="false" outlineLevel="0" collapsed="false">
      <c r="A1" s="6" t="s">
        <v>241</v>
      </c>
    </row>
    <row r="2" customFormat="false" ht="15" hidden="false" customHeight="false" outlineLevel="0" collapsed="false">
      <c r="A2" s="7" t="s">
        <v>242</v>
      </c>
    </row>
    <row r="4" customFormat="false" ht="30" hidden="false" customHeight="true" outlineLevel="0" collapsed="false">
      <c r="A4" s="30" t="s">
        <v>243</v>
      </c>
      <c r="B4" s="30" t="s">
        <v>244</v>
      </c>
      <c r="C4" s="30" t="s">
        <v>245</v>
      </c>
      <c r="D4" s="30" t="s">
        <v>246</v>
      </c>
      <c r="E4" s="30" t="s">
        <v>247</v>
      </c>
    </row>
    <row r="5" customFormat="false" ht="15" hidden="false" customHeight="false" outlineLevel="0" collapsed="false">
      <c r="A5" s="14" t="s">
        <v>248</v>
      </c>
      <c r="B5" s="55" t="n">
        <v>0.1</v>
      </c>
      <c r="C5" s="55" t="n">
        <v>0</v>
      </c>
      <c r="D5" s="55" t="n">
        <v>-0.08</v>
      </c>
      <c r="E5" s="54" t="s">
        <v>249</v>
      </c>
    </row>
    <row r="6" customFormat="false" ht="15" hidden="false" customHeight="false" outlineLevel="0" collapsed="false">
      <c r="A6" s="14" t="s">
        <v>250</v>
      </c>
      <c r="B6" s="55" t="n">
        <v>0.05</v>
      </c>
      <c r="C6" s="55" t="n">
        <v>0</v>
      </c>
      <c r="D6" s="55" t="n">
        <v>-0.03</v>
      </c>
      <c r="E6" s="54" t="s">
        <v>251</v>
      </c>
    </row>
    <row r="7" customFormat="false" ht="15" hidden="false" customHeight="false" outlineLevel="0" collapsed="false">
      <c r="A7" s="14" t="s">
        <v>252</v>
      </c>
      <c r="B7" s="55" t="n">
        <v>0.06</v>
      </c>
      <c r="C7" s="55" t="n">
        <v>0</v>
      </c>
      <c r="D7" s="55" t="n">
        <v>0</v>
      </c>
      <c r="E7" s="54" t="s">
        <v>253</v>
      </c>
    </row>
    <row r="9" customFormat="false" ht="15" hidden="false" customHeight="false" outlineLevel="0" collapsed="false">
      <c r="A9" s="14" t="s">
        <v>254</v>
      </c>
      <c r="B9" s="15" t="n">
        <f aca="false">(02_成本堆疊_CostBuildup!$H$45+02_成本堆疊_CostBuildup!$H$46*$B$5+02_成本堆疊_CostBuildup!$H$47*$B$6+05_報價與毛利_Pricing!$C$6*$B$7)</f>
        <v>2866.01181102362</v>
      </c>
      <c r="C9" s="15" t="n">
        <f aca="false">(02_成本堆疊_CostBuildup!$H$45+02_成本堆疊_CostBuildup!$H$46*$C$5+02_成本堆疊_CostBuildup!$H$47*$C$6+05_報價與毛利_Pricing!$C$6*$C$7)</f>
        <v>2440.58267716535</v>
      </c>
      <c r="D9" s="15" t="n">
        <f aca="false">(02_成本堆疊_CostBuildup!$H$45+02_成本堆疊_CostBuildup!$H$46*$D$5+02_成本堆疊_CostBuildup!$H$47*$D$6+05_報價與毛利_Pricing!$C$6*$D$7)</f>
        <v>2284.76519685039</v>
      </c>
    </row>
    <row r="10" customFormat="false" ht="15" hidden="false" customHeight="false" outlineLevel="0" collapsed="false">
      <c r="A10" s="14" t="s">
        <v>255</v>
      </c>
      <c r="B10" s="15" t="n">
        <f aca="false">IFERROR((05_報價與毛利_Pricing!$C$6-(02_成本堆疊_CostBuildup!$H$45+02_成本堆疊_CostBuildup!$H$46*$B$5+02_成本堆疊_CostBuildup!$H$47*$B$6+05_報價與毛利_Pricing!$C$6*$B$7)-05_報價與毛利_Pricing!$C$6*01_專案設定_Setup!$C$24-05_報價與毛利_Pricing!$C$6*01_專案設定_Setup!$C$25-(02_成本堆疊_CostBuildup!$H$45+02_成本堆疊_CostBuildup!$H$46*$B$5+02_成本堆疊_CostBuildup!$H$47*$B$6+05_報價與毛利_Pricing!$C$6*$B$7)*01_專案設定_Setup!$C$26),"")</f>
        <v>339.487598425197</v>
      </c>
      <c r="C10" s="15" t="n">
        <f aca="false">IFERROR((05_報價與毛利_Pricing!$C$6-(02_成本堆疊_CostBuildup!$H$45+02_成本堆疊_CostBuildup!$H$46*$C$5+02_成本堆疊_CostBuildup!$H$47*$C$6+05_報價與毛利_Pricing!$C$6*$C$7)-05_報價與毛利_Pricing!$C$6*01_專案設定_Setup!$C$24-05_報價與毛利_Pricing!$C$6*01_專案設定_Setup!$C$25-(02_成本堆疊_CostBuildup!$H$45+02_成本堆疊_CostBuildup!$H$46*$C$5+02_成本堆疊_CostBuildup!$H$47*$C$6+05_報價與毛利_Pricing!$C$6*$C$7)*01_專案設定_Setup!$C$26),"")</f>
        <v>786.188188976378</v>
      </c>
      <c r="D10" s="15" t="n">
        <f aca="false">IFERROR((05_報價與毛利_Pricing!$C$6-(02_成本堆疊_CostBuildup!$H$45+02_成本堆疊_CostBuildup!$H$46*$D$5+02_成本堆疊_CostBuildup!$H$47*$D$6+05_報價與毛利_Pricing!$C$6*$D$7)-05_報價與毛利_Pricing!$C$6*01_專案設定_Setup!$C$24-05_報價與毛利_Pricing!$C$6*01_專案設定_Setup!$C$25-(02_成本堆疊_CostBuildup!$H$45+02_成本堆疊_CostBuildup!$H$46*$D$5+02_成本堆疊_CostBuildup!$H$47*$D$6+05_報價與毛利_Pricing!$C$6*$D$7)*01_專案設定_Setup!$C$26),"")</f>
        <v>949.796543307087</v>
      </c>
    </row>
    <row r="11" customFormat="false" ht="15" hidden="false" customHeight="false" outlineLevel="0" collapsed="false">
      <c r="A11" s="3" t="s">
        <v>34</v>
      </c>
      <c r="B11" s="17" t="n">
        <f aca="false">IFERROR($B$10/05_報價與毛利_Pricing!$C$6,"")</f>
        <v>0.0922520647894558</v>
      </c>
      <c r="C11" s="17" t="n">
        <f aca="false">IFERROR($C$10/05_報價與毛利_Pricing!$C$6,"")</f>
        <v>0.213638094830538</v>
      </c>
      <c r="D11" s="17" t="n">
        <f aca="false">IFERROR($D$10/05_報價與毛利_Pricing!$C$6,"")</f>
        <v>0.25809688676823</v>
      </c>
    </row>
    <row r="12" customFormat="false" ht="15" hidden="false" customHeight="false" outlineLevel="0" collapsed="false">
      <c r="A12" s="14" t="s">
        <v>256</v>
      </c>
      <c r="B12" s="15" t="n">
        <f aca="false">IFERROR((02_成本堆疊_CostBuildup!$H$45+02_成本堆疊_CostBuildup!$H$46*$B$5+02_成本堆疊_CostBuildup!$H$47*$B$6+05_報價與毛利_Pricing!$C$6*$B$7+(02_成本堆疊_CostBuildup!$H$45+02_成本堆疊_CostBuildup!$H$46*$B$5+02_成本堆疊_CostBuildup!$H$47*$B$6+05_報價與毛利_Pricing!$C$6*$B$7)*01_專案設定_Setup!$C$26)/(1-01_專案設定_Setup!$C$24-01_專案設定_Setup!$C$25-01_專案設定_Setup!$C$32),"")</f>
        <v>3809.25620452507</v>
      </c>
      <c r="C12" s="15" t="n">
        <f aca="false">IFERROR((02_成本堆疊_CostBuildup!$H$45+02_成本堆疊_CostBuildup!$H$46*$C$5+02_成本堆疊_CostBuildup!$H$47*$C$6+05_報價與毛利_Pricing!$C$6*$C$7+(02_成本堆疊_CostBuildup!$H$45+02_成本堆疊_CostBuildup!$H$46*$C$5+02_成本堆疊_CostBuildup!$H$47*$C$6+05_報價與毛利_Pricing!$C$6*$C$7)*01_專案設定_Setup!$C$26)/(1-01_專案設定_Setup!$C$24-01_專案設定_Setup!$C$25-01_專案設定_Setup!$C$32),"")</f>
        <v>3243.81241901724</v>
      </c>
      <c r="D12" s="15" t="n">
        <f aca="false">IFERROR((02_成本堆疊_CostBuildup!$H$45+02_成本堆疊_CostBuildup!$H$46*$D$5+02_成本堆疊_CostBuildup!$H$47*$D$6+05_報價與毛利_Pricing!$C$6*$D$7+(02_成本堆疊_CostBuildup!$H$45+02_成本堆疊_CostBuildup!$H$46*$D$5+02_成本堆疊_CostBuildup!$H$47*$D$6+05_報價與毛利_Pricing!$C$6*$D$7)*01_專案設定_Setup!$C$26)/(1-01_專案設定_Setup!$C$24-01_專案設定_Setup!$C$25-01_專案設定_Setup!$C$32),"")</f>
        <v>3036.71323632014</v>
      </c>
    </row>
    <row r="13" customFormat="false" ht="15" hidden="false" customHeight="false" outlineLevel="0" collapsed="false">
      <c r="A13" s="3" t="s">
        <v>49</v>
      </c>
      <c r="B13" s="19" t="str">
        <f aca="false">IF($B$11="","",IF(05_報價與毛利_Pricing!$C$6&lt;$B$12,"✗ 應退出",IF($B$11&lt;01_專案設定_Setup!$C$33,"△ 低於目標","✓ 可接")))</f>
        <v>✗ 應退出</v>
      </c>
      <c r="C13" s="19" t="str">
        <f aca="false">IF($C$11="","",IF(05_報價與毛利_Pricing!$C$6&lt;$C$12,"✗ 應退出",IF($C$11&lt;01_專案設定_Setup!$C$33,"△ 低於目標","✓ 可接")))</f>
        <v>△ 低於目標</v>
      </c>
      <c r="D13" s="19" t="str">
        <f aca="false">IF($D$11="","",IF(05_報價與毛利_Pricing!$C$6&lt;$D$12,"✗ 應退出",IF($D$11&lt;01_專案設定_Setup!$C$33,"△ 低於目標","✓ 可接")))</f>
        <v>✓ 可接</v>
      </c>
    </row>
    <row r="15" customFormat="false" ht="15" hidden="false" customHeight="true" outlineLevel="0" collapsed="false">
      <c r="A15" s="21" t="s">
        <v>257</v>
      </c>
      <c r="B15" s="21"/>
      <c r="C15" s="21"/>
      <c r="D15" s="21"/>
      <c r="E15" s="21"/>
    </row>
    <row r="16" customFormat="false" ht="15" hidden="false" customHeight="false" outlineLevel="0" collapsed="false">
      <c r="A16" s="21"/>
      <c r="B16" s="21"/>
      <c r="C16" s="21"/>
      <c r="D16" s="21"/>
      <c r="E16" s="21"/>
    </row>
    <row r="17" customFormat="false" ht="15" hidden="false" customHeight="false" outlineLevel="0" collapsed="false">
      <c r="A17" s="21"/>
      <c r="B17" s="21"/>
      <c r="C17" s="21"/>
      <c r="D17" s="21"/>
      <c r="E17" s="21"/>
    </row>
    <row r="18" customFormat="false" ht="15" hidden="false" customHeight="false" outlineLevel="0" collapsed="false">
      <c r="A18" s="21"/>
      <c r="B18" s="21"/>
      <c r="C18" s="21"/>
      <c r="D18" s="21"/>
      <c r="E18" s="21"/>
    </row>
    <row r="19" customFormat="false" ht="15" hidden="false" customHeight="false" outlineLevel="0" collapsed="false">
      <c r="A19" s="21"/>
      <c r="B19" s="21"/>
      <c r="C19" s="21"/>
      <c r="D19" s="21"/>
      <c r="E19" s="21"/>
    </row>
  </sheetData>
  <mergeCells count="1">
    <mergeCell ref="A15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23.1" hidden="false" customHeight="false" outlineLevel="0" collapsed="false">
      <c r="A1" s="6" t="s">
        <v>258</v>
      </c>
    </row>
    <row r="2" customFormat="false" ht="15" hidden="false" customHeight="false" outlineLevel="0" collapsed="false">
      <c r="A2" s="7" t="s">
        <v>259</v>
      </c>
    </row>
    <row r="3" customFormat="false" ht="15" hidden="false" customHeight="false" outlineLevel="0" collapsed="false">
      <c r="A3" s="3" t="s">
        <v>16</v>
      </c>
      <c r="B3" s="8" t="s">
        <v>17</v>
      </c>
      <c r="C3" s="9" t="s">
        <v>18</v>
      </c>
      <c r="D3" s="10" t="s">
        <v>19</v>
      </c>
    </row>
    <row r="4" customFormat="false" ht="30" hidden="false" customHeight="true" outlineLevel="0" collapsed="false">
      <c r="A4" s="30" t="s">
        <v>243</v>
      </c>
      <c r="B4" s="30" t="s">
        <v>260</v>
      </c>
      <c r="C4" s="30" t="s">
        <v>261</v>
      </c>
      <c r="D4" s="30" t="s">
        <v>262</v>
      </c>
      <c r="E4" s="30" t="s">
        <v>263</v>
      </c>
      <c r="F4" s="30" t="s">
        <v>264</v>
      </c>
      <c r="G4" s="30" t="s">
        <v>265</v>
      </c>
      <c r="H4" s="30" t="s">
        <v>266</v>
      </c>
    </row>
    <row r="5" customFormat="false" ht="27.75" hidden="false" customHeight="true" outlineLevel="0" collapsed="false">
      <c r="A5" s="33" t="s">
        <v>267</v>
      </c>
      <c r="B5" s="31" t="s">
        <v>268</v>
      </c>
      <c r="C5" s="32" t="s">
        <v>269</v>
      </c>
      <c r="D5" s="31" t="s">
        <v>270</v>
      </c>
      <c r="E5" s="31" t="s">
        <v>271</v>
      </c>
      <c r="F5" s="31" t="s">
        <v>272</v>
      </c>
      <c r="G5" s="31" t="s">
        <v>273</v>
      </c>
      <c r="H5" s="32" t="s">
        <v>274</v>
      </c>
    </row>
    <row r="6" customFormat="false" ht="27.75" hidden="false" customHeight="true" outlineLevel="0" collapsed="false">
      <c r="A6" s="31" t="s">
        <v>275</v>
      </c>
      <c r="B6" s="31" t="s">
        <v>276</v>
      </c>
      <c r="C6" s="32" t="s">
        <v>277</v>
      </c>
      <c r="D6" s="31" t="s">
        <v>278</v>
      </c>
      <c r="E6" s="31" t="s">
        <v>279</v>
      </c>
      <c r="F6" s="31" t="s">
        <v>280</v>
      </c>
      <c r="G6" s="31" t="s">
        <v>273</v>
      </c>
      <c r="H6" s="32" t="s">
        <v>281</v>
      </c>
    </row>
    <row r="7" customFormat="false" ht="27.75" hidden="false" customHeight="true" outlineLevel="0" collapsed="false">
      <c r="A7" s="33" t="s">
        <v>282</v>
      </c>
      <c r="B7" s="33" t="s">
        <v>283</v>
      </c>
      <c r="C7" s="32" t="s">
        <v>284</v>
      </c>
      <c r="D7" s="31" t="s">
        <v>285</v>
      </c>
      <c r="E7" s="31" t="s">
        <v>286</v>
      </c>
      <c r="F7" s="31" t="s">
        <v>280</v>
      </c>
      <c r="G7" s="31" t="s">
        <v>273</v>
      </c>
      <c r="H7" s="32" t="s">
        <v>287</v>
      </c>
    </row>
    <row r="8" customFormat="false" ht="27.75" hidden="false" customHeight="true" outlineLevel="0" collapsed="false">
      <c r="A8" s="33" t="s">
        <v>288</v>
      </c>
      <c r="B8" s="33" t="s">
        <v>283</v>
      </c>
      <c r="C8" s="32" t="s">
        <v>289</v>
      </c>
      <c r="D8" s="31" t="s">
        <v>290</v>
      </c>
      <c r="E8" s="31" t="s">
        <v>291</v>
      </c>
      <c r="F8" s="31" t="s">
        <v>292</v>
      </c>
      <c r="G8" s="31" t="s">
        <v>273</v>
      </c>
      <c r="H8" s="32" t="s">
        <v>293</v>
      </c>
    </row>
    <row r="9" customFormat="false" ht="27.75" hidden="false" customHeight="true" outlineLevel="0" collapsed="false">
      <c r="A9" s="33" t="s">
        <v>294</v>
      </c>
      <c r="B9" s="31" t="s">
        <v>295</v>
      </c>
      <c r="C9" s="32" t="s">
        <v>296</v>
      </c>
      <c r="D9" s="31" t="s">
        <v>65</v>
      </c>
      <c r="E9" s="31" t="s">
        <v>273</v>
      </c>
      <c r="F9" s="31" t="s">
        <v>272</v>
      </c>
      <c r="G9" s="31" t="s">
        <v>273</v>
      </c>
      <c r="H9" s="32" t="s">
        <v>297</v>
      </c>
    </row>
    <row r="10" customFormat="false" ht="27.75" hidden="false" customHeight="true" outlineLevel="0" collapsed="false">
      <c r="A10" s="33" t="s">
        <v>80</v>
      </c>
      <c r="B10" s="31" t="s">
        <v>298</v>
      </c>
      <c r="C10" s="32" t="s">
        <v>299</v>
      </c>
      <c r="D10" s="31" t="s">
        <v>300</v>
      </c>
      <c r="E10" s="33" t="s">
        <v>301</v>
      </c>
      <c r="F10" s="31" t="s">
        <v>280</v>
      </c>
      <c r="G10" s="31" t="s">
        <v>273</v>
      </c>
      <c r="H10" s="32" t="s">
        <v>302</v>
      </c>
    </row>
    <row r="11" customFormat="false" ht="27.75" hidden="false" customHeight="true" outlineLevel="0" collapsed="false">
      <c r="A11" s="33" t="s">
        <v>303</v>
      </c>
      <c r="B11" s="33" t="s">
        <v>304</v>
      </c>
      <c r="C11" s="32" t="s">
        <v>305</v>
      </c>
      <c r="D11" s="31" t="s">
        <v>300</v>
      </c>
      <c r="E11" s="33" t="s">
        <v>301</v>
      </c>
      <c r="F11" s="31" t="s">
        <v>272</v>
      </c>
      <c r="G11" s="31" t="s">
        <v>273</v>
      </c>
      <c r="H11" s="32" t="s">
        <v>306</v>
      </c>
    </row>
    <row r="12" customFormat="false" ht="15" hidden="false" customHeight="false" outlineLevel="0" collapsed="false">
      <c r="A12" s="46"/>
      <c r="B12" s="46"/>
      <c r="C12" s="46"/>
      <c r="D12" s="46"/>
      <c r="E12" s="46"/>
      <c r="F12" s="46"/>
      <c r="G12" s="46"/>
      <c r="H12" s="46"/>
    </row>
    <row r="13" customFormat="false" ht="15" hidden="false" customHeight="false" outlineLevel="0" collapsed="false">
      <c r="A13" s="46"/>
      <c r="B13" s="46"/>
      <c r="C13" s="46"/>
      <c r="D13" s="46"/>
      <c r="E13" s="46"/>
      <c r="F13" s="46"/>
      <c r="G13" s="46"/>
      <c r="H13" s="46"/>
    </row>
    <row r="14" customFormat="false" ht="15" hidden="false" customHeight="false" outlineLevel="0" collapsed="false">
      <c r="A14" s="46"/>
      <c r="B14" s="46"/>
      <c r="C14" s="46"/>
      <c r="D14" s="46"/>
      <c r="E14" s="46"/>
      <c r="F14" s="46"/>
      <c r="G14" s="46"/>
      <c r="H14" s="46"/>
    </row>
    <row r="15" customFormat="false" ht="15" hidden="false" customHeight="false" outlineLevel="0" collapsed="false">
      <c r="A15" s="46"/>
      <c r="B15" s="46"/>
      <c r="C15" s="46"/>
      <c r="D15" s="46"/>
      <c r="E15" s="46"/>
      <c r="F15" s="46"/>
      <c r="G15" s="46"/>
      <c r="H15" s="46"/>
    </row>
    <row r="16" customFormat="false" ht="15" hidden="false" customHeight="false" outlineLevel="0" collapsed="false">
      <c r="A16" s="46"/>
      <c r="B16" s="46"/>
      <c r="C16" s="46"/>
      <c r="D16" s="46"/>
      <c r="E16" s="46"/>
      <c r="F16" s="46"/>
      <c r="G16" s="46"/>
      <c r="H16" s="46"/>
    </row>
    <row r="17" customFormat="false" ht="15" hidden="false" customHeight="false" outlineLevel="0" collapsed="false">
      <c r="A17" s="46"/>
      <c r="B17" s="46"/>
      <c r="C17" s="46"/>
      <c r="D17" s="46"/>
      <c r="E17" s="46"/>
      <c r="F17" s="46"/>
      <c r="G17" s="46"/>
      <c r="H17" s="46"/>
    </row>
    <row r="18" customFormat="false" ht="15" hidden="false" customHeight="false" outlineLevel="0" collapsed="false">
      <c r="A18" s="46"/>
      <c r="B18" s="46"/>
      <c r="C18" s="46"/>
      <c r="D18" s="46"/>
      <c r="E18" s="46"/>
      <c r="F18" s="46"/>
      <c r="G18" s="46"/>
      <c r="H18" s="46"/>
    </row>
    <row r="19" customFormat="false" ht="15" hidden="false" customHeight="false" outlineLevel="0" collapsed="false">
      <c r="A19" s="46"/>
      <c r="B19" s="46"/>
      <c r="C19" s="46"/>
      <c r="D19" s="46"/>
      <c r="E19" s="46"/>
      <c r="F19" s="46"/>
      <c r="G19" s="46"/>
      <c r="H19" s="46"/>
    </row>
    <row r="20" customFormat="false" ht="15" hidden="false" customHeight="false" outlineLevel="0" collapsed="false">
      <c r="A20" s="46"/>
      <c r="B20" s="46"/>
      <c r="C20" s="46"/>
      <c r="D20" s="46"/>
      <c r="E20" s="46"/>
      <c r="F20" s="46"/>
      <c r="G20" s="46"/>
      <c r="H20" s="46"/>
    </row>
    <row r="21" customFormat="false" ht="15" hidden="false" customHeight="false" outlineLevel="0" collapsed="false">
      <c r="A21" s="46"/>
      <c r="B21" s="46"/>
      <c r="C21" s="46"/>
      <c r="D21" s="46"/>
      <c r="E21" s="46"/>
      <c r="F21" s="46"/>
      <c r="G21" s="46"/>
      <c r="H21" s="46"/>
    </row>
    <row r="22" customFormat="false" ht="15" hidden="false" customHeight="false" outlineLevel="0" collapsed="false">
      <c r="A22" s="46"/>
      <c r="B22" s="46"/>
      <c r="C22" s="46"/>
      <c r="D22" s="46"/>
      <c r="E22" s="46"/>
      <c r="F22" s="46"/>
      <c r="G22" s="46"/>
      <c r="H22" s="46"/>
    </row>
    <row r="23" customFormat="false" ht="15" hidden="false" customHeight="false" outlineLevel="0" collapsed="false">
      <c r="A23" s="46"/>
      <c r="B23" s="46"/>
      <c r="C23" s="46"/>
      <c r="D23" s="46"/>
      <c r="E23" s="46"/>
      <c r="F23" s="46"/>
      <c r="G23" s="46"/>
      <c r="H23" s="46"/>
    </row>
    <row r="24" customFormat="false" ht="15" hidden="false" customHeight="false" outlineLevel="0" collapsed="false">
      <c r="A24" s="46"/>
      <c r="B24" s="46"/>
      <c r="C24" s="46"/>
      <c r="D24" s="46"/>
      <c r="E24" s="46"/>
      <c r="F24" s="46"/>
      <c r="G24" s="46"/>
      <c r="H24" s="46"/>
    </row>
    <row r="25" customFormat="false" ht="15" hidden="false" customHeight="false" outlineLevel="0" collapsed="false">
      <c r="A25" s="46"/>
      <c r="B25" s="46"/>
      <c r="C25" s="46"/>
      <c r="D25" s="46"/>
      <c r="E25" s="46"/>
      <c r="F25" s="46"/>
      <c r="G25" s="46"/>
      <c r="H25" s="46"/>
    </row>
    <row r="26" customFormat="false" ht="15" hidden="false" customHeight="false" outlineLevel="0" collapsed="false">
      <c r="A26" s="46"/>
      <c r="B26" s="46"/>
      <c r="C26" s="46"/>
      <c r="D26" s="46"/>
      <c r="E26" s="46"/>
      <c r="F26" s="46"/>
      <c r="G26" s="46"/>
      <c r="H26" s="46"/>
    </row>
    <row r="27" customFormat="false" ht="15" hidden="false" customHeight="false" outlineLevel="0" collapsed="false">
      <c r="A27" s="46"/>
      <c r="B27" s="46"/>
      <c r="C27" s="46"/>
      <c r="D27" s="46"/>
      <c r="E27" s="46"/>
      <c r="F27" s="46"/>
      <c r="G27" s="46"/>
      <c r="H27" s="46"/>
    </row>
    <row r="28" customFormat="false" ht="15" hidden="false" customHeight="false" outlineLevel="0" collapsed="false">
      <c r="A28" s="46"/>
      <c r="B28" s="46"/>
      <c r="C28" s="46"/>
      <c r="D28" s="46"/>
      <c r="E28" s="46"/>
      <c r="F28" s="46"/>
      <c r="G28" s="46"/>
      <c r="H28" s="46"/>
    </row>
    <row r="29" customFormat="false" ht="15" hidden="false" customHeight="false" outlineLevel="0" collapsed="false">
      <c r="A29" s="46"/>
      <c r="B29" s="46"/>
      <c r="C29" s="46"/>
      <c r="D29" s="46"/>
      <c r="E29" s="46"/>
      <c r="F29" s="46"/>
      <c r="G29" s="46"/>
      <c r="H29" s="46"/>
    </row>
    <row r="32" customFormat="false" ht="14.15" hidden="false" customHeight="false" outlineLevel="0" collapsed="false">
      <c r="A32" s="13" t="s">
        <v>307</v>
      </c>
      <c r="B32" s="13"/>
      <c r="C32" s="13"/>
      <c r="D32" s="13"/>
      <c r="E32" s="13"/>
      <c r="F32" s="13"/>
      <c r="G32" s="13"/>
      <c r="H32" s="13"/>
    </row>
  </sheetData>
  <mergeCells count="1"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0"/>
  </cols>
  <sheetData>
    <row r="1" customFormat="false" ht="30" hidden="false" customHeight="true" outlineLevel="0" collapsed="false">
      <c r="A1" s="30" t="s">
        <v>308</v>
      </c>
      <c r="B1" s="30" t="s">
        <v>108</v>
      </c>
      <c r="C1" s="30" t="s">
        <v>309</v>
      </c>
      <c r="D1" s="30" t="s">
        <v>113</v>
      </c>
    </row>
    <row r="2" customFormat="false" ht="15" hidden="false" customHeight="false" outlineLevel="0" collapsed="false">
      <c r="A2" s="56" t="s">
        <v>116</v>
      </c>
      <c r="B2" s="56" t="s">
        <v>117</v>
      </c>
      <c r="C2" s="57" t="s">
        <v>67</v>
      </c>
      <c r="D2" s="56" t="s">
        <v>118</v>
      </c>
    </row>
    <row r="3" customFormat="false" ht="15" hidden="false" customHeight="false" outlineLevel="0" collapsed="false">
      <c r="A3" s="56" t="s">
        <v>132</v>
      </c>
      <c r="B3" s="56" t="s">
        <v>128</v>
      </c>
      <c r="C3" s="57" t="s">
        <v>71</v>
      </c>
      <c r="D3" s="56" t="s">
        <v>125</v>
      </c>
    </row>
    <row r="4" customFormat="false" ht="15" hidden="false" customHeight="false" outlineLevel="0" collapsed="false">
      <c r="A4" s="56" t="s">
        <v>138</v>
      </c>
      <c r="C4" s="57" t="s">
        <v>73</v>
      </c>
      <c r="D4" s="56" t="s">
        <v>129</v>
      </c>
    </row>
    <row r="5" customFormat="false" ht="15" hidden="false" customHeight="false" outlineLevel="0" collapsed="false">
      <c r="A5" s="56" t="s">
        <v>145</v>
      </c>
    </row>
    <row r="6" customFormat="false" ht="15" hidden="false" customHeight="false" outlineLevel="0" collapsed="false">
      <c r="A6" s="56" t="s">
        <v>150</v>
      </c>
    </row>
    <row r="7" customFormat="false" ht="15" hidden="false" customHeight="false" outlineLevel="0" collapsed="false">
      <c r="A7" s="56" t="s">
        <v>155</v>
      </c>
    </row>
    <row r="8" customFormat="false" ht="15" hidden="false" customHeight="false" outlineLevel="0" collapsed="false">
      <c r="A8" s="56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2026-08-18T02:07:02Z</dcterms:created>
  <dc:creator>openpyxl</dc:creator>
  <dc:description/>
  <dc:language>en-US</dc:language>
  <cp:lastModifiedBy/>
  <dcterms:modified xsi:type="dcterms:W3CDTF">2026-08-18T02:07:02Z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